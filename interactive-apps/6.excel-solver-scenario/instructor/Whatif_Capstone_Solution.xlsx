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9CEE9DCE-B3E3-486B-BC19-7C1EDF17D468}" xr6:coauthVersionLast="47" xr6:coauthVersionMax="47" xr10:uidLastSave="{00000000-0000-0000-0000-000000000000}"/>
  <bookViews>
    <workbookView xWindow="41400" yWindow="-2445" windowWidth="22995" windowHeight="16080" activeTab="1" xr2:uid="{00000000-000D-0000-FFFF-FFFF00000000}"/>
  </bookViews>
  <sheets>
    <sheet name="Answer Report 1" sheetId="3" r:id="rId1"/>
    <sheet name="Logistics_Solver_Practice" sheetId="1" r:id="rId2"/>
    <sheet name="Scenario Summary" sheetId="4" r:id="rId3"/>
    <sheet name="Marketing_Scenarios_Practice" sheetId="2" r:id="rId4"/>
  </sheets>
  <definedNames>
    <definedName name="Avg_Order_Value">Marketing_Scenarios_Practice!$B$8</definedName>
    <definedName name="Budget">Marketing_Scenarios_Practice!$B$5</definedName>
    <definedName name="Conv_Rate">Marketing_Scenarios_Practice!$B$7</definedName>
    <definedName name="CPC">Marketing_Scenarios_Practice!$B$6</definedName>
    <definedName name="solver_adj" localSheetId="1" hidden="1">Logistics_Solver_Practice!$B$12:$D$13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Logistics_Solver_Practice!$B$14</definedName>
    <definedName name="solver_lhs2" localSheetId="1" hidden="1">Logistics_Solver_Practice!$C$14</definedName>
    <definedName name="solver_lhs3" localSheetId="1" hidden="1">Logistics_Solver_Practice!$D$14</definedName>
    <definedName name="solver_lhs4" localSheetId="1" hidden="1">Logistics_Solver_Practice!$E$12</definedName>
    <definedName name="solver_lhs5" localSheetId="1" hidden="1">Logistics_Solver_Practice!$E$13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Logistics_Solver_Practice!$B$17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3</definedName>
    <definedName name="solver_rel3" localSheetId="1" hidden="1">3</definedName>
    <definedName name="solver_rel4" localSheetId="1" hidden="1">1</definedName>
    <definedName name="solver_rel5" localSheetId="1" hidden="1">1</definedName>
    <definedName name="solver_rhs1" localSheetId="1" hidden="1">Logistics_Solver_Practice!$B$8</definedName>
    <definedName name="solver_rhs2" localSheetId="1" hidden="1">Logistics_Solver_Practice!$C$8</definedName>
    <definedName name="solver_rhs3" localSheetId="1" hidden="1">Logistics_Solver_Practice!$D$8</definedName>
    <definedName name="solver_rhs4" localSheetId="1" hidden="1">Logistics_Solver_Practice!$E$5</definedName>
    <definedName name="solver_rhs5" localSheetId="1" hidden="1">Logistics_Solver_Practice!$E$6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  <definedName name="Total_Profit">Marketing_Scenarios_Practice!$B$14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2" i="2" s="1"/>
  <c r="B13" i="2" s="1"/>
  <c r="B14" i="2" s="1"/>
  <c r="B17" i="1"/>
  <c r="D14" i="1"/>
  <c r="C14" i="1"/>
  <c r="B14" i="1"/>
  <c r="E13" i="1"/>
  <c r="E12" i="1"/>
</calcChain>
</file>

<file path=xl/sharedStrings.xml><?xml version="1.0" encoding="utf-8"?>
<sst xmlns="http://schemas.openxmlformats.org/spreadsheetml/2006/main" count="197" uniqueCount="120">
  <si>
    <t>PROBLEM 1: LOGISTICS OPTIMIZATION</t>
  </si>
  <si>
    <t/>
  </si>
  <si>
    <t>Minimize shipping costs from Warehouses to Clients</t>
  </si>
  <si>
    <t>SHIPPING COSTS (Per Unit)</t>
  </si>
  <si>
    <t>Boston</t>
  </si>
  <si>
    <t>Chicago</t>
  </si>
  <si>
    <t>Miami</t>
  </si>
  <si>
    <t>SUPPLY</t>
  </si>
  <si>
    <t>NY Warehouse</t>
  </si>
  <si>
    <t>LA Warehouse</t>
  </si>
  <si>
    <t>DEMAND</t>
  </si>
  <si>
    <t>--- DECISION VARIABLES (Shipments) ---</t>
  </si>
  <si>
    <t>Shipments</t>
  </si>
  <si>
    <t>Total Shipped</t>
  </si>
  <si>
    <t>Constraint</t>
  </si>
  <si>
    <t>&lt;= 100</t>
  </si>
  <si>
    <t>Total Received</t>
  </si>
  <si>
    <t>&gt;= 40</t>
  </si>
  <si>
    <t>&gt;= 80</t>
  </si>
  <si>
    <t>&gt;= 50</t>
  </si>
  <si>
    <t>TOTAL COST</t>
  </si>
  <si>
    <t>Instructions:</t>
  </si>
  <si>
    <t>Use Solver to find optimal shipments (B12:D13) to minimize Total Cost.</t>
  </si>
  <si>
    <t>PROBLEM 2: MARKETING BUDGET FORECAST</t>
  </si>
  <si>
    <t>Compare Viral, Standard, and Flop scenarios</t>
  </si>
  <si>
    <t>INPUTS</t>
  </si>
  <si>
    <t>Values</t>
  </si>
  <si>
    <t>Name Range</t>
  </si>
  <si>
    <t>Budget</t>
  </si>
  <si>
    <t>Ad_Budget</t>
  </si>
  <si>
    <t>CPC (Cost Per Click)</t>
  </si>
  <si>
    <t>CPC_Input</t>
  </si>
  <si>
    <t>Conv Rate</t>
  </si>
  <si>
    <t>Conv_Rate</t>
  </si>
  <si>
    <t>Avg Order Value</t>
  </si>
  <si>
    <t>AOV</t>
  </si>
  <si>
    <t>MODEL</t>
  </si>
  <si>
    <t>Formulas</t>
  </si>
  <si>
    <t>Traffic (Clicks)</t>
  </si>
  <si>
    <t>=Budget/CPC</t>
  </si>
  <si>
    <t>Total Sales (#)</t>
  </si>
  <si>
    <t>=Traffic*Conv</t>
  </si>
  <si>
    <t>Revenue ($)</t>
  </si>
  <si>
    <t>=Sales*AOV</t>
  </si>
  <si>
    <t>Total Profit</t>
  </si>
  <si>
    <t>=Revenue-Budget</t>
  </si>
  <si>
    <t>1. Name the input cells (B5:B8) and result cell (B14).</t>
  </si>
  <si>
    <t>2. Use Scenario Manager to create Viral, Standard, and Flop cases.</t>
  </si>
  <si>
    <t>3. Generate a Summary Report to compare profits.</t>
  </si>
  <si>
    <t>Microsoft Excel 16.0 Answer Report</t>
  </si>
  <si>
    <t>Worksheet: [Capstone_Practice_File.xlsx]Logistics_Solver_Practice</t>
  </si>
  <si>
    <t>Report Created: 1/27/2026 11:13:26 AM</t>
  </si>
  <si>
    <t>Result: Solver found a solution.  All Constraints and optimality conditions are satisfied.</t>
  </si>
  <si>
    <t>Solver Engine</t>
  </si>
  <si>
    <t>Engine: Simplex LP</t>
  </si>
  <si>
    <t>Solution Time: 0.031 Seconds.</t>
  </si>
  <si>
    <t>Iterations: 7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</si>
  <si>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</si>
  <si>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</si>
  <si>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</si>
  <si>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</si>
  <si>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</si>
  <si>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</si>
  <si>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</si>
  <si>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</si>
  <si>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</si>
  <si>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</si>
  <si>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</si>
  <si>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</si>
  <si>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</si>
  <si>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</si>
  <si>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</si>
  <si>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$B$17</t>
  </si>
  <si>
    <t>TOTAL COST &gt;= 40</t>
  </si>
  <si>
    <t>$B$12</t>
  </si>
  <si>
    <t>NY Warehouse Boston</t>
  </si>
  <si>
    <t>Contin</t>
  </si>
  <si>
    <t>$C$12</t>
  </si>
  <si>
    <t>NY Warehouse Chicago</t>
  </si>
  <si>
    <t>$D$12</t>
  </si>
  <si>
    <t>NY Warehouse Miami</t>
  </si>
  <si>
    <t>$B$13</t>
  </si>
  <si>
    <t>LA Warehouse Boston</t>
  </si>
  <si>
    <t>$C$13</t>
  </si>
  <si>
    <t>LA Warehouse Chicago</t>
  </si>
  <si>
    <t>$D$13</t>
  </si>
  <si>
    <t>LA Warehouse Miami</t>
  </si>
  <si>
    <t>$B$14</t>
  </si>
  <si>
    <t>Total Received Boston</t>
  </si>
  <si>
    <t>$B$14&gt;=$B$8</t>
  </si>
  <si>
    <t>Binding</t>
  </si>
  <si>
    <t>$C$14</t>
  </si>
  <si>
    <t>Total Received Chicago</t>
  </si>
  <si>
    <t>$C$14&gt;=$C$8</t>
  </si>
  <si>
    <t>$D$14</t>
  </si>
  <si>
    <t>Total Received Miami</t>
  </si>
  <si>
    <t>$D$14&gt;=$D$8</t>
  </si>
  <si>
    <t>$E$12</t>
  </si>
  <si>
    <t>NY Warehouse Total Shipped</t>
  </si>
  <si>
    <t>$E$12&lt;=$E$5</t>
  </si>
  <si>
    <t>$E$13</t>
  </si>
  <si>
    <t>LA Warehouse Total Shipped</t>
  </si>
  <si>
    <t>$E$13&lt;=$E$6</t>
  </si>
  <si>
    <t>Not Binding</t>
  </si>
  <si>
    <t>CPC</t>
  </si>
  <si>
    <t>Total_Profit</t>
  </si>
  <si>
    <t>Viral</t>
  </si>
  <si>
    <t>Created by haj on 1/27/2026
Modified by haj on 1/27/2026</t>
  </si>
  <si>
    <t>Standard</t>
  </si>
  <si>
    <t>Created by haj on 1/27/2026</t>
  </si>
  <si>
    <t>Flop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</si>
  <si>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</si>
  <si>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</si>
  <si>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</si>
  <si>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</si>
  <si>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</si>
  <si>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</si>
  <si>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</si>
  <si>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Objective</t>
  </si>
  <si>
    <t>Decision 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</si>
</sst>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5" xfId="0" applyFill="1" applyBorder="1" applyAlignment="1"/>
    <xf numFmtId="0" fontId="3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0" fillId="0" borderId="7" xfId="0" applyFill="1" applyBorder="1" applyAlignment="1"/>
    <xf numFmtId="0" fontId="4" fillId="3" borderId="0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1</xdr:row>
      <xdr:rowOff>104775</xdr:rowOff>
    </xdr:from>
    <xdr:to>
      <xdr:col>14</xdr:col>
      <xdr:colOff>476250</xdr:colOff>
      <xdr:row>25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22CD0C-12C6-F96F-AC5B-EAFD2D4B8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304800"/>
          <a:ext cx="5362575" cy="5629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1</xdr:row>
      <xdr:rowOff>104775</xdr:rowOff>
    </xdr:from>
    <xdr:to>
      <xdr:col>9</xdr:col>
      <xdr:colOff>266700</xdr:colOff>
      <xdr:row>18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1A721E-7357-53D5-8EDF-ACD961AEA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6825" y="304800"/>
          <a:ext cx="3400425" cy="351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4774-3448-4750-BF87-A130BFEAA308}">
  <dimension ref="A1:G35"/>
  <sheetViews>
    <sheetView showGridLines="0" workbookViewId="0">
      <selection activeCell="C16" sqref="C16"/>
    </sheetView>
  </sheetViews>
  <sheetFormatPr defaultRowHeight="15.75" x14ac:dyDescent="0.25"/>
  <cols>
    <col min="1" max="1" width="2.125" customWidth="1"/>
    <col min="2" max="2" width="6.125" bestFit="1" customWidth="1"/>
    <col min="3" max="3" width="24.75" bestFit="1" customWidth="1"/>
    <col min="4" max="4" width="13" bestFit="1" customWidth="1"/>
    <col min="5" max="5" width="12.375" bestFit="1" customWidth="1"/>
    <col min="6" max="6" width="10.375" bestFit="1" customWidth="1"/>
    <col min="7" max="7" width="5.25" bestFit="1" customWidth="1"/>
  </cols>
  <sheetData>
    <row r="1" spans="1:5" x14ac:dyDescent="0.25">
      <c r="A1" s="1" t="s">
        <v>49</v>
      </c>
    </row>
    <row r="2" spans="1:5" x14ac:dyDescent="0.25">
      <c r="A2" s="1" t="s">
        <v>50</v>
      </c>
    </row>
    <row r="3" spans="1:5" x14ac:dyDescent="0.25">
      <c r="A3" s="1" t="s">
        <v>51</v>
      </c>
    </row>
    <row r="4" spans="1:5" x14ac:dyDescent="0.25">
      <c r="A4" s="1" t="s">
        <v>52</v>
      </c>
    </row>
    <row r="5" spans="1:5" x14ac:dyDescent="0.25">
      <c r="A5" s="1" t="s">
        <v>53</v>
      </c>
    </row>
    <row r="6" spans="1:5" x14ac:dyDescent="0.25">
      <c r="A6" s="1"/>
      <c r="B6" t="s">
        <v>54</v>
      </c>
    </row>
    <row r="7" spans="1:5" x14ac:dyDescent="0.25">
      <c r="A7" s="1"/>
      <c r="B7" t="s">
        <v>55</v>
      </c>
    </row>
    <row r="8" spans="1:5" x14ac:dyDescent="0.25">
      <c r="A8" s="1"/>
      <c r="B8" t="s">
        <v>56</v>
      </c>
    </row>
    <row r="9" spans="1:5" x14ac:dyDescent="0.25">
      <c r="A9" s="1" t="s">
        <v>57</v>
      </c>
    </row>
    <row r="10" spans="1:5" x14ac:dyDescent="0.25">
      <c r="B10" t="s">
        <v>58</v>
      </c>
    </row>
    <row r="11" spans="1:5" x14ac:dyDescent="0.25">
      <c r="B11" t="s">
        <v>59</v>
      </c>
    </row>
    <row r="14" spans="1:5" ht="16.5" thickBot="1" x14ac:dyDescent="0.3">
      <c r="A14" t="s">
        <v>60</v>
      </c>
    </row>
    <row r="15" spans="1:5" ht="16.5" thickBot="1" x14ac:dyDescent="0.3">
      <c r="B15" s="3" t="s">
        <v>61</v>
      </c>
      <c r="C15" s="3" t="s">
        <v>62</v>
      </c>
      <c r="D15" s="3" t="s">
        <v>63</v>
      </c>
      <c r="E15" s="3" t="s">
        <v>64</v>
      </c>
    </row>
    <row r="16" spans="1:5" ht="16.5" thickBot="1" x14ac:dyDescent="0.3">
      <c r="B16" s="2" t="s">
        <v>72</v>
      </c>
      <c r="C16" s="2" t="s">
        <v>73</v>
      </c>
      <c r="D16" s="6">
        <v>0</v>
      </c>
      <c r="E16" s="6">
        <v>1180</v>
      </c>
    </row>
    <row r="19" spans="1:7" ht="16.5" thickBot="1" x14ac:dyDescent="0.3">
      <c r="A19" t="s">
        <v>65</v>
      </c>
    </row>
    <row r="20" spans="1:7" ht="16.5" thickBot="1" x14ac:dyDescent="0.3">
      <c r="B20" s="3" t="s">
        <v>61</v>
      </c>
      <c r="C20" s="3" t="s">
        <v>62</v>
      </c>
      <c r="D20" s="3" t="s">
        <v>63</v>
      </c>
      <c r="E20" s="3" t="s">
        <v>64</v>
      </c>
      <c r="F20" s="3" t="s">
        <v>66</v>
      </c>
    </row>
    <row r="21" spans="1:7" x14ac:dyDescent="0.25">
      <c r="B21" s="5" t="s">
        <v>74</v>
      </c>
      <c r="C21" s="5" t="s">
        <v>75</v>
      </c>
      <c r="D21" s="7">
        <v>0</v>
      </c>
      <c r="E21" s="7">
        <v>40</v>
      </c>
      <c r="F21" s="5" t="s">
        <v>76</v>
      </c>
    </row>
    <row r="22" spans="1:7" x14ac:dyDescent="0.25">
      <c r="B22" s="5" t="s">
        <v>77</v>
      </c>
      <c r="C22" s="5" t="s">
        <v>78</v>
      </c>
      <c r="D22" s="7">
        <v>0</v>
      </c>
      <c r="E22" s="7">
        <v>60</v>
      </c>
      <c r="F22" s="5" t="s">
        <v>76</v>
      </c>
    </row>
    <row r="23" spans="1:7" x14ac:dyDescent="0.25">
      <c r="B23" s="5" t="s">
        <v>79</v>
      </c>
      <c r="C23" s="5" t="s">
        <v>80</v>
      </c>
      <c r="D23" s="7">
        <v>0</v>
      </c>
      <c r="E23" s="7">
        <v>0</v>
      </c>
      <c r="F23" s="5" t="s">
        <v>76</v>
      </c>
    </row>
    <row r="24" spans="1:7" x14ac:dyDescent="0.25">
      <c r="B24" s="5" t="s">
        <v>81</v>
      </c>
      <c r="C24" s="5" t="s">
        <v>82</v>
      </c>
      <c r="D24" s="7">
        <v>0</v>
      </c>
      <c r="E24" s="7">
        <v>0</v>
      </c>
      <c r="F24" s="5" t="s">
        <v>76</v>
      </c>
    </row>
    <row r="25" spans="1:7" x14ac:dyDescent="0.25">
      <c r="B25" s="5" t="s">
        <v>83</v>
      </c>
      <c r="C25" s="5" t="s">
        <v>84</v>
      </c>
      <c r="D25" s="7">
        <v>0</v>
      </c>
      <c r="E25" s="7">
        <v>20</v>
      </c>
      <c r="F25" s="5" t="s">
        <v>76</v>
      </c>
    </row>
    <row r="26" spans="1:7" ht="16.5" thickBot="1" x14ac:dyDescent="0.3">
      <c r="B26" s="2" t="s">
        <v>85</v>
      </c>
      <c r="C26" s="2" t="s">
        <v>86</v>
      </c>
      <c r="D26" s="6">
        <v>0</v>
      </c>
      <c r="E26" s="6">
        <v>50</v>
      </c>
      <c r="F26" s="2" t="s">
        <v>76</v>
      </c>
    </row>
    <row r="29" spans="1:7" ht="16.5" thickBot="1" x14ac:dyDescent="0.3">
      <c r="A29" t="s">
        <v>67</v>
      </c>
    </row>
    <row r="30" spans="1:7" ht="16.5" thickBot="1" x14ac:dyDescent="0.3">
      <c r="B30" s="3" t="s">
        <v>61</v>
      </c>
      <c r="C30" s="3" t="s">
        <v>62</v>
      </c>
      <c r="D30" s="3" t="s">
        <v>68</v>
      </c>
      <c r="E30" s="3" t="s">
        <v>69</v>
      </c>
      <c r="F30" s="3" t="s">
        <v>70</v>
      </c>
      <c r="G30" s="3" t="s">
        <v>71</v>
      </c>
    </row>
    <row r="31" spans="1:7" x14ac:dyDescent="0.25">
      <c r="B31" s="5" t="s">
        <v>87</v>
      </c>
      <c r="C31" s="5" t="s">
        <v>88</v>
      </c>
      <c r="D31" s="7">
        <v>40</v>
      </c>
      <c r="E31" s="5" t="s">
        <v>89</v>
      </c>
      <c r="F31" s="5" t="s">
        <v>90</v>
      </c>
      <c r="G31" s="7">
        <v>0</v>
      </c>
    </row>
    <row r="32" spans="1:7" x14ac:dyDescent="0.25">
      <c r="B32" s="5" t="s">
        <v>91</v>
      </c>
      <c r="C32" s="5" t="s">
        <v>92</v>
      </c>
      <c r="D32" s="7">
        <v>80</v>
      </c>
      <c r="E32" s="5" t="s">
        <v>93</v>
      </c>
      <c r="F32" s="5" t="s">
        <v>90</v>
      </c>
      <c r="G32" s="7">
        <v>0</v>
      </c>
    </row>
    <row r="33" spans="2:7" x14ac:dyDescent="0.25">
      <c r="B33" s="5" t="s">
        <v>94</v>
      </c>
      <c r="C33" s="5" t="s">
        <v>95</v>
      </c>
      <c r="D33" s="7">
        <v>50</v>
      </c>
      <c r="E33" s="5" t="s">
        <v>96</v>
      </c>
      <c r="F33" s="5" t="s">
        <v>90</v>
      </c>
      <c r="G33" s="7">
        <v>0</v>
      </c>
    </row>
    <row r="34" spans="2:7" x14ac:dyDescent="0.25">
      <c r="B34" s="5" t="s">
        <v>97</v>
      </c>
      <c r="C34" s="5" t="s">
        <v>98</v>
      </c>
      <c r="D34" s="7">
        <v>100</v>
      </c>
      <c r="E34" s="5" t="s">
        <v>99</v>
      </c>
      <c r="F34" s="5" t="s">
        <v>90</v>
      </c>
      <c r="G34" s="5">
        <v>0</v>
      </c>
    </row>
    <row r="35" spans="2:7" ht="16.5" thickBot="1" x14ac:dyDescent="0.3">
      <c r="B35" s="2" t="s">
        <v>100</v>
      </c>
      <c r="C35" s="2" t="s">
        <v>101</v>
      </c>
      <c r="D35" s="6">
        <v>70</v>
      </c>
      <c r="E35" s="2" t="s">
        <v>102</v>
      </c>
      <c r="F35" s="2" t="s">
        <v>103</v>
      </c>
      <c r="G35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F22" sqref="F22"/>
    </sheetView>
  </sheetViews>
  <sheetFormatPr defaultRowHeight="21" x14ac:dyDescent="0.25"/>
  <cols>
    <col min="1" max="1" width="44.5" bestFit="1" customWidth="1"/>
  </cols>
  <sheetData>
    <row r="1" spans="1:7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ht="15.75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4" spans="1:7" ht="15.7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7" ht="15.75" x14ac:dyDescent="0.25">
      <c r="A5" t="s">
        <v>8</v>
      </c>
      <c r="B5">
        <v>5</v>
      </c>
      <c r="C5">
        <v>8</v>
      </c>
      <c r="D5">
        <v>12</v>
      </c>
      <c r="E5">
        <v>100</v>
      </c>
    </row>
    <row r="6" spans="1:7" ht="15.75" x14ac:dyDescent="0.25">
      <c r="A6" t="s">
        <v>9</v>
      </c>
      <c r="B6">
        <v>15</v>
      </c>
      <c r="C6">
        <v>10</v>
      </c>
      <c r="D6">
        <v>6</v>
      </c>
      <c r="E6">
        <v>100</v>
      </c>
    </row>
    <row r="8" spans="1:7" ht="15.75" x14ac:dyDescent="0.25">
      <c r="A8" t="s">
        <v>10</v>
      </c>
      <c r="B8">
        <v>40</v>
      </c>
      <c r="C8">
        <v>80</v>
      </c>
      <c r="D8">
        <v>50</v>
      </c>
      <c r="E8" t="s">
        <v>1</v>
      </c>
    </row>
    <row r="10" spans="1:7" ht="15.75" x14ac:dyDescent="0.25">
      <c r="A10" t="s">
        <v>11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ht="15.75" x14ac:dyDescent="0.25">
      <c r="A11" t="s">
        <v>12</v>
      </c>
      <c r="B11" t="s">
        <v>4</v>
      </c>
      <c r="C11" t="s">
        <v>5</v>
      </c>
      <c r="D11" t="s">
        <v>6</v>
      </c>
      <c r="E11" t="s">
        <v>13</v>
      </c>
      <c r="F11" t="s">
        <v>14</v>
      </c>
    </row>
    <row r="12" spans="1:7" ht="15.75" x14ac:dyDescent="0.25">
      <c r="A12" t="s">
        <v>8</v>
      </c>
      <c r="B12" s="21">
        <v>40</v>
      </c>
      <c r="C12" s="21">
        <v>60</v>
      </c>
      <c r="D12" s="21">
        <v>0</v>
      </c>
      <c r="E12" s="22">
        <f>SUM(B12:D12)</f>
        <v>100</v>
      </c>
      <c r="F12" s="22" t="s">
        <v>15</v>
      </c>
    </row>
    <row r="13" spans="1:7" ht="15.75" x14ac:dyDescent="0.25">
      <c r="A13" t="s">
        <v>9</v>
      </c>
      <c r="B13" s="21">
        <v>0</v>
      </c>
      <c r="C13" s="21">
        <v>20</v>
      </c>
      <c r="D13" s="21">
        <v>50</v>
      </c>
      <c r="E13" s="22">
        <f>SUM(B13:D13)</f>
        <v>70</v>
      </c>
      <c r="F13" s="22" t="s">
        <v>15</v>
      </c>
    </row>
    <row r="14" spans="1:7" ht="15.75" x14ac:dyDescent="0.25">
      <c r="A14" t="s">
        <v>16</v>
      </c>
      <c r="B14" s="22">
        <f>SUM(B12:B13)</f>
        <v>40</v>
      </c>
      <c r="C14" s="22">
        <f>SUM(C12:C13)</f>
        <v>80</v>
      </c>
      <c r="D14" s="22">
        <f>SUM(D12:D13)</f>
        <v>50</v>
      </c>
      <c r="E14" t="s">
        <v>1</v>
      </c>
      <c r="F14" t="s">
        <v>1</v>
      </c>
    </row>
    <row r="15" spans="1:7" ht="15.75" x14ac:dyDescent="0.25">
      <c r="A15" t="s">
        <v>14</v>
      </c>
      <c r="B15" s="22" t="s">
        <v>17</v>
      </c>
      <c r="C15" s="22" t="s">
        <v>18</v>
      </c>
      <c r="D15" s="22" t="s">
        <v>19</v>
      </c>
      <c r="E15" t="s">
        <v>1</v>
      </c>
      <c r="F15" t="s">
        <v>1</v>
      </c>
    </row>
    <row r="17" spans="1:7" ht="15.75" x14ac:dyDescent="0.25">
      <c r="A17" t="s">
        <v>20</v>
      </c>
      <c r="B17" s="23">
        <f>SUMPRODUCT(B5:D6, B12:D13)</f>
        <v>1180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</row>
    <row r="18" spans="1:7" ht="15.75" x14ac:dyDescent="0.25">
      <c r="A18" t="s">
        <v>21</v>
      </c>
      <c r="B18" t="s">
        <v>22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</row>
    <row r="21" spans="1:7" x14ac:dyDescent="0.25">
      <c r="B21" s="23" t="s">
        <v>118</v>
      </c>
    </row>
    <row r="22" spans="1:7" x14ac:dyDescent="0.25">
      <c r="B22" s="21" t="s">
        <v>119</v>
      </c>
    </row>
    <row r="23" spans="1:7" x14ac:dyDescent="0.25">
      <c r="B23" s="22" t="s">
        <v>67</v>
      </c>
    </row>
  </sheetData>
  <pageMargins left="0.7" right="0.7" top="0.75" bottom="0.75" header="0.3" footer="0.3"/>
  <pageSetup orientation="portrait" r:id="rId1"/>
  <ignoredErrors>
    <ignoredError sqref="A1:G11 A14:G18 A12:A13 E12:G1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07A7-02D5-4DA6-89B1-EE236F81DC0A}">
  <sheetPr>
    <outlinePr summaryBelow="0"/>
  </sheetPr>
  <dimension ref="B1:G12"/>
  <sheetViews>
    <sheetView showGridLines="0" workbookViewId="0">
      <selection activeCell="I21" sqref="I21"/>
    </sheetView>
  </sheetViews>
  <sheetFormatPr defaultRowHeight="15.75" outlineLevelRow="1" outlineLevelCol="1" x14ac:dyDescent="0.25"/>
  <cols>
    <col min="3" max="3" width="11.125" bestFit="1" customWidth="1"/>
    <col min="4" max="7" width="13" bestFit="1" customWidth="1" outlineLevel="1"/>
  </cols>
  <sheetData>
    <row r="1" spans="2:7" ht="16.5" thickBot="1" x14ac:dyDescent="0.3"/>
    <row r="2" spans="2:7" ht="18.75" x14ac:dyDescent="0.3">
      <c r="B2" s="10" t="s">
        <v>111</v>
      </c>
      <c r="C2" s="10"/>
      <c r="D2" s="15"/>
      <c r="E2" s="15"/>
      <c r="F2" s="15"/>
      <c r="G2" s="15"/>
    </row>
    <row r="3" spans="2:7" ht="18.75" collapsed="1" x14ac:dyDescent="0.3">
      <c r="B3" s="9"/>
      <c r="C3" s="9"/>
      <c r="D3" s="16" t="s">
        <v>113</v>
      </c>
      <c r="E3" s="16" t="s">
        <v>106</v>
      </c>
      <c r="F3" s="16" t="s">
        <v>108</v>
      </c>
      <c r="G3" s="16" t="s">
        <v>110</v>
      </c>
    </row>
    <row r="4" spans="2:7" ht="45" hidden="1" outlineLevel="1" x14ac:dyDescent="0.25">
      <c r="B4" s="12"/>
      <c r="C4" s="12"/>
      <c r="D4" s="4"/>
      <c r="E4" s="18" t="s">
        <v>107</v>
      </c>
      <c r="F4" s="18" t="s">
        <v>109</v>
      </c>
      <c r="G4" s="18" t="s">
        <v>109</v>
      </c>
    </row>
    <row r="5" spans="2:7" x14ac:dyDescent="0.25">
      <c r="B5" s="13" t="s">
        <v>112</v>
      </c>
      <c r="C5" s="13"/>
      <c r="D5" s="11"/>
      <c r="E5" s="11"/>
      <c r="F5" s="11"/>
      <c r="G5" s="11"/>
    </row>
    <row r="6" spans="2:7" outlineLevel="1" x14ac:dyDescent="0.25">
      <c r="B6" s="12"/>
      <c r="C6" s="12" t="s">
        <v>104</v>
      </c>
      <c r="D6" s="4">
        <v>2.5</v>
      </c>
      <c r="E6" s="17">
        <v>1.5</v>
      </c>
      <c r="F6" s="17">
        <v>2.5</v>
      </c>
      <c r="G6" s="17">
        <v>4</v>
      </c>
    </row>
    <row r="7" spans="2:7" outlineLevel="1" x14ac:dyDescent="0.25">
      <c r="B7" s="12"/>
      <c r="C7" s="12" t="s">
        <v>33</v>
      </c>
      <c r="D7" s="4">
        <v>0.04</v>
      </c>
      <c r="E7" s="17">
        <v>0.06</v>
      </c>
      <c r="F7" s="17">
        <v>0.04</v>
      </c>
      <c r="G7" s="17">
        <v>0.02</v>
      </c>
    </row>
    <row r="8" spans="2:7" x14ac:dyDescent="0.25">
      <c r="B8" s="13" t="s">
        <v>114</v>
      </c>
      <c r="C8" s="13"/>
      <c r="D8" s="11"/>
      <c r="E8" s="11"/>
      <c r="F8" s="11"/>
      <c r="G8" s="11"/>
    </row>
    <row r="9" spans="2:7" ht="16.5" outlineLevel="1" thickBot="1" x14ac:dyDescent="0.3">
      <c r="B9" s="14"/>
      <c r="C9" s="14" t="s">
        <v>105</v>
      </c>
      <c r="D9" s="8">
        <v>30000</v>
      </c>
      <c r="E9" s="8">
        <v>150000</v>
      </c>
      <c r="F9" s="8">
        <v>30000</v>
      </c>
      <c r="G9" s="8">
        <v>-25000</v>
      </c>
    </row>
    <row r="10" spans="2:7" x14ac:dyDescent="0.25">
      <c r="B10" t="s">
        <v>115</v>
      </c>
    </row>
    <row r="11" spans="2:7" x14ac:dyDescent="0.25">
      <c r="B11" t="s">
        <v>116</v>
      </c>
    </row>
    <row r="12" spans="2:7" x14ac:dyDescent="0.25">
      <c r="B12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C26" sqref="C26"/>
    </sheetView>
  </sheetViews>
  <sheetFormatPr defaultRowHeight="21" x14ac:dyDescent="0.25"/>
  <cols>
    <col min="1" max="1" width="38.625" bestFit="1" customWidth="1"/>
    <col min="2" max="2" width="56.125" bestFit="1" customWidth="1"/>
  </cols>
  <sheetData>
    <row r="1" spans="1:5" ht="15.75" x14ac:dyDescent="0.25">
      <c r="A1" t="s">
        <v>23</v>
      </c>
      <c r="B1" t="s">
        <v>1</v>
      </c>
      <c r="C1" t="s">
        <v>1</v>
      </c>
      <c r="D1" t="s">
        <v>1</v>
      </c>
      <c r="E1" t="s">
        <v>1</v>
      </c>
    </row>
    <row r="2" spans="1:5" ht="15.75" x14ac:dyDescent="0.25">
      <c r="A2" t="s">
        <v>24</v>
      </c>
      <c r="B2" t="s">
        <v>1</v>
      </c>
      <c r="C2" t="s">
        <v>1</v>
      </c>
      <c r="D2" t="s">
        <v>1</v>
      </c>
      <c r="E2" t="s">
        <v>1</v>
      </c>
    </row>
    <row r="4" spans="1:5" ht="15.75" x14ac:dyDescent="0.25">
      <c r="A4" t="s">
        <v>25</v>
      </c>
      <c r="B4" t="s">
        <v>26</v>
      </c>
      <c r="C4" t="s">
        <v>27</v>
      </c>
    </row>
    <row r="5" spans="1:5" ht="15.75" x14ac:dyDescent="0.25">
      <c r="A5" t="s">
        <v>28</v>
      </c>
      <c r="B5">
        <v>50000</v>
      </c>
      <c r="C5" t="s">
        <v>29</v>
      </c>
    </row>
    <row r="6" spans="1:5" ht="15.75" x14ac:dyDescent="0.25">
      <c r="A6" t="s">
        <v>30</v>
      </c>
      <c r="B6" s="19">
        <v>2.5</v>
      </c>
      <c r="C6" t="s">
        <v>31</v>
      </c>
    </row>
    <row r="7" spans="1:5" ht="15.75" x14ac:dyDescent="0.25">
      <c r="A7" t="s">
        <v>32</v>
      </c>
      <c r="B7" s="19">
        <v>0.04</v>
      </c>
      <c r="C7" t="s">
        <v>33</v>
      </c>
    </row>
    <row r="8" spans="1:5" ht="15.75" x14ac:dyDescent="0.25">
      <c r="A8" t="s">
        <v>34</v>
      </c>
      <c r="B8">
        <v>100</v>
      </c>
      <c r="C8" t="s">
        <v>35</v>
      </c>
    </row>
    <row r="10" spans="1:5" ht="15.75" x14ac:dyDescent="0.25">
      <c r="A10" t="s">
        <v>36</v>
      </c>
      <c r="B10" t="s">
        <v>37</v>
      </c>
      <c r="C10" t="s">
        <v>1</v>
      </c>
    </row>
    <row r="11" spans="1:5" ht="15.75" x14ac:dyDescent="0.25">
      <c r="A11" t="s">
        <v>38</v>
      </c>
      <c r="B11">
        <f>B5/B6</f>
        <v>20000</v>
      </c>
      <c r="C11" t="s">
        <v>39</v>
      </c>
    </row>
    <row r="12" spans="1:5" ht="15.75" x14ac:dyDescent="0.25">
      <c r="A12" t="s">
        <v>40</v>
      </c>
      <c r="B12">
        <f>B11*B7</f>
        <v>800</v>
      </c>
      <c r="C12" t="s">
        <v>41</v>
      </c>
    </row>
    <row r="13" spans="1:5" ht="15.75" x14ac:dyDescent="0.25">
      <c r="A13" t="s">
        <v>42</v>
      </c>
      <c r="B13">
        <f>B12*B8</f>
        <v>80000</v>
      </c>
      <c r="C13" t="s">
        <v>43</v>
      </c>
    </row>
    <row r="14" spans="1:5" ht="15.75" x14ac:dyDescent="0.25">
      <c r="A14" t="s">
        <v>44</v>
      </c>
      <c r="B14" s="20">
        <f>B13-B5</f>
        <v>30000</v>
      </c>
      <c r="C14" t="s">
        <v>45</v>
      </c>
    </row>
    <row r="16" spans="1:5" ht="15.75" x14ac:dyDescent="0.25">
      <c r="A16" t="s">
        <v>21</v>
      </c>
      <c r="B16" t="s">
        <v>46</v>
      </c>
      <c r="C16" t="s">
        <v>1</v>
      </c>
      <c r="D16" t="s">
        <v>1</v>
      </c>
      <c r="E16" t="s">
        <v>1</v>
      </c>
    </row>
    <row r="17" spans="1:5" ht="15.75" x14ac:dyDescent="0.25">
      <c r="A17" t="s">
        <v>1</v>
      </c>
      <c r="B17" t="s">
        <v>47</v>
      </c>
      <c r="C17" t="s">
        <v>1</v>
      </c>
      <c r="D17" t="s">
        <v>1</v>
      </c>
      <c r="E17" t="s">
        <v>1</v>
      </c>
    </row>
    <row r="18" spans="1:5" ht="15.75" x14ac:dyDescent="0.25">
      <c r="A18" t="s">
        <v>1</v>
      </c>
      <c r="B18" t="s">
        <v>48</v>
      </c>
      <c r="C18" t="s">
        <v>1</v>
      </c>
      <c r="D18" t="s">
        <v>1</v>
      </c>
      <c r="E18" t="s">
        <v>1</v>
      </c>
    </row>
  </sheetData>
  <scenarios current="0" sqref="B14">
    <scenario name="Viral" locked="1" count="2" user="haj" comment="Created by haj on 1/27/2026_x000a_Modified by haj on 1/27/2026">
      <inputCells r="B6" val="1.5"/>
      <inputCells r="B7" val="0.06"/>
    </scenario>
    <scenario name="Standard" locked="1" count="2" user="haj" comment="Created by haj on 1/27/2026">
      <inputCells r="B6" val="2.5"/>
      <inputCells r="B7" val="0.04"/>
    </scenario>
    <scenario name="Flop" locked="1" count="2" user="haj" comment="Created by haj on 1/27/2026">
      <inputCells r="B6" val="4"/>
      <inputCells r="B7" val="0.02"/>
    </scenario>
  </scenarios>
  <pageMargins left="0.7" right="0.7" top="0.75" bottom="0.75" header="0.3" footer="0.3"/>
  <ignoredErrors>
    <ignoredError sqref="A1:E5 A8:E18 A6 C6:E6 A7 C7:E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Answer Report 1</vt:lpstr>
      <vt:lpstr>Logistics_Solver_Practice</vt:lpstr>
      <vt:lpstr>Scenario Summary</vt:lpstr>
      <vt:lpstr>Marketing_Scenarios_Practice</vt:lpstr>
      <vt:lpstr>Avg_Order_Value</vt:lpstr>
      <vt:lpstr>Budget</vt:lpstr>
      <vt:lpstr>Conv_Rate</vt:lpstr>
      <vt:lpstr>CPC</vt:lpstr>
      <vt:lpstr>Total_Profit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Joo Ha</cp:lastModifiedBy>
  <dcterms:created xsi:type="dcterms:W3CDTF">2026-01-27T19:18:34Z</dcterms:created>
  <dcterms:modified xsi:type="dcterms:W3CDTF">2026-01-27T19:19:29Z</dcterms:modified>
</cp:coreProperties>
</file>