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Library\CloudStorage\OneDrive-GonzagaUniversity\Gonzaga-Accounting Data Analytics\_MWF2026Sp\ACCT311-Apps\interactive-apps\3.excel-lookup\data\"/>
    </mc:Choice>
  </mc:AlternateContent>
  <xr:revisionPtr revIDLastSave="0" documentId="13_ncr:1_{50037782-052B-4FF2-B050-5A20FDAF9807}" xr6:coauthVersionLast="47" xr6:coauthVersionMax="47" xr10:uidLastSave="{00000000-0000-0000-0000-000000000000}"/>
  <bookViews>
    <workbookView xWindow="7500" yWindow="3690" windowWidth="19710" windowHeight="14550" activeTab="3" xr2:uid="{00000000-000D-0000-FFFF-FFFF00000000}"/>
  </bookViews>
  <sheets>
    <sheet name="Vendors" sheetId="1" r:id="rId1"/>
    <sheet name="ApprovalPolicy" sheetId="2" r:id="rId2"/>
    <sheet name="BudgetMatrix" sheetId="3" r:id="rId3"/>
    <sheet name="InvoiceLab" sheetId="4" r:id="rId4"/>
    <sheet name="Instructions" sheetId="5" r:id="rId5"/>
  </sheets>
  <definedNames>
    <definedName name="ApprovalPolicy">ApprovalPolicy!$A$1:$B$5</definedName>
    <definedName name="BudgetMatrix">BudgetMatrix!$A$1:$D$8</definedName>
    <definedName name="Vendors">Vendors!$A$1:$F$9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4" l="1" a="1"/>
  <c r="U2" i="4" s="1"/>
  <c r="N2" i="4" a="1"/>
  <c r="N2" i="4" s="1"/>
  <c r="G3" i="4"/>
  <c r="G4" i="4"/>
  <c r="G5" i="4"/>
  <c r="G6" i="4"/>
  <c r="G7" i="4"/>
  <c r="G8" i="4"/>
  <c r="G9" i="4"/>
  <c r="G10" i="4"/>
  <c r="G11" i="4"/>
  <c r="L3" i="4"/>
  <c r="L4" i="4"/>
  <c r="L5" i="4"/>
  <c r="L6" i="4"/>
  <c r="L7" i="4"/>
  <c r="L8" i="4"/>
  <c r="L9" i="4"/>
  <c r="L10" i="4"/>
  <c r="L11" i="4"/>
  <c r="L2" i="4"/>
  <c r="J3" i="4" a="1"/>
  <c r="J3" i="4" s="1"/>
  <c r="K3" i="4" s="1"/>
  <c r="I3" i="4"/>
  <c r="I4" i="4"/>
  <c r="J4" i="4" s="1" a="1"/>
  <c r="J4" i="4" s="1"/>
  <c r="K4" i="4" s="1"/>
  <c r="I5" i="4"/>
  <c r="J5" i="4" s="1" a="1"/>
  <c r="J5" i="4" s="1"/>
  <c r="K5" i="4" s="1"/>
  <c r="I6" i="4"/>
  <c r="J6" i="4" s="1" a="1"/>
  <c r="J6" i="4" s="1"/>
  <c r="K6" i="4" s="1"/>
  <c r="I7" i="4"/>
  <c r="J7" i="4" s="1" a="1"/>
  <c r="J7" i="4" s="1"/>
  <c r="K7" i="4" s="1"/>
  <c r="I8" i="4"/>
  <c r="J8" i="4" s="1" a="1"/>
  <c r="J8" i="4" s="1"/>
  <c r="K8" i="4" s="1"/>
  <c r="I9" i="4"/>
  <c r="J9" i="4" s="1" a="1"/>
  <c r="J9" i="4" s="1"/>
  <c r="K9" i="4" s="1"/>
  <c r="I10" i="4"/>
  <c r="J10" i="4" s="1" a="1"/>
  <c r="J10" i="4" s="1"/>
  <c r="K10" i="4" s="1"/>
  <c r="I11" i="4"/>
  <c r="J11" i="4" s="1" a="1"/>
  <c r="J11" i="4" s="1"/>
  <c r="K11" i="4" s="1"/>
  <c r="I2" i="4"/>
  <c r="J2" i="4" s="1" a="1"/>
  <c r="J2" i="4" s="1"/>
  <c r="K2" i="4" s="1"/>
  <c r="G2" i="4"/>
  <c r="H3" i="4"/>
  <c r="H4" i="4"/>
  <c r="H5" i="4"/>
  <c r="H6" i="4"/>
  <c r="H7" i="4"/>
  <c r="H8" i="4"/>
  <c r="H9" i="4"/>
  <c r="H10" i="4"/>
  <c r="H11" i="4"/>
  <c r="H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<sst xmlns="http://schemas.openxmlformats.org/spreadsheetml/2006/main" count="135" uniqueCount="102">
  <si>
    <t>VendorID</t>
  </si>
  <si>
    <t>VendorName</t>
  </si>
  <si>
    <t>Category</t>
  </si>
  <si>
    <t>PaymentTerms</t>
  </si>
  <si>
    <t>DefaultGL</t>
  </si>
  <si>
    <t>APOwner</t>
  </si>
  <si>
    <t>V-1001</t>
  </si>
  <si>
    <t>Staples</t>
  </si>
  <si>
    <t>Office Supplies</t>
  </si>
  <si>
    <t>Net 30</t>
  </si>
  <si>
    <t>AP-Office</t>
  </si>
  <si>
    <t>V-1002</t>
  </si>
  <si>
    <t>Delta Airlines</t>
  </si>
  <si>
    <t>Travel</t>
  </si>
  <si>
    <t>Due on Receipt</t>
  </si>
  <si>
    <t>AP-Travel</t>
  </si>
  <si>
    <t>V-1003</t>
  </si>
  <si>
    <t>AWS</t>
  </si>
  <si>
    <t>Software</t>
  </si>
  <si>
    <t>Net 15</t>
  </si>
  <si>
    <t>AP-IT</t>
  </si>
  <si>
    <t>V-1004</t>
  </si>
  <si>
    <t>City Utilities</t>
  </si>
  <si>
    <t>Utilities</t>
  </si>
  <si>
    <t>AP-Utilities</t>
  </si>
  <si>
    <t>V-1005</t>
  </si>
  <si>
    <t>WeWork</t>
  </si>
  <si>
    <t>Rent</t>
  </si>
  <si>
    <t>AP-Facilities</t>
  </si>
  <si>
    <t>V-1006</t>
  </si>
  <si>
    <t>Zoom</t>
  </si>
  <si>
    <t>V-1007</t>
  </si>
  <si>
    <t>FedEx</t>
  </si>
  <si>
    <t>Shipping</t>
  </si>
  <si>
    <t>AP-Shipping</t>
  </si>
  <si>
    <t>V-1008</t>
  </si>
  <si>
    <t>Home Depot</t>
  </si>
  <si>
    <t>Repairs &amp; Maintenance</t>
  </si>
  <si>
    <t>Threshold</t>
  </si>
  <si>
    <t>Approver</t>
  </si>
  <si>
    <t>Staff Accountant</t>
  </si>
  <si>
    <t>Accounting Manager</t>
  </si>
  <si>
    <t>Controller</t>
  </si>
  <si>
    <t>CFO</t>
  </si>
  <si>
    <t>GLAccount</t>
  </si>
  <si>
    <t>Marketing</t>
  </si>
  <si>
    <t>Ops</t>
  </si>
  <si>
    <t>Finance</t>
  </si>
  <si>
    <t>InvoiceID</t>
  </si>
  <si>
    <t>InvoiceDate</t>
  </si>
  <si>
    <t>Amount</t>
  </si>
  <si>
    <t>Description</t>
  </si>
  <si>
    <t>Department</t>
  </si>
  <si>
    <t>BudgetLimit</t>
  </si>
  <si>
    <t>OverBudgetFlag</t>
  </si>
  <si>
    <t>INV-901</t>
  </si>
  <si>
    <t>2025-01-10</t>
  </si>
  <si>
    <t>Printer paper + pens</t>
  </si>
  <si>
    <t>INV-902</t>
  </si>
  <si>
    <t>2025-01-11</t>
  </si>
  <si>
    <t>Cloud hosting - January</t>
  </si>
  <si>
    <t>INV-903</t>
  </si>
  <si>
    <t>2025-01-12</t>
  </si>
  <si>
    <t>Electric bill - HQ</t>
  </si>
  <si>
    <t>INV-904</t>
  </si>
  <si>
    <t>2025-01-13</t>
  </si>
  <si>
    <t>Flight to NY - client meeting</t>
  </si>
  <si>
    <t>INV-905</t>
  </si>
  <si>
    <t>2025-01-14</t>
  </si>
  <si>
    <t>Video meeting subscription</t>
  </si>
  <si>
    <t>INV-906</t>
  </si>
  <si>
    <t>2025-01-15</t>
  </si>
  <si>
    <t>January office rent</t>
  </si>
  <si>
    <t>INV-907</t>
  </si>
  <si>
    <t>2025-01-16</t>
  </si>
  <si>
    <t>Overnight shipping - documents</t>
  </si>
  <si>
    <t>INV-908</t>
  </si>
  <si>
    <t>2025-01-17</t>
  </si>
  <si>
    <t>Repair supplies - maintenance</t>
  </si>
  <si>
    <t>INV-909</t>
  </si>
  <si>
    <t>2025-01-18</t>
  </si>
  <si>
    <t>Cloud hosting - extra storage</t>
  </si>
  <si>
    <t>INV-910</t>
  </si>
  <si>
    <t>2025-01-19</t>
  </si>
  <si>
    <t>Office supplies - staplers</t>
  </si>
  <si>
    <t>XLOOKUP + INDEX/XMATCH Practice (Accounting Case)</t>
  </si>
  <si>
    <t>Goal: Fill the yellow columns in InvoiceLab using lookup tables.</t>
  </si>
  <si>
    <t>Tasks:</t>
  </si>
  <si>
    <t>1) VendorName (XLOOKUP using VendorID)</t>
  </si>
  <si>
    <t>2) PaymentTerms (XLOOKUP using VendorID)</t>
  </si>
  <si>
    <t>3) DefaultGL (XLOOKUP using VendorID)</t>
  </si>
  <si>
    <t>4) BudgetLimit (INDEX + XMATCH 2-way lookup using DefaultGL + Department)</t>
  </si>
  <si>
    <t>5) OverBudgetFlag (IF Amount &gt; BudgetLimit then 'OVER BUDGET' else 'OK')</t>
  </si>
  <si>
    <t>6) Approver (XLOOKUP approximate match using ApprovalPolicy thresholds)</t>
  </si>
  <si>
    <t>Tables:</t>
  </si>
  <si>
    <t>- Vendors sheet = Vendor master lookup</t>
  </si>
  <si>
    <t>- BudgetMatrix sheet = 2-way lookup (GL rows, Dept columns)</t>
  </si>
  <si>
    <t>- ApprovalPolicy sheet = thresholds for approver</t>
  </si>
  <si>
    <t>7) Find all invoices where Amount &gt; 200 (in InvoiceLab sheet using 'Filter')</t>
  </si>
  <si>
    <t>8) Find all Marketing Invoices (in InvoiceLab sheet using 'Filter')</t>
  </si>
  <si>
    <r>
      <t xml:space="preserve">All invoices where </t>
    </r>
    <r>
      <rPr>
        <b/>
        <sz val="14"/>
        <color theme="0"/>
        <rFont val="Calibri"/>
        <family val="2"/>
        <scheme val="minor"/>
      </rPr>
      <t>Amount &gt; 200</t>
    </r>
  </si>
  <si>
    <r>
      <t xml:space="preserve">All </t>
    </r>
    <r>
      <rPr>
        <b/>
        <sz val="16"/>
        <color theme="0"/>
        <rFont val="Calibri"/>
        <family val="2"/>
        <scheme val="minor"/>
      </rPr>
      <t>Marketing invoices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</si>
</sst>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6"/>
      <color rgb="FFFFFFFF"/>
      <name val="Calibri"/>
      <family val="2"/>
    </font>
    <font>
      <b/>
      <sz val="16"/>
      <color theme="0"/>
      <name val="Calibri"/>
      <family val="2"/>
      <scheme val="minor"/>
    </font>
    <font>
      <b/>
      <sz val="16"/>
      <color theme="0"/>
      <name val="Calibri"/>
      <family val="2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59E0B"/>
      </patternFill>
    </fill>
    <fill>
      <patternFill patternType="solid">
        <fgColor rgb="FF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0" xfId="0" applyFont="1"/>
    <xf numFmtId="0" fontId="2" fillId="4" borderId="0" xfId="0" applyFont="1" applyFill="1"/>
    <xf numFmtId="0" fontId="1" fillId="4" borderId="0" xfId="0" applyFont="1" applyFill="1"/>
    <xf numFmtId="0" fontId="7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sqref="A1:F9"/>
    </sheetView>
  </sheetViews>
  <sheetFormatPr defaultRowHeight="15" x14ac:dyDescent="0.25"/>
  <cols>
    <col min="1" max="1" width="10" customWidth="1"/>
    <col min="2" max="2" width="16" customWidth="1"/>
    <col min="3" max="3" width="23" customWidth="1"/>
    <col min="4" max="4" width="16" customWidth="1"/>
    <col min="5" max="5" width="11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6100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6450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>
        <v>6200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9</v>
      </c>
      <c r="E5">
        <v>6300</v>
      </c>
      <c r="F5" t="s">
        <v>24</v>
      </c>
    </row>
    <row r="6" spans="1:6" x14ac:dyDescent="0.25">
      <c r="A6" t="s">
        <v>25</v>
      </c>
      <c r="B6" t="s">
        <v>26</v>
      </c>
      <c r="C6" t="s">
        <v>27</v>
      </c>
      <c r="D6" t="s">
        <v>9</v>
      </c>
      <c r="E6">
        <v>6400</v>
      </c>
      <c r="F6" t="s">
        <v>28</v>
      </c>
    </row>
    <row r="7" spans="1:6" x14ac:dyDescent="0.25">
      <c r="A7" t="s">
        <v>29</v>
      </c>
      <c r="B7" t="s">
        <v>30</v>
      </c>
      <c r="C7" t="s">
        <v>18</v>
      </c>
      <c r="D7" t="s">
        <v>9</v>
      </c>
      <c r="E7">
        <v>6200</v>
      </c>
      <c r="F7" t="s">
        <v>20</v>
      </c>
    </row>
    <row r="8" spans="1:6" x14ac:dyDescent="0.25">
      <c r="A8" t="s">
        <v>31</v>
      </c>
      <c r="B8" t="s">
        <v>32</v>
      </c>
      <c r="C8" t="s">
        <v>33</v>
      </c>
      <c r="D8" t="s">
        <v>9</v>
      </c>
      <c r="E8">
        <v>6460</v>
      </c>
      <c r="F8" t="s">
        <v>34</v>
      </c>
    </row>
    <row r="9" spans="1:6" x14ac:dyDescent="0.25">
      <c r="A9" t="s">
        <v>35</v>
      </c>
      <c r="B9" t="s">
        <v>36</v>
      </c>
      <c r="C9" t="s">
        <v>37</v>
      </c>
      <c r="D9" t="s">
        <v>9</v>
      </c>
      <c r="E9">
        <v>6470</v>
      </c>
      <c r="F9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B5"/>
    </sheetView>
  </sheetViews>
  <sheetFormatPr defaultRowHeight="15" x14ac:dyDescent="0.25"/>
  <cols>
    <col min="1" max="1" width="11" customWidth="1"/>
    <col min="2" max="2" width="20" customWidth="1"/>
  </cols>
  <sheetData>
    <row r="1" spans="1:2" x14ac:dyDescent="0.25">
      <c r="A1" s="1" t="s">
        <v>38</v>
      </c>
      <c r="B1" s="1" t="s">
        <v>39</v>
      </c>
    </row>
    <row r="2" spans="1:2" x14ac:dyDescent="0.25">
      <c r="A2">
        <v>0</v>
      </c>
      <c r="B2" t="s">
        <v>40</v>
      </c>
    </row>
    <row r="3" spans="1:2" x14ac:dyDescent="0.25">
      <c r="A3">
        <v>500</v>
      </c>
      <c r="B3" t="s">
        <v>41</v>
      </c>
    </row>
    <row r="4" spans="1:2" x14ac:dyDescent="0.25">
      <c r="A4">
        <v>2000</v>
      </c>
      <c r="B4" t="s">
        <v>42</v>
      </c>
    </row>
    <row r="5" spans="1:2" x14ac:dyDescent="0.25">
      <c r="A5">
        <v>10000</v>
      </c>
      <c r="B5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sqref="A1:D8"/>
    </sheetView>
  </sheetViews>
  <sheetFormatPr defaultRowHeight="15" x14ac:dyDescent="0.25"/>
  <cols>
    <col min="1" max="2" width="11" customWidth="1"/>
    <col min="3" max="3" width="6" customWidth="1"/>
    <col min="4" max="4" width="9" customWidth="1"/>
  </cols>
  <sheetData>
    <row r="1" spans="1:4" x14ac:dyDescent="0.25">
      <c r="A1" s="1" t="s">
        <v>44</v>
      </c>
      <c r="B1" s="1" t="s">
        <v>45</v>
      </c>
      <c r="C1" s="1" t="s">
        <v>46</v>
      </c>
      <c r="D1" s="1" t="s">
        <v>47</v>
      </c>
    </row>
    <row r="2" spans="1:4" x14ac:dyDescent="0.25">
      <c r="A2">
        <v>6100</v>
      </c>
      <c r="B2">
        <v>800</v>
      </c>
      <c r="C2">
        <v>500</v>
      </c>
      <c r="D2">
        <v>200</v>
      </c>
    </row>
    <row r="3" spans="1:4" x14ac:dyDescent="0.25">
      <c r="A3">
        <v>6200</v>
      </c>
      <c r="B3">
        <v>300</v>
      </c>
      <c r="C3">
        <v>900</v>
      </c>
      <c r="D3">
        <v>400</v>
      </c>
    </row>
    <row r="4" spans="1:4" x14ac:dyDescent="0.25">
      <c r="A4">
        <v>6300</v>
      </c>
      <c r="B4">
        <v>150</v>
      </c>
      <c r="C4">
        <v>350</v>
      </c>
      <c r="D4">
        <v>250</v>
      </c>
    </row>
    <row r="5" spans="1:4" x14ac:dyDescent="0.25">
      <c r="A5">
        <v>6400</v>
      </c>
      <c r="B5">
        <v>0</v>
      </c>
      <c r="C5">
        <v>2500</v>
      </c>
      <c r="D5">
        <v>0</v>
      </c>
    </row>
    <row r="6" spans="1:4" x14ac:dyDescent="0.25">
      <c r="A6">
        <v>6450</v>
      </c>
      <c r="B6">
        <v>1000</v>
      </c>
      <c r="C6">
        <v>200</v>
      </c>
      <c r="D6">
        <v>150</v>
      </c>
    </row>
    <row r="7" spans="1:4" x14ac:dyDescent="0.25">
      <c r="A7">
        <v>6460</v>
      </c>
      <c r="B7">
        <v>120</v>
      </c>
      <c r="C7">
        <v>180</v>
      </c>
      <c r="D7">
        <v>90</v>
      </c>
    </row>
    <row r="8" spans="1:4" x14ac:dyDescent="0.25">
      <c r="A8">
        <v>6470</v>
      </c>
      <c r="B8">
        <v>200</v>
      </c>
      <c r="C8">
        <v>600</v>
      </c>
      <c r="D8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tabSelected="1" topLeftCell="O1" workbookViewId="0">
      <selection activeCell="U10" sqref="U10"/>
    </sheetView>
  </sheetViews>
  <sheetFormatPr defaultRowHeight="21" x14ac:dyDescent="0.35"/>
  <cols>
    <col min="1" max="2" width="13" style="5" bestFit="1" customWidth="1"/>
    <col min="3" max="3" width="16.28515625" style="5" bestFit="1" customWidth="1"/>
    <col min="4" max="4" width="11.28515625" style="5" bestFit="1" customWidth="1"/>
    <col min="5" max="5" width="41.140625" style="5" bestFit="1" customWidth="1"/>
    <col min="6" max="6" width="16.42578125" style="5" bestFit="1" customWidth="1"/>
    <col min="7" max="7" width="18" style="5" bestFit="1" customWidth="1"/>
    <col min="8" max="8" width="20.140625" style="5" bestFit="1" customWidth="1"/>
    <col min="9" max="9" width="13.7109375" style="5" bestFit="1" customWidth="1"/>
    <col min="10" max="10" width="16.42578125" style="5" bestFit="1" customWidth="1"/>
    <col min="11" max="11" width="21.42578125" style="5" bestFit="1" customWidth="1"/>
    <col min="12" max="12" width="27.140625" style="5" bestFit="1" customWidth="1"/>
    <col min="13" max="13" width="9.140625" style="5"/>
    <col min="14" max="14" width="41.5703125" style="5" bestFit="1" customWidth="1"/>
    <col min="15" max="15" width="10.140625" style="5" bestFit="1" customWidth="1"/>
    <col min="16" max="16" width="15.7109375" style="5" bestFit="1" customWidth="1"/>
    <col min="17" max="17" width="10.7109375" style="5" bestFit="1" customWidth="1"/>
    <col min="18" max="18" width="38.7109375" style="5" bestFit="1" customWidth="1"/>
    <col min="19" max="19" width="14" style="5" bestFit="1" customWidth="1"/>
    <col min="20" max="20" width="9.140625" style="5"/>
    <col min="21" max="21" width="29.28515625" style="5" bestFit="1" customWidth="1"/>
    <col min="22" max="22" width="9.140625" style="5"/>
    <col min="24" max="16384" width="9.140625" style="5"/>
  </cols>
  <sheetData>
    <row r="1" spans="1:26" x14ac:dyDescent="0.35">
      <c r="A1" s="3" t="s">
        <v>48</v>
      </c>
      <c r="B1" s="3" t="s">
        <v>0</v>
      </c>
      <c r="C1" s="3" t="s">
        <v>49</v>
      </c>
      <c r="D1" s="3" t="s">
        <v>50</v>
      </c>
      <c r="E1" s="3" t="s">
        <v>51</v>
      </c>
      <c r="F1" s="3" t="s">
        <v>52</v>
      </c>
      <c r="G1" s="4" t="s">
        <v>1</v>
      </c>
      <c r="H1" s="4" t="s">
        <v>3</v>
      </c>
      <c r="I1" s="4" t="s">
        <v>4</v>
      </c>
      <c r="J1" s="4" t="s">
        <v>53</v>
      </c>
      <c r="K1" s="4" t="s">
        <v>54</v>
      </c>
      <c r="L1" s="4" t="s">
        <v>39</v>
      </c>
      <c r="N1" s="8" t="s">
        <v>100</v>
      </c>
      <c r="U1" s="8" t="s">
        <v>101</v>
      </c>
    </row>
    <row r="2" spans="1:26" x14ac:dyDescent="0.35">
      <c r="A2" s="5" t="s">
        <v>55</v>
      </c>
      <c r="B2" s="5" t="s">
        <v>6</v>
      </c>
      <c r="C2" s="5" t="s">
        <v>56</v>
      </c>
      <c r="D2" s="5">
        <v>125.5</v>
      </c>
      <c r="E2" s="5" t="s">
        <v>57</v>
      </c>
      <c r="F2" s="5" t="s">
        <v>45</v>
      </c>
      <c r="G2" s="6" t="str">
        <f>_xlfn.XLOOKUP(B2,Vendors!$A$2:$A$9,Vendors!$B$2:$B$9,"UNKNOWN")</f>
        <v>Staples</v>
      </c>
      <c r="H2" s="6" t="str">
        <f>_xlfn.XLOOKUP(B2,Vendors!$A$2:$A$9,Vendors!$D$2:$D$9,"MISSING")</f>
        <v>Net 30</v>
      </c>
      <c r="I2" s="6">
        <f>_xlfn.XLOOKUP(B2,Vendors!$A$2:$A$9,Vendors!$E$2:$E$9,"NO GL")</f>
        <v>6100</v>
      </c>
      <c r="J2" s="6" cm="1">
        <f t="array" ref="J2">INDEX(BudgetMatrix!$B$2:$D$8,_xlfn.XMATCH(I2,BudgetMatrix!$A$2:$A$8,0),_xlfn.XMATCH(F2,BudgetMatrix!$B$1:$D$1,0))</f>
        <v>800</v>
      </c>
      <c r="K2" s="6" t="str">
        <f t="shared" ref="K2:K11" si="0">IF(D2&gt;J2,"OVER BUDGET","OK")</f>
        <v>OK</v>
      </c>
      <c r="L2" s="6" t="str">
        <f>_xlfn.XLOOKUP(D2,ApprovalPolicy!$A$2:$A$5,ApprovalPolicy!$B$2:$B$5,"NO POLICY",-1)</f>
        <v>Staff Accountant</v>
      </c>
      <c r="N2" s="7" t="str" cm="1">
        <f t="array" ref="N2:S5">_xlfn._xlws.FILTER(A2:F11, D2:D11&gt;200, "No matches")</f>
        <v>INV-903</v>
      </c>
      <c r="O2" s="7" t="str">
        <v>V-1004</v>
      </c>
      <c r="P2" s="7" t="str">
        <v>2025-01-12</v>
      </c>
      <c r="Q2" s="7">
        <v>450</v>
      </c>
      <c r="R2" s="7" t="str">
        <v>Electric bill - HQ</v>
      </c>
      <c r="S2" s="7" t="str">
        <v>Ops</v>
      </c>
      <c r="U2" s="7" t="str" cm="1">
        <f t="array" ref="U2:Z4">_xlfn._xlws.FILTER(A2:F11, F2:F11="Marketing", "No matches")</f>
        <v>INV-901</v>
      </c>
      <c r="V2" s="7" t="str">
        <v>V-1001</v>
      </c>
      <c r="W2" s="7" t="str">
        <v>2025-01-10</v>
      </c>
      <c r="X2" s="7">
        <v>125.5</v>
      </c>
      <c r="Y2" s="7" t="str">
        <v>Printer paper + pens</v>
      </c>
      <c r="Z2" s="7" t="str">
        <v>Marketing</v>
      </c>
    </row>
    <row r="3" spans="1:26" x14ac:dyDescent="0.35">
      <c r="A3" s="5" t="s">
        <v>58</v>
      </c>
      <c r="B3" s="5" t="s">
        <v>16</v>
      </c>
      <c r="C3" s="5" t="s">
        <v>59</v>
      </c>
      <c r="D3" s="5">
        <v>99</v>
      </c>
      <c r="E3" s="5" t="s">
        <v>60</v>
      </c>
      <c r="F3" s="5" t="s">
        <v>46</v>
      </c>
      <c r="G3" s="6" t="str">
        <f>_xlfn.XLOOKUP(B3,Vendors!$A$2:$A$9,Vendors!$B$2:$B$9,"UNKNOWN")</f>
        <v>AWS</v>
      </c>
      <c r="H3" s="6" t="str">
        <f>_xlfn.XLOOKUP(B3,Vendors!$A$2:$A$9,Vendors!$D$2:$D$9,"MISSING")</f>
        <v>Net 15</v>
      </c>
      <c r="I3" s="6">
        <f>_xlfn.XLOOKUP(B3,Vendors!$A$2:$A$9,Vendors!$E$2:$E$9,"NO GL")</f>
        <v>6200</v>
      </c>
      <c r="J3" s="6" cm="1">
        <f t="array" ref="J3">INDEX(BudgetMatrix!$B$2:$D$8,_xlfn.XMATCH(I3,BudgetMatrix!$A$2:$A$8,0),_xlfn.XMATCH(F3,BudgetMatrix!$B$1:$D$1,0))</f>
        <v>900</v>
      </c>
      <c r="K3" s="6" t="str">
        <f t="shared" si="0"/>
        <v>OK</v>
      </c>
      <c r="L3" s="6" t="str">
        <f>_xlfn.XLOOKUP(D3,ApprovalPolicy!$A$2:$A$5,ApprovalPolicy!$B$2:$B$5,"NO POLICY",-1)</f>
        <v>Staff Accountant</v>
      </c>
      <c r="N3" s="7" t="str">
        <v>INV-904</v>
      </c>
      <c r="O3" s="7" t="str">
        <v>V-1002</v>
      </c>
      <c r="P3" s="7" t="str">
        <v>2025-01-13</v>
      </c>
      <c r="Q3" s="7">
        <v>650</v>
      </c>
      <c r="R3" s="7" t="str">
        <v>Flight to NY - client meeting</v>
      </c>
      <c r="S3" s="7" t="str">
        <v>Marketing</v>
      </c>
      <c r="U3" s="7" t="str">
        <v>INV-904</v>
      </c>
      <c r="V3" s="7" t="str">
        <v>V-1002</v>
      </c>
      <c r="W3" s="7" t="str">
        <v>2025-01-13</v>
      </c>
      <c r="X3" s="7">
        <v>650</v>
      </c>
      <c r="Y3" s="7" t="str">
        <v>Flight to NY - client meeting</v>
      </c>
      <c r="Z3" s="7" t="str">
        <v>Marketing</v>
      </c>
    </row>
    <row r="4" spans="1:26" x14ac:dyDescent="0.35">
      <c r="A4" s="5" t="s">
        <v>61</v>
      </c>
      <c r="B4" s="5" t="s">
        <v>21</v>
      </c>
      <c r="C4" s="5" t="s">
        <v>62</v>
      </c>
      <c r="D4" s="5">
        <v>450</v>
      </c>
      <c r="E4" s="5" t="s">
        <v>63</v>
      </c>
      <c r="F4" s="5" t="s">
        <v>46</v>
      </c>
      <c r="G4" s="6" t="str">
        <f>_xlfn.XLOOKUP(B4,Vendors!$A$2:$A$9,Vendors!$B$2:$B$9,"UNKNOWN")</f>
        <v>City Utilities</v>
      </c>
      <c r="H4" s="6" t="str">
        <f>_xlfn.XLOOKUP(B4,Vendors!$A$2:$A$9,Vendors!$D$2:$D$9,"MISSING")</f>
        <v>Net 30</v>
      </c>
      <c r="I4" s="6">
        <f>_xlfn.XLOOKUP(B4,Vendors!$A$2:$A$9,Vendors!$E$2:$E$9,"NO GL")</f>
        <v>6300</v>
      </c>
      <c r="J4" s="6" cm="1">
        <f t="array" ref="J4">INDEX(BudgetMatrix!$B$2:$D$8,_xlfn.XMATCH(I4,BudgetMatrix!$A$2:$A$8,0),_xlfn.XMATCH(F4,BudgetMatrix!$B$1:$D$1,0))</f>
        <v>350</v>
      </c>
      <c r="K4" s="6" t="str">
        <f t="shared" si="0"/>
        <v>OVER BUDGET</v>
      </c>
      <c r="L4" s="6" t="str">
        <f>_xlfn.XLOOKUP(D4,ApprovalPolicy!$A$2:$A$5,ApprovalPolicy!$B$2:$B$5,"NO POLICY",-1)</f>
        <v>Staff Accountant</v>
      </c>
      <c r="N4" s="7" t="str">
        <v>INV-906</v>
      </c>
      <c r="O4" s="7" t="str">
        <v>V-1005</v>
      </c>
      <c r="P4" s="7" t="str">
        <v>2025-01-15</v>
      </c>
      <c r="Q4" s="7">
        <v>3000</v>
      </c>
      <c r="R4" s="7" t="str">
        <v>January office rent</v>
      </c>
      <c r="S4" s="7" t="str">
        <v>Ops</v>
      </c>
      <c r="U4" s="7" t="str">
        <v>INV-910</v>
      </c>
      <c r="V4" s="7" t="str">
        <v>V-1001</v>
      </c>
      <c r="W4" s="7" t="str">
        <v>2025-01-19</v>
      </c>
      <c r="X4" s="7">
        <v>89.75</v>
      </c>
      <c r="Y4" s="7" t="str">
        <v>Office supplies - staplers</v>
      </c>
      <c r="Z4" s="7" t="str">
        <v>Marketing</v>
      </c>
    </row>
    <row r="5" spans="1:26" x14ac:dyDescent="0.35">
      <c r="A5" s="5" t="s">
        <v>64</v>
      </c>
      <c r="B5" s="5" t="s">
        <v>11</v>
      </c>
      <c r="C5" s="5" t="s">
        <v>65</v>
      </c>
      <c r="D5" s="5">
        <v>650</v>
      </c>
      <c r="E5" s="5" t="s">
        <v>66</v>
      </c>
      <c r="F5" s="5" t="s">
        <v>45</v>
      </c>
      <c r="G5" s="6" t="str">
        <f>_xlfn.XLOOKUP(B5,Vendors!$A$2:$A$9,Vendors!$B$2:$B$9,"UNKNOWN")</f>
        <v>Delta Airlines</v>
      </c>
      <c r="H5" s="6" t="str">
        <f>_xlfn.XLOOKUP(B5,Vendors!$A$2:$A$9,Vendors!$D$2:$D$9,"MISSING")</f>
        <v>Due on Receipt</v>
      </c>
      <c r="I5" s="6">
        <f>_xlfn.XLOOKUP(B5,Vendors!$A$2:$A$9,Vendors!$E$2:$E$9,"NO GL")</f>
        <v>6450</v>
      </c>
      <c r="J5" s="6" cm="1">
        <f t="array" ref="J5">INDEX(BudgetMatrix!$B$2:$D$8,_xlfn.XMATCH(I5,BudgetMatrix!$A$2:$A$8,0),_xlfn.XMATCH(F5,BudgetMatrix!$B$1:$D$1,0))</f>
        <v>1000</v>
      </c>
      <c r="K5" s="6" t="str">
        <f t="shared" si="0"/>
        <v>OK</v>
      </c>
      <c r="L5" s="6" t="str">
        <f>_xlfn.XLOOKUP(D5,ApprovalPolicy!$A$2:$A$5,ApprovalPolicy!$B$2:$B$5,"NO POLICY",-1)</f>
        <v>Accounting Manager</v>
      </c>
      <c r="N5" s="7" t="str">
        <v>INV-908</v>
      </c>
      <c r="O5" s="7" t="str">
        <v>V-1008</v>
      </c>
      <c r="P5" s="7" t="str">
        <v>2025-01-17</v>
      </c>
      <c r="Q5" s="7">
        <v>212.34</v>
      </c>
      <c r="R5" s="7" t="str">
        <v>Repair supplies - maintenance</v>
      </c>
      <c r="S5" s="7" t="str">
        <v>Ops</v>
      </c>
    </row>
    <row r="6" spans="1:26" x14ac:dyDescent="0.35">
      <c r="A6" s="5" t="s">
        <v>67</v>
      </c>
      <c r="B6" s="5" t="s">
        <v>29</v>
      </c>
      <c r="C6" s="5" t="s">
        <v>68</v>
      </c>
      <c r="D6" s="5">
        <v>15.99</v>
      </c>
      <c r="E6" s="5" t="s">
        <v>69</v>
      </c>
      <c r="F6" s="5" t="s">
        <v>47</v>
      </c>
      <c r="G6" s="6" t="str">
        <f>_xlfn.XLOOKUP(B6,Vendors!$A$2:$A$9,Vendors!$B$2:$B$9,"UNKNOWN")</f>
        <v>Zoom</v>
      </c>
      <c r="H6" s="6" t="str">
        <f>_xlfn.XLOOKUP(B6,Vendors!$A$2:$A$9,Vendors!$D$2:$D$9,"MISSING")</f>
        <v>Net 30</v>
      </c>
      <c r="I6" s="6">
        <f>_xlfn.XLOOKUP(B6,Vendors!$A$2:$A$9,Vendors!$E$2:$E$9,"NO GL")</f>
        <v>6200</v>
      </c>
      <c r="J6" s="6" cm="1">
        <f t="array" ref="J6">INDEX(BudgetMatrix!$B$2:$D$8,_xlfn.XMATCH(I6,BudgetMatrix!$A$2:$A$8,0),_xlfn.XMATCH(F6,BudgetMatrix!$B$1:$D$1,0))</f>
        <v>400</v>
      </c>
      <c r="K6" s="6" t="str">
        <f t="shared" si="0"/>
        <v>OK</v>
      </c>
      <c r="L6" s="6" t="str">
        <f>_xlfn.XLOOKUP(D6,ApprovalPolicy!$A$2:$A$5,ApprovalPolicy!$B$2:$B$5,"NO POLICY",-1)</f>
        <v>Staff Accountant</v>
      </c>
    </row>
    <row r="7" spans="1:26" x14ac:dyDescent="0.35">
      <c r="A7" s="5" t="s">
        <v>70</v>
      </c>
      <c r="B7" s="5" t="s">
        <v>25</v>
      </c>
      <c r="C7" s="5" t="s">
        <v>71</v>
      </c>
      <c r="D7" s="5">
        <v>3000</v>
      </c>
      <c r="E7" s="5" t="s">
        <v>72</v>
      </c>
      <c r="F7" s="5" t="s">
        <v>46</v>
      </c>
      <c r="G7" s="6" t="str">
        <f>_xlfn.XLOOKUP(B7,Vendors!$A$2:$A$9,Vendors!$B$2:$B$9,"UNKNOWN")</f>
        <v>WeWork</v>
      </c>
      <c r="H7" s="6" t="str">
        <f>_xlfn.XLOOKUP(B7,Vendors!$A$2:$A$9,Vendors!$D$2:$D$9,"MISSING")</f>
        <v>Net 30</v>
      </c>
      <c r="I7" s="6">
        <f>_xlfn.XLOOKUP(B7,Vendors!$A$2:$A$9,Vendors!$E$2:$E$9,"NO GL")</f>
        <v>6400</v>
      </c>
      <c r="J7" s="6" cm="1">
        <f t="array" ref="J7">INDEX(BudgetMatrix!$B$2:$D$8,_xlfn.XMATCH(I7,BudgetMatrix!$A$2:$A$8,0),_xlfn.XMATCH(F7,BudgetMatrix!$B$1:$D$1,0))</f>
        <v>2500</v>
      </c>
      <c r="K7" s="6" t="str">
        <f t="shared" si="0"/>
        <v>OVER BUDGET</v>
      </c>
      <c r="L7" s="6" t="str">
        <f>_xlfn.XLOOKUP(D7,ApprovalPolicy!$A$2:$A$5,ApprovalPolicy!$B$2:$B$5,"NO POLICY",-1)</f>
        <v>Controller</v>
      </c>
    </row>
    <row r="8" spans="1:26" x14ac:dyDescent="0.35">
      <c r="A8" s="5" t="s">
        <v>73</v>
      </c>
      <c r="B8" s="5" t="s">
        <v>31</v>
      </c>
      <c r="C8" s="5" t="s">
        <v>74</v>
      </c>
      <c r="D8" s="5">
        <v>48.2</v>
      </c>
      <c r="E8" s="5" t="s">
        <v>75</v>
      </c>
      <c r="F8" s="5" t="s">
        <v>47</v>
      </c>
      <c r="G8" s="6" t="str">
        <f>_xlfn.XLOOKUP(B8,Vendors!$A$2:$A$9,Vendors!$B$2:$B$9,"UNKNOWN")</f>
        <v>FedEx</v>
      </c>
      <c r="H8" s="6" t="str">
        <f>_xlfn.XLOOKUP(B8,Vendors!$A$2:$A$9,Vendors!$D$2:$D$9,"MISSING")</f>
        <v>Net 30</v>
      </c>
      <c r="I8" s="6">
        <f>_xlfn.XLOOKUP(B8,Vendors!$A$2:$A$9,Vendors!$E$2:$E$9,"NO GL")</f>
        <v>6460</v>
      </c>
      <c r="J8" s="6" cm="1">
        <f t="array" ref="J8">INDEX(BudgetMatrix!$B$2:$D$8,_xlfn.XMATCH(I8,BudgetMatrix!$A$2:$A$8,0),_xlfn.XMATCH(F8,BudgetMatrix!$B$1:$D$1,0))</f>
        <v>90</v>
      </c>
      <c r="K8" s="6" t="str">
        <f t="shared" si="0"/>
        <v>OK</v>
      </c>
      <c r="L8" s="6" t="str">
        <f>_xlfn.XLOOKUP(D8,ApprovalPolicy!$A$2:$A$5,ApprovalPolicy!$B$2:$B$5,"NO POLICY",-1)</f>
        <v>Staff Accountant</v>
      </c>
    </row>
    <row r="9" spans="1:26" x14ac:dyDescent="0.35">
      <c r="A9" s="5" t="s">
        <v>76</v>
      </c>
      <c r="B9" s="5" t="s">
        <v>35</v>
      </c>
      <c r="C9" s="5" t="s">
        <v>77</v>
      </c>
      <c r="D9" s="5">
        <v>212.34</v>
      </c>
      <c r="E9" s="5" t="s">
        <v>78</v>
      </c>
      <c r="F9" s="5" t="s">
        <v>46</v>
      </c>
      <c r="G9" s="6" t="str">
        <f>_xlfn.XLOOKUP(B9,Vendors!$A$2:$A$9,Vendors!$B$2:$B$9,"UNKNOWN")</f>
        <v>Home Depot</v>
      </c>
      <c r="H9" s="6" t="str">
        <f>_xlfn.XLOOKUP(B9,Vendors!$A$2:$A$9,Vendors!$D$2:$D$9,"MISSING")</f>
        <v>Net 30</v>
      </c>
      <c r="I9" s="6">
        <f>_xlfn.XLOOKUP(B9,Vendors!$A$2:$A$9,Vendors!$E$2:$E$9,"NO GL")</f>
        <v>6470</v>
      </c>
      <c r="J9" s="6" cm="1">
        <f t="array" ref="J9">INDEX(BudgetMatrix!$B$2:$D$8,_xlfn.XMATCH(I9,BudgetMatrix!$A$2:$A$8,0),_xlfn.XMATCH(F9,BudgetMatrix!$B$1:$D$1,0))</f>
        <v>600</v>
      </c>
      <c r="K9" s="6" t="str">
        <f t="shared" si="0"/>
        <v>OK</v>
      </c>
      <c r="L9" s="6" t="str">
        <f>_xlfn.XLOOKUP(D9,ApprovalPolicy!$A$2:$A$5,ApprovalPolicy!$B$2:$B$5,"NO POLICY",-1)</f>
        <v>Staff Accountant</v>
      </c>
    </row>
    <row r="10" spans="1:26" x14ac:dyDescent="0.35">
      <c r="A10" s="5" t="s">
        <v>79</v>
      </c>
      <c r="B10" s="5" t="s">
        <v>16</v>
      </c>
      <c r="C10" s="5" t="s">
        <v>80</v>
      </c>
      <c r="D10" s="5">
        <v>149</v>
      </c>
      <c r="E10" s="5" t="s">
        <v>81</v>
      </c>
      <c r="F10" s="5" t="s">
        <v>46</v>
      </c>
      <c r="G10" s="6" t="str">
        <f>_xlfn.XLOOKUP(B10,Vendors!$A$2:$A$9,Vendors!$B$2:$B$9,"UNKNOWN")</f>
        <v>AWS</v>
      </c>
      <c r="H10" s="6" t="str">
        <f>_xlfn.XLOOKUP(B10,Vendors!$A$2:$A$9,Vendors!$D$2:$D$9,"MISSING")</f>
        <v>Net 15</v>
      </c>
      <c r="I10" s="6">
        <f>_xlfn.XLOOKUP(B10,Vendors!$A$2:$A$9,Vendors!$E$2:$E$9,"NO GL")</f>
        <v>6200</v>
      </c>
      <c r="J10" s="6" cm="1">
        <f t="array" ref="J10">INDEX(BudgetMatrix!$B$2:$D$8,_xlfn.XMATCH(I10,BudgetMatrix!$A$2:$A$8,0),_xlfn.XMATCH(F10,BudgetMatrix!$B$1:$D$1,0))</f>
        <v>900</v>
      </c>
      <c r="K10" s="6" t="str">
        <f t="shared" si="0"/>
        <v>OK</v>
      </c>
      <c r="L10" s="6" t="str">
        <f>_xlfn.XLOOKUP(D10,ApprovalPolicy!$A$2:$A$5,ApprovalPolicy!$B$2:$B$5,"NO POLICY",-1)</f>
        <v>Staff Accountant</v>
      </c>
    </row>
    <row r="11" spans="1:26" x14ac:dyDescent="0.35">
      <c r="A11" s="5" t="s">
        <v>82</v>
      </c>
      <c r="B11" s="5" t="s">
        <v>6</v>
      </c>
      <c r="C11" s="5" t="s">
        <v>83</v>
      </c>
      <c r="D11" s="5">
        <v>89.75</v>
      </c>
      <c r="E11" s="5" t="s">
        <v>84</v>
      </c>
      <c r="F11" s="5" t="s">
        <v>45</v>
      </c>
      <c r="G11" s="6" t="str">
        <f>_xlfn.XLOOKUP(B11,Vendors!$A$2:$A$9,Vendors!$B$2:$B$9,"UNKNOWN")</f>
        <v>Staples</v>
      </c>
      <c r="H11" s="6" t="str">
        <f>_xlfn.XLOOKUP(B11,Vendors!$A$2:$A$9,Vendors!$D$2:$D$9,"MISSING")</f>
        <v>Net 30</v>
      </c>
      <c r="I11" s="6">
        <f>_xlfn.XLOOKUP(B11,Vendors!$A$2:$A$9,Vendors!$E$2:$E$9,"NO GL")</f>
        <v>6100</v>
      </c>
      <c r="J11" s="6" cm="1">
        <f t="array" ref="J11">INDEX(BudgetMatrix!$B$2:$D$8,_xlfn.XMATCH(I11,BudgetMatrix!$A$2:$A$8,0),_xlfn.XMATCH(F11,BudgetMatrix!$B$1:$D$1,0))</f>
        <v>800</v>
      </c>
      <c r="K11" s="6" t="str">
        <f t="shared" si="0"/>
        <v>OK</v>
      </c>
      <c r="L11" s="6" t="str">
        <f>_xlfn.XLOOKUP(D11,ApprovalPolicy!$A$2:$A$5,ApprovalPolicy!$B$2:$B$5,"NO POLICY",-1)</f>
        <v>Staff Accountant</v>
      </c>
    </row>
  </sheetData>
  <dataValidations disablePrompts="1" count="1">
    <dataValidation type="list" sqref="F2:F11" xr:uid="{00000000-0002-0000-0300-000000000000}">
      <formula1>"Marketing,Ops,Finance"</formula1>
    </dataValidation>
  </dataValidation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7"/>
  <sheetViews>
    <sheetView workbookViewId="0">
      <selection sqref="A1:A1048576"/>
    </sheetView>
  </sheetViews>
  <sheetFormatPr defaultRowHeight="15" x14ac:dyDescent="0.25"/>
  <cols>
    <col min="1" max="1" width="45" customWidth="1"/>
  </cols>
  <sheetData>
    <row r="1" spans="1:1" ht="18.75" x14ac:dyDescent="0.3">
      <c r="A1" s="2" t="s">
        <v>85</v>
      </c>
    </row>
    <row r="3" spans="1:1" x14ac:dyDescent="0.25">
      <c r="A3" t="s">
        <v>86</v>
      </c>
    </row>
    <row r="5" spans="1:1" x14ac:dyDescent="0.25">
      <c r="A5" t="s">
        <v>87</v>
      </c>
    </row>
    <row r="6" spans="1:1" x14ac:dyDescent="0.25">
      <c r="A6" t="s">
        <v>88</v>
      </c>
    </row>
    <row r="7" spans="1:1" x14ac:dyDescent="0.25">
      <c r="A7" t="s">
        <v>89</v>
      </c>
    </row>
    <row r="8" spans="1:1" x14ac:dyDescent="0.25">
      <c r="A8" t="s">
        <v>90</v>
      </c>
    </row>
    <row r="9" spans="1:1" x14ac:dyDescent="0.25">
      <c r="A9" t="s">
        <v>91</v>
      </c>
    </row>
    <row r="10" spans="1:1" x14ac:dyDescent="0.25">
      <c r="A10" t="s">
        <v>92</v>
      </c>
    </row>
    <row r="11" spans="1:1" x14ac:dyDescent="0.25">
      <c r="A11" t="s">
        <v>93</v>
      </c>
    </row>
    <row r="12" spans="1:1" x14ac:dyDescent="0.25">
      <c r="A12" t="s">
        <v>98</v>
      </c>
    </row>
    <row r="13" spans="1:1" x14ac:dyDescent="0.25">
      <c r="A13" t="s">
        <v>99</v>
      </c>
    </row>
    <row r="14" spans="1:1" x14ac:dyDescent="0.25">
      <c r="A14" t="s">
        <v>94</v>
      </c>
    </row>
    <row r="15" spans="1:1" x14ac:dyDescent="0.25">
      <c r="A15" t="s">
        <v>95</v>
      </c>
    </row>
    <row r="16" spans="1:1" x14ac:dyDescent="0.25">
      <c r="A16" t="s">
        <v>96</v>
      </c>
    </row>
    <row r="17" spans="1:1" x14ac:dyDescent="0.25">
      <c r="A17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Vendors</vt:lpstr>
      <vt:lpstr>ApprovalPolicy</vt:lpstr>
      <vt:lpstr>BudgetMatrix</vt:lpstr>
      <vt:lpstr>InvoiceLab</vt:lpstr>
      <vt:lpstr>Instructions</vt:lpstr>
      <vt:lpstr>ApprovalPolicy</vt:lpstr>
      <vt:lpstr>BudgetMatrix</vt:lpstr>
      <vt:lpstr>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Joo Ha</cp:lastModifiedBy>
  <dcterms:created xsi:type="dcterms:W3CDTF">2026-01-17T22:55:25Z</dcterms:created>
  <dcterms:modified xsi:type="dcterms:W3CDTF">2026-01-18T19:05:25Z</dcterms:modified>
</cp:coreProperties>
</file>