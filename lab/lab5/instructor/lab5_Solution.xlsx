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lab\lab5\instructor\"/>
    </mc:Choice>
  </mc:AlternateContent>
  <xr:revisionPtr revIDLastSave="0" documentId="13_ncr:1_{9C686C6A-E6C4-47F1-A5EA-BB486CD56DB9}" xr6:coauthVersionLast="47" xr6:coauthVersionMax="47" xr10:uidLastSave="{00000000-0000-0000-0000-000000000000}"/>
  <bookViews>
    <workbookView xWindow="30585" yWindow="-4005" windowWidth="24960" windowHeight="16395" firstSheet="4" activeTab="6" xr2:uid="{00000000-000D-0000-FFFF-FFFF00000000}"/>
  </bookViews>
  <sheets>
    <sheet name="Answer Report 1" sheetId="6" r:id="rId1"/>
    <sheet name="Module 1 - Solver" sheetId="5" r:id="rId2"/>
    <sheet name="Scenario Summary" sheetId="8" r:id="rId3"/>
    <sheet name="Module 2 - Scenarios" sheetId="2" r:id="rId4"/>
    <sheet name="Answer Report-CopperPeak" sheetId="11" r:id="rId5"/>
    <sheet name="Optimization Model" sheetId="9" r:id="rId6"/>
    <sheet name="ScenarioSummary2" sheetId="25" r:id="rId7"/>
    <sheet name="Scenario Planning" sheetId="24" r:id="rId8"/>
    <sheet name="My Scenario Plan" sheetId="10" r:id="rId9"/>
  </sheets>
  <definedNames>
    <definedName name="COGSpct">'Module 2 - Scenarios'!$B$5</definedName>
    <definedName name="CustomManifold">#REF!</definedName>
    <definedName name="DL">#REF!</definedName>
    <definedName name="MH">#REF!</definedName>
    <definedName name="NetIncome">'Module 2 - Scenarios'!$C$12</definedName>
    <definedName name="NetProfit">'Scenario Planning'!$B$26</definedName>
    <definedName name="NI">'Module 2 - Scenarios'!$B$12</definedName>
    <definedName name="PressureValve">#REF!</definedName>
    <definedName name="SalesGrowth">'Module 2 - Scenarios'!$B$4</definedName>
    <definedName name="solver_adj" localSheetId="1" hidden="1">'Module 1 - Solver'!$B$9:$C$9</definedName>
    <definedName name="solver_adj" localSheetId="5" hidden="1">'Optimization Model'!$B$12:$D$12</definedName>
    <definedName name="solver_cvg" localSheetId="1" hidden="1">0.0001</definedName>
    <definedName name="solver_cvg" localSheetId="5" hidden="1">0.0001</definedName>
    <definedName name="solver_drv" localSheetId="1" hidden="1">1</definedName>
    <definedName name="solver_drv" localSheetId="5" hidden="1">1</definedName>
    <definedName name="solver_eng" localSheetId="1" hidden="1">2</definedName>
    <definedName name="solver_eng" localSheetId="5" hidden="1">2</definedName>
    <definedName name="solver_est" localSheetId="1" hidden="1">1</definedName>
    <definedName name="solver_est" localSheetId="5" hidden="1">1</definedName>
    <definedName name="solver_itr" localSheetId="1" hidden="1">2147483647</definedName>
    <definedName name="solver_itr" localSheetId="5" hidden="1">2147483647</definedName>
    <definedName name="solver_lhs1" localSheetId="1" hidden="1">'Module 1 - Solver'!$B$15</definedName>
    <definedName name="solver_lhs1" localSheetId="5" hidden="1">'Optimization Model'!$B$12</definedName>
    <definedName name="solver_lhs2" localSheetId="1" hidden="1">'Module 1 - Solver'!$B$16</definedName>
    <definedName name="solver_lhs2" localSheetId="5" hidden="1">'Optimization Model'!$B$18</definedName>
    <definedName name="solver_lhs3" localSheetId="5" hidden="1">'Optimization Model'!$B$19</definedName>
    <definedName name="solver_lhs4" localSheetId="5" hidden="1">'Optimization Model'!$B$20</definedName>
    <definedName name="solver_lhs5" localSheetId="5" hidden="1">'Optimization Model'!$C$12</definedName>
    <definedName name="solver_lhs6" localSheetId="5" hidden="1">'Optimization Model'!$D$12</definedName>
    <definedName name="solver_mip" localSheetId="1" hidden="1">2147483647</definedName>
    <definedName name="solver_mip" localSheetId="5" hidden="1">2147483647</definedName>
    <definedName name="solver_mni" localSheetId="1" hidden="1">30</definedName>
    <definedName name="solver_mni" localSheetId="5" hidden="1">30</definedName>
    <definedName name="solver_mrt" localSheetId="1" hidden="1">0.075</definedName>
    <definedName name="solver_mrt" localSheetId="5" hidden="1">0.075</definedName>
    <definedName name="solver_msl" localSheetId="1" hidden="1">2</definedName>
    <definedName name="solver_msl" localSheetId="5" hidden="1">2</definedName>
    <definedName name="solver_neg" localSheetId="1" hidden="1">1</definedName>
    <definedName name="solver_neg" localSheetId="5" hidden="1">1</definedName>
    <definedName name="solver_nod" localSheetId="1" hidden="1">2147483647</definedName>
    <definedName name="solver_nod" localSheetId="5" hidden="1">2147483647</definedName>
    <definedName name="solver_num" localSheetId="1" hidden="1">2</definedName>
    <definedName name="solver_num" localSheetId="5" hidden="1">6</definedName>
    <definedName name="solver_nwt" localSheetId="1" hidden="1">1</definedName>
    <definedName name="solver_nwt" localSheetId="5" hidden="1">1</definedName>
    <definedName name="solver_opt" localSheetId="1" hidden="1">'Module 1 - Solver'!$B$12</definedName>
    <definedName name="solver_opt" localSheetId="5" hidden="1">'Optimization Model'!$B$15</definedName>
    <definedName name="solver_pre" localSheetId="1" hidden="1">0.000001</definedName>
    <definedName name="solver_pre" localSheetId="5" hidden="1">0.000001</definedName>
    <definedName name="solver_rbv" localSheetId="1" hidden="1">1</definedName>
    <definedName name="solver_rbv" localSheetId="5" hidden="1">1</definedName>
    <definedName name="solver_rel1" localSheetId="1" hidden="1">1</definedName>
    <definedName name="solver_rel1" localSheetId="5" hidden="1">3</definedName>
    <definedName name="solver_rel2" localSheetId="1" hidden="1">1</definedName>
    <definedName name="solver_rel2" localSheetId="5" hidden="1">1</definedName>
    <definedName name="solver_rel3" localSheetId="5" hidden="1">1</definedName>
    <definedName name="solver_rel4" localSheetId="5" hidden="1">1</definedName>
    <definedName name="solver_rel5" localSheetId="5" hidden="1">3</definedName>
    <definedName name="solver_rel6" localSheetId="5" hidden="1">3</definedName>
    <definedName name="solver_rhs1" localSheetId="1" hidden="1">'Module 1 - Solver'!$D$15</definedName>
    <definedName name="solver_rhs1" localSheetId="5" hidden="1">'Optimization Model'!$B$23</definedName>
    <definedName name="solver_rhs2" localSheetId="1" hidden="1">'Module 1 - Solver'!$D$16</definedName>
    <definedName name="solver_rhs2" localSheetId="5" hidden="1">'Optimization Model'!$D$18</definedName>
    <definedName name="solver_rhs3" localSheetId="5" hidden="1">'Optimization Model'!$D$19</definedName>
    <definedName name="solver_rhs4" localSheetId="5" hidden="1">'Optimization Model'!$D$20</definedName>
    <definedName name="solver_rhs5" localSheetId="5" hidden="1">'Optimization Model'!$C$23</definedName>
    <definedName name="solver_rhs6" localSheetId="5" hidden="1">'Optimization Model'!$D$23</definedName>
    <definedName name="solver_rlx" localSheetId="1" hidden="1">2</definedName>
    <definedName name="solver_rlx" localSheetId="5" hidden="1">2</definedName>
    <definedName name="solver_rsd" localSheetId="1" hidden="1">0</definedName>
    <definedName name="solver_rsd" localSheetId="5" hidden="1">0</definedName>
    <definedName name="solver_scl" localSheetId="1" hidden="1">1</definedName>
    <definedName name="solver_scl" localSheetId="5" hidden="1">1</definedName>
    <definedName name="solver_sho" localSheetId="1" hidden="1">2</definedName>
    <definedName name="solver_sho" localSheetId="5" hidden="1">2</definedName>
    <definedName name="solver_ssz" localSheetId="1" hidden="1">100</definedName>
    <definedName name="solver_ssz" localSheetId="5" hidden="1">100</definedName>
    <definedName name="solver_tim" localSheetId="1" hidden="1">2147483647</definedName>
    <definedName name="solver_tim" localSheetId="5" hidden="1">2147483647</definedName>
    <definedName name="solver_tol" localSheetId="1" hidden="1">0.01</definedName>
    <definedName name="solver_tol" localSheetId="5" hidden="1">0.01</definedName>
    <definedName name="solver_typ" localSheetId="1" hidden="1">1</definedName>
    <definedName name="solver_typ" localSheetId="5" hidden="1">1</definedName>
    <definedName name="solver_val" localSheetId="1" hidden="1">0</definedName>
    <definedName name="solver_val" localSheetId="5" hidden="1">0</definedName>
    <definedName name="solver_ver" localSheetId="1" hidden="1">3</definedName>
    <definedName name="solver_ver" localSheetId="5" hidden="1">3</definedName>
    <definedName name="StandardPipe">#REF!</definedName>
    <definedName name="TotalCM">#REF!</definedName>
    <definedName name="UnitCost">'Scenario Planning'!$B$20</definedName>
    <definedName name="UnitMaterialCost">#REF!</definedName>
    <definedName name="UnitPrice">'Scenario Planning'!$B$19</definedName>
    <definedName name="UnitSold">'Scenario Planning'!$B$18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4" l="1"/>
  <c r="B23" i="24"/>
  <c r="B20" i="9"/>
  <c r="B19" i="9"/>
  <c r="B18" i="9"/>
  <c r="B15" i="9"/>
  <c r="G6" i="9"/>
  <c r="H6" i="9"/>
  <c r="F6" i="9"/>
  <c r="C6" i="9"/>
  <c r="D6" i="9"/>
  <c r="B6" i="9"/>
  <c r="B12" i="5"/>
  <c r="B15" i="5"/>
  <c r="B16" i="5"/>
  <c r="B9" i="2"/>
  <c r="B10" i="2" s="1"/>
  <c r="B12" i="2" s="1"/>
  <c r="G7" i="9"/>
  <c r="H7" i="9"/>
  <c r="F7" i="9"/>
  <c r="B26" i="24" l="1"/>
</calcChain>
</file>

<file path=xl/sharedStrings.xml><?xml version="1.0" encoding="utf-8"?>
<sst xmlns="http://schemas.openxmlformats.org/spreadsheetml/2006/main" count="432" uniqueCount="154">
  <si>
    <t>Tutorial 1: Solver Practice</t>
  </si>
  <si>
    <t/>
  </si>
  <si>
    <t>Alpha</t>
  </si>
  <si>
    <t>Beta</t>
  </si>
  <si>
    <t>Total</t>
  </si>
  <si>
    <t>Units Produced</t>
  </si>
  <si>
    <t>Profit per Unit</t>
  </si>
  <si>
    <t>Total Profit</t>
  </si>
  <si>
    <t>Constraints</t>
  </si>
  <si>
    <t>Used</t>
  </si>
  <si>
    <t>Available</t>
  </si>
  <si>
    <t>Labor Hours</t>
  </si>
  <si>
    <t>&lt;=</t>
  </si>
  <si>
    <t>Machine Hours</t>
  </si>
  <si>
    <t>Tutorial 2: Scenario Manager Practice</t>
  </si>
  <si>
    <t>Key Assumptions</t>
  </si>
  <si>
    <t>Base Case</t>
  </si>
  <si>
    <t>Sales Growth %</t>
  </si>
  <si>
    <t>COGS (% of Sales)</t>
  </si>
  <si>
    <t>Income Statement</t>
  </si>
  <si>
    <t>Gross Sales</t>
  </si>
  <si>
    <t>COGS</t>
  </si>
  <si>
    <t>Gross Profit</t>
  </si>
  <si>
    <t>Op Expenses</t>
  </si>
  <si>
    <t>Net Income</t>
  </si>
  <si>
    <t>Copper Peak Manufacturing - Production Optimization</t>
  </si>
  <si>
    <t>Standard Pipe</t>
  </si>
  <si>
    <t>Pressure Valve</t>
  </si>
  <si>
    <t>Custom Manifold</t>
  </si>
  <si>
    <t>Selling Price per Unit</t>
  </si>
  <si>
    <t>Variable Cost per Unit</t>
  </si>
  <si>
    <t>Unit Contribution Margin</t>
  </si>
  <si>
    <t>DECISION VARIABLES</t>
  </si>
  <si>
    <t>Quantity to Produce</t>
  </si>
  <si>
    <t>OBJECTIVE</t>
  </si>
  <si>
    <t>Total Contribution Margin</t>
  </si>
  <si>
    <t>RESOURCE CONSTRAINTS</t>
  </si>
  <si>
    <t>CONTRACT CONSTRAINTS</t>
  </si>
  <si>
    <t>Minimum Quantity Required</t>
  </si>
  <si>
    <t>Instructions:</t>
  </si>
  <si>
    <t>Scenario Definitions</t>
  </si>
  <si>
    <t>Objective</t>
  </si>
  <si>
    <t>Decision Variables</t>
  </si>
  <si>
    <t>Machine Hrs/Unit</t>
  </si>
  <si>
    <t>Labor Hrs/Unit</t>
  </si>
  <si>
    <t>Parameters</t>
  </si>
  <si>
    <t>Microsoft Excel 16.0 Answer Report</t>
  </si>
  <si>
    <t>Worksheet: [lab5_Solution.xlsx]Module 1 - Solver</t>
  </si>
  <si>
    <t>Report Created: 2/27/2026 3:53:51 PM</t>
  </si>
  <si>
    <t>Result: Solver found a solution.  All Constraints and optimality conditions are satisfied.</t>
  </si>
  <si>
    <t>Solver Engine</t>
  </si>
  <si>
    <t>Engine: Simplex LP</t>
  </si>
  <si>
    <t>Solution Time: 0.016 Seconds.</t>
  </si>
  <si>
    <t>Iterations: 2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</si>
  <si>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</si>
  <si>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</si>
  <si>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</si>
  <si>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</si>
  <si>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</si>
  <si>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</si>
  <si>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</si>
  <si>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</si>
  <si>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</si>
  <si>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</si>
  <si>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</si>
  <si>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</si>
  <si>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</si>
  <si>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</si>
  <si>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$B$12</t>
  </si>
  <si>
    <t>$B$9</t>
  </si>
  <si>
    <t>Contin</t>
  </si>
  <si>
    <t>$C$9</t>
  </si>
  <si>
    <t>$B$15</t>
  </si>
  <si>
    <t>Labor Hours Used</t>
  </si>
  <si>
    <t>$B$15&lt;=$D$15</t>
  </si>
  <si>
    <t>Binding</t>
  </si>
  <si>
    <t>$B$16</t>
  </si>
  <si>
    <t>Machine Hours Used</t>
  </si>
  <si>
    <t>$B$16&lt;=$D$16</t>
  </si>
  <si>
    <t>SalesGrowth</t>
  </si>
  <si>
    <t>COGSpct</t>
  </si>
  <si>
    <t>Created by haj on 2/27/2026</t>
  </si>
  <si>
    <t>Best Case</t>
  </si>
  <si>
    <t>Worst Case</t>
  </si>
  <si>
    <t>Created by haj on 2/27/2026
Modified by haj on 2/27/2026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</si>
  <si>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</si>
  <si>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</si>
  <si>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</si>
  <si>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</si>
  <si>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</si>
  <si>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</si>
  <si>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</si>
  <si>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NI</t>
  </si>
  <si>
    <t>Machine Hrs</t>
  </si>
  <si>
    <t>Direct Labor</t>
  </si>
  <si>
    <t>Raw Copper</t>
  </si>
  <si>
    <t>Machine Hrs (hrs/unit)</t>
  </si>
  <si>
    <t>Direct Labor (hrs/unit)</t>
  </si>
  <si>
    <t>Raw Copper (lbs/unit)</t>
  </si>
  <si>
    <t>[Build your model here]</t>
  </si>
  <si>
    <t>5. Generate a Scenario Summary report to compare the outcomes.</t>
  </si>
  <si>
    <t>4. Add at least three scenarios (e.g., Base Case, Best Case, Worst Case).</t>
  </si>
  <si>
    <t>3. Name your cells, then open Scenario Manager (Data &gt; What-If Analysis &gt; Scenario Manager).</t>
  </si>
  <si>
    <t>2. Build a simple model below with at least 2 input variables and 1 calculated result.</t>
  </si>
  <si>
    <t>1. Pick a personal financial decision (e.g., monthly budget, buying a car, saving for a trip).</t>
  </si>
  <si>
    <t>Now it's time to build your own model from scratch!</t>
  </si>
  <si>
    <t xml:space="preserve">CM per machine hours </t>
  </si>
  <si>
    <t>Custom Manifold Genrate the highest CM per Machine Hour</t>
  </si>
  <si>
    <t>Worksheet: [lab5_Solution.xlsx]Optimization Model</t>
  </si>
  <si>
    <t>Report Created: 2/27/2026 4:11:29 PM</t>
  </si>
  <si>
    <t>$C$12</t>
  </si>
  <si>
    <t>$D$12</t>
  </si>
  <si>
    <t>$B$18</t>
  </si>
  <si>
    <t>Raw Copper Used</t>
  </si>
  <si>
    <t>$B$18&lt;=$D$18</t>
  </si>
  <si>
    <t>Not Binding</t>
  </si>
  <si>
    <t>$B$19</t>
  </si>
  <si>
    <t>Direct Labor Used</t>
  </si>
  <si>
    <t>$B$19&lt;=$D$19</t>
  </si>
  <si>
    <t>$B$20</t>
  </si>
  <si>
    <t>Machine Hrs Used</t>
  </si>
  <si>
    <t>$B$20&lt;=$D$20</t>
  </si>
  <si>
    <t>$B$12&gt;=$B$23</t>
  </si>
  <si>
    <t>$C$12&gt;=$C$23</t>
  </si>
  <si>
    <t>$D$12&gt;=$D$23</t>
  </si>
  <si>
    <t>Answer for Part 1</t>
  </si>
  <si>
    <t>Part 4: Real-World Scenario Planning</t>
  </si>
  <si>
    <t>Net Profit</t>
  </si>
  <si>
    <t>Fixed Operating Costs</t>
  </si>
  <si>
    <t>Total Material Costs</t>
  </si>
  <si>
    <t>Gross Revenue</t>
  </si>
  <si>
    <t>Amount</t>
  </si>
  <si>
    <t>Income Statement Forecast</t>
  </si>
  <si>
    <t>Unit Material Cost</t>
  </si>
  <si>
    <t>Unit Price</t>
  </si>
  <si>
    <t>Units Sold</t>
  </si>
  <si>
    <t>Values</t>
  </si>
  <si>
    <t>====================== FINANCIAL MODEL ======================</t>
  </si>
  <si>
    <t>3. Supply Chain Crisis</t>
  </si>
  <si>
    <t>2. High Demand</t>
  </si>
  <si>
    <t>1. Base Case</t>
  </si>
  <si>
    <t>Material Cost</t>
  </si>
  <si>
    <t>4. Generate a Scenario Summary report tracking Net Profit (B26).</t>
  </si>
  <si>
    <t>Copper Peak is evaluating the financial forecast for a new industrial drone.</t>
  </si>
  <si>
    <t>Part 3: Project SkyHawk Scenario Planning</t>
  </si>
  <si>
    <t>High Demand</t>
  </si>
  <si>
    <t>Supply Chain Crisis</t>
  </si>
  <si>
    <t>UnitSold</t>
  </si>
  <si>
    <t>UnitPrice</t>
  </si>
  <si>
    <t>NetProfit</t>
  </si>
  <si>
    <t>3. Add the three scenarios below. 'Changing Cells' are B18, B19, and B20.</t>
  </si>
  <si>
    <t>2. Open Scenario Manager (Data &gt; What-If Analysis &gt; Scenario Manager).</t>
  </si>
  <si>
    <t>1. Build formulas for Gross Revenue (B23), Material Costs (B24), &amp; Net Profit (B26).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</si>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</sst>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6" x14ac:knownFonts="1">
    <font>
      <sz val="11"/>
      <name val="Calibri"/>
    </font>
    <font>
      <sz val="11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D84315"/>
      <name val="Calibri"/>
      <family val="2"/>
    </font>
    <font>
      <b/>
      <sz val="11"/>
      <color indexed="18"/>
      <name val="Calibri"/>
      <family val="2"/>
    </font>
    <font>
      <b/>
      <sz val="12"/>
      <color indexed="9"/>
      <name val="Calibri"/>
      <family val="2"/>
    </font>
    <font>
      <b/>
      <sz val="11"/>
      <color indexed="8"/>
      <name val="Calibri"/>
      <family val="2"/>
    </font>
    <font>
      <sz val="10"/>
      <color indexed="9"/>
      <name val="Calibri"/>
      <family val="2"/>
    </font>
    <font>
      <sz val="8"/>
      <name val="Calibri"/>
      <family val="2"/>
    </font>
    <font>
      <b/>
      <u/>
      <sz val="11"/>
      <color theme="5" tint="-0.249977111117893"/>
      <name val="Calibri"/>
      <family val="2"/>
    </font>
    <font>
      <b/>
      <sz val="11"/>
      <color theme="5" tint="-0.24997711111789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3E2723"/>
      </patternFill>
    </fill>
    <fill>
      <patternFill patternType="solid">
        <fgColor rgb="FFEAEAEA"/>
      </patternFill>
    </fill>
    <fill>
      <patternFill patternType="solid">
        <fgColor rgb="FFFCD5B4"/>
      </patternFill>
    </fill>
    <fill>
      <patternFill patternType="solid">
        <fgColor rgb="FFFFFF99"/>
      </patternFill>
    </fill>
    <fill>
      <patternFill patternType="solid">
        <fgColor rgb="FFC4D79B"/>
      </patternFill>
    </fill>
    <fill>
      <patternFill patternType="solid">
        <fgColor rgb="FFB8CCE4"/>
      </patternFill>
    </fill>
    <fill>
      <patternFill patternType="solid">
        <fgColor rgb="FFC4D79B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indexed="23"/>
      </bottom>
      <diagonal/>
    </border>
    <border>
      <left style="medium">
        <color theme="5" tint="-0.249977111117893"/>
      </left>
      <right style="medium">
        <color theme="5" tint="-0.249977111117893"/>
      </right>
      <top style="thin">
        <color indexed="23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 style="thin">
        <color indexed="23"/>
      </top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/>
      <top style="thin">
        <color indexed="23"/>
      </top>
      <bottom/>
      <diagonal/>
    </border>
    <border>
      <left/>
      <right style="medium">
        <color theme="5" tint="-0.249977111117893"/>
      </right>
      <top style="thin">
        <color indexed="23"/>
      </top>
      <bottom/>
      <diagonal/>
    </border>
    <border>
      <left style="medium">
        <color theme="5" tint="-0.249977111117893"/>
      </left>
      <right/>
      <top style="thin">
        <color indexed="23"/>
      </top>
      <bottom style="medium">
        <color theme="5" tint="-0.249977111117893"/>
      </bottom>
      <diagonal/>
    </border>
    <border>
      <left/>
      <right style="medium">
        <color theme="5" tint="-0.249977111117893"/>
      </right>
      <top style="thin">
        <color indexed="23"/>
      </top>
      <bottom style="medium">
        <color theme="5" tint="-0.249977111117893"/>
      </bottom>
      <diagonal/>
    </border>
  </borders>
  <cellStyleXfs count="2">
    <xf numFmtId="0" fontId="0" fillId="0" borderId="0"/>
    <xf numFmtId="0" fontId="1" fillId="0" borderId="1"/>
  </cellStyleXfs>
  <cellXfs count="64">
    <xf numFmtId="0" fontId="0" fillId="0" borderId="0" xfId="0"/>
    <xf numFmtId="0" fontId="5" fillId="3" borderId="2" xfId="0" applyFont="1" applyFill="1" applyBorder="1" applyAlignment="1">
      <alignment horizontal="center"/>
    </xf>
    <xf numFmtId="164" fontId="0" fillId="0" borderId="0" xfId="0" applyNumberFormat="1"/>
    <xf numFmtId="165" fontId="0" fillId="5" borderId="3" xfId="0" applyNumberFormat="1" applyFill="1" applyBorder="1" applyAlignment="1">
      <alignment horizontal="center"/>
    </xf>
    <xf numFmtId="164" fontId="6" fillId="6" borderId="4" xfId="0" applyNumberFormat="1" applyFont="1" applyFill="1" applyBorder="1" applyAlignment="1">
      <alignment horizontal="center"/>
    </xf>
    <xf numFmtId="0" fontId="7" fillId="0" borderId="0" xfId="0" applyFont="1"/>
    <xf numFmtId="0" fontId="1" fillId="0" borderId="1" xfId="1"/>
    <xf numFmtId="0" fontId="1" fillId="4" borderId="1" xfId="1" applyFill="1" applyAlignment="1">
      <alignment horizontal="center"/>
    </xf>
    <xf numFmtId="0" fontId="1" fillId="0" borderId="1" xfId="1" applyAlignment="1">
      <alignment horizontal="center"/>
    </xf>
    <xf numFmtId="0" fontId="1" fillId="7" borderId="5" xfId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164" fontId="4" fillId="8" borderId="6" xfId="1" applyNumberFormat="1" applyFont="1" applyFill="1" applyBorder="1" applyAlignment="1">
      <alignment horizontal="center"/>
    </xf>
    <xf numFmtId="0" fontId="8" fillId="0" borderId="1" xfId="1" applyFont="1"/>
    <xf numFmtId="0" fontId="1" fillId="5" borderId="5" xfId="1" applyFill="1" applyBorder="1" applyAlignment="1">
      <alignment horizontal="center"/>
    </xf>
    <xf numFmtId="164" fontId="1" fillId="0" borderId="1" xfId="1" applyNumberFormat="1"/>
    <xf numFmtId="0" fontId="2" fillId="2" borderId="1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9" xfId="0" applyFill="1" applyBorder="1" applyAlignment="1"/>
    <xf numFmtId="0" fontId="9" fillId="0" borderId="8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0" xfId="0" applyFill="1" applyBorder="1" applyAlignment="1"/>
    <xf numFmtId="164" fontId="0" fillId="0" borderId="9" xfId="0" applyNumberFormat="1" applyFill="1" applyBorder="1" applyAlignment="1"/>
    <xf numFmtId="0" fontId="0" fillId="0" borderId="10" xfId="0" applyNumberFormat="1" applyFill="1" applyBorder="1" applyAlignment="1"/>
    <xf numFmtId="0" fontId="0" fillId="0" borderId="9" xfId="0" applyNumberFormat="1" applyFill="1" applyBorder="1" applyAlignment="1"/>
    <xf numFmtId="165" fontId="0" fillId="0" borderId="1" xfId="0" applyNumberFormat="1" applyFill="1" applyBorder="1" applyAlignment="1"/>
    <xf numFmtId="164" fontId="0" fillId="0" borderId="12" xfId="0" applyNumberFormat="1" applyFill="1" applyBorder="1" applyAlignment="1"/>
    <xf numFmtId="0" fontId="10" fillId="9" borderId="13" xfId="0" applyFont="1" applyFill="1" applyBorder="1" applyAlignment="1">
      <alignment horizontal="left"/>
    </xf>
    <xf numFmtId="0" fontId="10" fillId="9" borderId="11" xfId="0" applyFont="1" applyFill="1" applyBorder="1" applyAlignment="1">
      <alignment horizontal="left"/>
    </xf>
    <xf numFmtId="0" fontId="0" fillId="0" borderId="14" xfId="0" applyFill="1" applyBorder="1" applyAlignment="1"/>
    <xf numFmtId="0" fontId="11" fillId="10" borderId="1" xfId="0" applyFont="1" applyFill="1" applyBorder="1" applyAlignment="1">
      <alignment horizontal="left"/>
    </xf>
    <xf numFmtId="0" fontId="9" fillId="10" borderId="14" xfId="0" applyFont="1" applyFill="1" applyBorder="1" applyAlignment="1">
      <alignment horizontal="left"/>
    </xf>
    <xf numFmtId="0" fontId="11" fillId="10" borderId="12" xfId="0" applyFont="1" applyFill="1" applyBorder="1" applyAlignment="1">
      <alignment horizontal="left"/>
    </xf>
    <xf numFmtId="0" fontId="12" fillId="9" borderId="11" xfId="0" applyFont="1" applyFill="1" applyBorder="1" applyAlignment="1">
      <alignment horizontal="right"/>
    </xf>
    <xf numFmtId="0" fontId="12" fillId="9" borderId="13" xfId="0" applyFont="1" applyFill="1" applyBorder="1" applyAlignment="1">
      <alignment horizontal="right"/>
    </xf>
    <xf numFmtId="165" fontId="0" fillId="11" borderId="1" xfId="0" applyNumberFormat="1" applyFill="1" applyBorder="1" applyAlignment="1"/>
    <xf numFmtId="0" fontId="13" fillId="0" borderId="1" xfId="0" applyFont="1" applyFill="1" applyBorder="1" applyAlignment="1">
      <alignment vertical="top" wrapText="1"/>
    </xf>
    <xf numFmtId="0" fontId="7" fillId="0" borderId="1" xfId="1" applyFont="1" applyAlignment="1">
      <alignment horizontal="center"/>
    </xf>
    <xf numFmtId="0" fontId="7" fillId="0" borderId="1" xfId="1" applyFont="1"/>
    <xf numFmtId="164" fontId="1" fillId="7" borderId="5" xfId="1" applyNumberFormat="1" applyFill="1" applyBorder="1" applyAlignment="1">
      <alignment horizontal="center"/>
    </xf>
    <xf numFmtId="0" fontId="1" fillId="0" borderId="1" xfId="1"/>
    <xf numFmtId="0" fontId="1" fillId="12" borderId="1" xfId="1" applyFill="1"/>
    <xf numFmtId="0" fontId="14" fillId="12" borderId="1" xfId="1" applyFont="1" applyFill="1"/>
    <xf numFmtId="0" fontId="4" fillId="12" borderId="2" xfId="1" applyFont="1" applyFill="1" applyBorder="1" applyAlignment="1">
      <alignment horizontal="center"/>
    </xf>
    <xf numFmtId="0" fontId="4" fillId="13" borderId="15" xfId="1" applyFont="1" applyFill="1" applyBorder="1" applyAlignment="1">
      <alignment horizontal="center"/>
    </xf>
    <xf numFmtId="0" fontId="7" fillId="13" borderId="15" xfId="1" applyFont="1" applyFill="1" applyBorder="1"/>
    <xf numFmtId="0" fontId="7" fillId="12" borderId="1" xfId="1" applyFont="1" applyFill="1"/>
    <xf numFmtId="0" fontId="15" fillId="12" borderId="1" xfId="1" applyFont="1" applyFill="1"/>
    <xf numFmtId="0" fontId="1" fillId="12" borderId="1" xfId="1" applyFill="1" applyAlignment="1">
      <alignment horizontal="right"/>
    </xf>
    <xf numFmtId="0" fontId="9" fillId="13" borderId="16" xfId="0" applyFont="1" applyFill="1" applyBorder="1" applyAlignment="1">
      <alignment horizontal="center"/>
    </xf>
    <xf numFmtId="0" fontId="0" fillId="13" borderId="17" xfId="0" applyNumberFormat="1" applyFill="1" applyBorder="1" applyAlignment="1"/>
    <xf numFmtId="0" fontId="0" fillId="13" borderId="18" xfId="0" applyNumberFormat="1" applyFill="1" applyBorder="1" applyAlignment="1"/>
    <xf numFmtId="164" fontId="0" fillId="13" borderId="18" xfId="0" applyNumberFormat="1" applyFill="1" applyBorder="1" applyAlignment="1"/>
    <xf numFmtId="0" fontId="9" fillId="0" borderId="7" xfId="0" applyFont="1" applyFill="1" applyBorder="1" applyAlignment="1">
      <alignment horizontal="center"/>
    </xf>
    <xf numFmtId="0" fontId="0" fillId="13" borderId="19" xfId="0" applyFill="1" applyBorder="1" applyAlignment="1"/>
    <xf numFmtId="0" fontId="0" fillId="13" borderId="20" xfId="0" applyFill="1" applyBorder="1" applyAlignment="1"/>
    <xf numFmtId="0" fontId="0" fillId="13" borderId="21" xfId="0" applyFill="1" applyBorder="1" applyAlignment="1"/>
    <xf numFmtId="0" fontId="0" fillId="13" borderId="22" xfId="0" applyFill="1" applyBorder="1" applyAlignment="1"/>
    <xf numFmtId="0" fontId="0" fillId="13" borderId="22" xfId="0" applyNumberFormat="1" applyFill="1" applyBorder="1" applyAlignment="1"/>
    <xf numFmtId="0" fontId="0" fillId="13" borderId="23" xfId="0" applyFill="1" applyBorder="1" applyAlignment="1"/>
    <xf numFmtId="0" fontId="0" fillId="13" borderId="24" xfId="0" applyNumberFormat="1" applyFill="1" applyBorder="1" applyAlignment="1"/>
    <xf numFmtId="0" fontId="0" fillId="11" borderId="1" xfId="0" applyFill="1" applyBorder="1" applyAlignment="1"/>
    <xf numFmtId="164" fontId="1" fillId="5" borderId="5" xfId="1" applyNumberFormat="1" applyFill="1" applyBorder="1" applyAlignment="1">
      <alignment horizontal="center"/>
    </xf>
    <xf numFmtId="164" fontId="0" fillId="0" borderId="1" xfId="0" applyNumberFormat="1" applyFill="1" applyBorder="1" applyAlignment="1"/>
    <xf numFmtId="164" fontId="0" fillId="11" borderId="1" xfId="0" applyNumberFormat="1" applyFill="1" applyBorder="1" applyAlignment="1"/>
  </cellXfs>
  <cellStyles count="2">
    <cellStyle name="Normal" xfId="0" builtinId="0"/>
    <cellStyle name="Normal 2" xfId="1" xr:uid="{5FC9E56C-1728-4291-BFB1-C4841CA4839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14</xdr:col>
      <xdr:colOff>590550</xdr:colOff>
      <xdr:row>29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69F36-74FF-B528-09D0-648A2B48E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0"/>
          <a:ext cx="5467350" cy="568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7ECF-0067-4CB5-8EAC-F25C451E9F4C}">
  <dimension ref="A1:G28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9.28515625" bestFit="1" customWidth="1"/>
    <col min="4" max="4" width="13.7109375" bestFit="1" customWidth="1"/>
    <col min="5" max="5" width="13.5703125" bestFit="1" customWidth="1"/>
    <col min="6" max="6" width="7.7109375" bestFit="1" customWidth="1"/>
    <col min="7" max="7" width="5.42578125" bestFit="1" customWidth="1"/>
  </cols>
  <sheetData>
    <row r="1" spans="1:5" x14ac:dyDescent="0.25">
      <c r="A1" s="5" t="s">
        <v>46</v>
      </c>
    </row>
    <row r="2" spans="1:5" x14ac:dyDescent="0.25">
      <c r="A2" s="5" t="s">
        <v>47</v>
      </c>
    </row>
    <row r="3" spans="1:5" x14ac:dyDescent="0.25">
      <c r="A3" s="5" t="s">
        <v>48</v>
      </c>
    </row>
    <row r="4" spans="1:5" x14ac:dyDescent="0.25">
      <c r="A4" s="5" t="s">
        <v>49</v>
      </c>
    </row>
    <row r="5" spans="1:5" x14ac:dyDescent="0.25">
      <c r="A5" s="5" t="s">
        <v>50</v>
      </c>
    </row>
    <row r="6" spans="1:5" x14ac:dyDescent="0.25">
      <c r="A6" s="5"/>
      <c r="B6" t="s">
        <v>51</v>
      </c>
    </row>
    <row r="7" spans="1:5" x14ac:dyDescent="0.25">
      <c r="A7" s="5"/>
      <c r="B7" t="s">
        <v>52</v>
      </c>
    </row>
    <row r="8" spans="1:5" x14ac:dyDescent="0.25">
      <c r="A8" s="5"/>
      <c r="B8" t="s">
        <v>53</v>
      </c>
    </row>
    <row r="9" spans="1:5" x14ac:dyDescent="0.25">
      <c r="A9" s="5" t="s">
        <v>54</v>
      </c>
    </row>
    <row r="10" spans="1:5" x14ac:dyDescent="0.25">
      <c r="B10" t="s">
        <v>55</v>
      </c>
    </row>
    <row r="11" spans="1:5" x14ac:dyDescent="0.25">
      <c r="B11" t="s">
        <v>56</v>
      </c>
    </row>
    <row r="14" spans="1:5" ht="15.75" thickBot="1" x14ac:dyDescent="0.3">
      <c r="A14" t="s">
        <v>57</v>
      </c>
    </row>
    <row r="15" spans="1:5" ht="15.75" thickBot="1" x14ac:dyDescent="0.3">
      <c r="B15" s="18" t="s">
        <v>58</v>
      </c>
      <c r="C15" s="18" t="s">
        <v>59</v>
      </c>
      <c r="D15" s="18" t="s">
        <v>60</v>
      </c>
      <c r="E15" s="18" t="s">
        <v>61</v>
      </c>
    </row>
    <row r="16" spans="1:5" ht="15.75" thickBot="1" x14ac:dyDescent="0.3">
      <c r="B16" s="17" t="s">
        <v>68</v>
      </c>
      <c r="C16" s="17" t="s">
        <v>7</v>
      </c>
      <c r="D16" s="21">
        <v>0</v>
      </c>
      <c r="E16" s="21">
        <v>1600</v>
      </c>
    </row>
    <row r="19" spans="1:7" ht="15.75" thickBot="1" x14ac:dyDescent="0.3">
      <c r="A19" t="s">
        <v>62</v>
      </c>
    </row>
    <row r="20" spans="1:7" ht="15.75" thickBot="1" x14ac:dyDescent="0.3">
      <c r="B20" s="18" t="s">
        <v>58</v>
      </c>
      <c r="C20" s="18" t="s">
        <v>59</v>
      </c>
      <c r="D20" s="18" t="s">
        <v>60</v>
      </c>
      <c r="E20" s="18" t="s">
        <v>61</v>
      </c>
      <c r="F20" s="18" t="s">
        <v>63</v>
      </c>
    </row>
    <row r="21" spans="1:7" x14ac:dyDescent="0.25">
      <c r="B21" s="20" t="s">
        <v>69</v>
      </c>
      <c r="C21" s="20" t="s">
        <v>5</v>
      </c>
      <c r="D21" s="22">
        <v>0</v>
      </c>
      <c r="E21" s="22">
        <v>40</v>
      </c>
      <c r="F21" s="20" t="s">
        <v>70</v>
      </c>
    </row>
    <row r="22" spans="1:7" ht="15.75" thickBot="1" x14ac:dyDescent="0.3">
      <c r="B22" s="17" t="s">
        <v>71</v>
      </c>
      <c r="C22" s="17" t="s">
        <v>5</v>
      </c>
      <c r="D22" s="23">
        <v>0</v>
      </c>
      <c r="E22" s="23">
        <v>0</v>
      </c>
      <c r="F22" s="17" t="s">
        <v>70</v>
      </c>
    </row>
    <row r="25" spans="1:7" ht="15.75" thickBot="1" x14ac:dyDescent="0.3">
      <c r="A25" t="s">
        <v>8</v>
      </c>
    </row>
    <row r="26" spans="1:7" ht="15.75" thickBot="1" x14ac:dyDescent="0.3">
      <c r="B26" s="18" t="s">
        <v>58</v>
      </c>
      <c r="C26" s="18" t="s">
        <v>59</v>
      </c>
      <c r="D26" s="18" t="s">
        <v>64</v>
      </c>
      <c r="E26" s="18" t="s">
        <v>65</v>
      </c>
      <c r="F26" s="18" t="s">
        <v>66</v>
      </c>
      <c r="G26" s="18" t="s">
        <v>67</v>
      </c>
    </row>
    <row r="27" spans="1:7" x14ac:dyDescent="0.25">
      <c r="B27" s="20" t="s">
        <v>72</v>
      </c>
      <c r="C27" s="20" t="s">
        <v>73</v>
      </c>
      <c r="D27" s="22">
        <v>40</v>
      </c>
      <c r="E27" s="20" t="s">
        <v>74</v>
      </c>
      <c r="F27" s="20" t="s">
        <v>75</v>
      </c>
      <c r="G27" s="20">
        <v>0</v>
      </c>
    </row>
    <row r="28" spans="1:7" ht="15.75" thickBot="1" x14ac:dyDescent="0.3">
      <c r="B28" s="17" t="s">
        <v>76</v>
      </c>
      <c r="C28" s="17" t="s">
        <v>77</v>
      </c>
      <c r="D28" s="23">
        <v>120</v>
      </c>
      <c r="E28" s="17" t="s">
        <v>78</v>
      </c>
      <c r="F28" s="17" t="s">
        <v>75</v>
      </c>
      <c r="G28" s="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7CBB-85FA-4440-ACA9-8C911B954F76}">
  <dimension ref="A1:D16"/>
  <sheetViews>
    <sheetView workbookViewId="0">
      <selection activeCell="B12" sqref="B12"/>
    </sheetView>
  </sheetViews>
  <sheetFormatPr defaultRowHeight="15" x14ac:dyDescent="0.25"/>
  <cols>
    <col min="1" max="1" width="25.85546875" style="6" customWidth="1"/>
    <col min="2" max="4" width="15.85546875" style="6" customWidth="1"/>
    <col min="5" max="16384" width="9.140625" style="6"/>
  </cols>
  <sheetData>
    <row r="1" spans="1:4" ht="21" x14ac:dyDescent="0.25">
      <c r="A1" s="15" t="s">
        <v>0</v>
      </c>
      <c r="B1" s="15" t="s">
        <v>1</v>
      </c>
      <c r="C1" s="15" t="s">
        <v>1</v>
      </c>
      <c r="D1" s="15" t="s">
        <v>1</v>
      </c>
    </row>
    <row r="2" spans="1:4" x14ac:dyDescent="0.25">
      <c r="A2" s="6" t="s">
        <v>1</v>
      </c>
      <c r="B2" s="6" t="s">
        <v>1</v>
      </c>
      <c r="C2" s="6" t="s">
        <v>1</v>
      </c>
      <c r="D2" s="6" t="s">
        <v>1</v>
      </c>
    </row>
    <row r="3" spans="1:4" ht="15.75" x14ac:dyDescent="0.25">
      <c r="A3" s="10" t="s">
        <v>45</v>
      </c>
      <c r="B3" s="10" t="s">
        <v>2</v>
      </c>
      <c r="C3" s="10" t="s">
        <v>3</v>
      </c>
      <c r="D3" s="10" t="s">
        <v>4</v>
      </c>
    </row>
    <row r="4" spans="1:4" x14ac:dyDescent="0.25">
      <c r="A4" s="6" t="s">
        <v>6</v>
      </c>
      <c r="B4" s="14">
        <v>40</v>
      </c>
      <c r="C4" s="14">
        <v>50</v>
      </c>
      <c r="D4" s="6" t="s">
        <v>1</v>
      </c>
    </row>
    <row r="5" spans="1:4" x14ac:dyDescent="0.25">
      <c r="A5" s="6" t="s">
        <v>44</v>
      </c>
      <c r="B5" s="6">
        <v>1</v>
      </c>
      <c r="C5" s="6">
        <v>2</v>
      </c>
      <c r="D5" s="6" t="s">
        <v>1</v>
      </c>
    </row>
    <row r="6" spans="1:4" x14ac:dyDescent="0.25">
      <c r="A6" s="6" t="s">
        <v>43</v>
      </c>
      <c r="B6" s="6">
        <v>3</v>
      </c>
      <c r="C6" s="6">
        <v>2</v>
      </c>
      <c r="D6" s="6" t="s">
        <v>1</v>
      </c>
    </row>
    <row r="7" spans="1:4" x14ac:dyDescent="0.25">
      <c r="A7" s="6" t="s">
        <v>1</v>
      </c>
      <c r="B7" s="6" t="s">
        <v>1</v>
      </c>
      <c r="C7" s="6" t="s">
        <v>1</v>
      </c>
      <c r="D7" s="6" t="s">
        <v>1</v>
      </c>
    </row>
    <row r="8" spans="1:4" ht="15.75" x14ac:dyDescent="0.25">
      <c r="A8" s="12" t="s">
        <v>42</v>
      </c>
      <c r="B8" s="6" t="s">
        <v>1</v>
      </c>
      <c r="C8" s="6" t="s">
        <v>1</v>
      </c>
      <c r="D8" s="6" t="s">
        <v>1</v>
      </c>
    </row>
    <row r="9" spans="1:4" x14ac:dyDescent="0.25">
      <c r="A9" s="6" t="s">
        <v>5</v>
      </c>
      <c r="B9" s="13">
        <v>40</v>
      </c>
      <c r="C9" s="13">
        <v>0</v>
      </c>
      <c r="D9" s="6" t="s">
        <v>1</v>
      </c>
    </row>
    <row r="10" spans="1:4" x14ac:dyDescent="0.25">
      <c r="A10" s="6" t="s">
        <v>1</v>
      </c>
      <c r="B10" s="6" t="s">
        <v>1</v>
      </c>
      <c r="C10" s="6" t="s">
        <v>1</v>
      </c>
      <c r="D10" s="6" t="s">
        <v>1</v>
      </c>
    </row>
    <row r="11" spans="1:4" ht="16.5" thickBot="1" x14ac:dyDescent="0.3">
      <c r="A11" s="12" t="s">
        <v>41</v>
      </c>
      <c r="B11" s="6" t="s">
        <v>1</v>
      </c>
      <c r="C11" s="6" t="s">
        <v>1</v>
      </c>
      <c r="D11" s="6" t="s">
        <v>1</v>
      </c>
    </row>
    <row r="12" spans="1:4" ht="16.5" thickBot="1" x14ac:dyDescent="0.3">
      <c r="A12" s="6" t="s">
        <v>7</v>
      </c>
      <c r="B12" s="11">
        <f>SUMPRODUCT(B9:C9,B4:C4)</f>
        <v>1600</v>
      </c>
      <c r="C12" s="6" t="s">
        <v>1</v>
      </c>
      <c r="D12" s="6" t="s">
        <v>1</v>
      </c>
    </row>
    <row r="13" spans="1:4" x14ac:dyDescent="0.25">
      <c r="A13" s="6" t="s">
        <v>1</v>
      </c>
      <c r="B13" s="6" t="s">
        <v>1</v>
      </c>
      <c r="C13" s="6" t="s">
        <v>1</v>
      </c>
      <c r="D13" s="6" t="s">
        <v>1</v>
      </c>
    </row>
    <row r="14" spans="1:4" ht="15.75" x14ac:dyDescent="0.25">
      <c r="A14" s="10" t="s">
        <v>8</v>
      </c>
      <c r="B14" s="10" t="s">
        <v>9</v>
      </c>
      <c r="C14" s="10" t="s">
        <v>1</v>
      </c>
      <c r="D14" s="10" t="s">
        <v>10</v>
      </c>
    </row>
    <row r="15" spans="1:4" x14ac:dyDescent="0.25">
      <c r="A15" s="6" t="s">
        <v>11</v>
      </c>
      <c r="B15" s="9">
        <f>SUMPRODUCT(B9:C9,B5:C5)</f>
        <v>40</v>
      </c>
      <c r="C15" s="8" t="s">
        <v>12</v>
      </c>
      <c r="D15" s="7">
        <v>40</v>
      </c>
    </row>
    <row r="16" spans="1:4" x14ac:dyDescent="0.25">
      <c r="A16" s="6" t="s">
        <v>13</v>
      </c>
      <c r="B16" s="9">
        <f>SUMPRODUCT(B9:C9,B6:C6)</f>
        <v>120</v>
      </c>
      <c r="C16" s="8" t="s">
        <v>12</v>
      </c>
      <c r="D16" s="7">
        <v>120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AFBC-1621-46C7-AB93-8379672CF25F}">
  <sheetPr>
    <outlinePr summaryBelow="0"/>
  </sheetPr>
  <dimension ref="B1:G12"/>
  <sheetViews>
    <sheetView showGridLines="0" workbookViewId="0">
      <selection activeCell="N15" sqref="N15"/>
    </sheetView>
  </sheetViews>
  <sheetFormatPr defaultRowHeight="15" outlineLevelRow="1" outlineLevelCol="1" x14ac:dyDescent="0.25"/>
  <cols>
    <col min="3" max="3" width="12.285156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27" t="s">
        <v>85</v>
      </c>
      <c r="C2" s="27"/>
      <c r="D2" s="32"/>
      <c r="E2" s="32"/>
      <c r="F2" s="32"/>
      <c r="G2" s="32"/>
    </row>
    <row r="3" spans="2:7" ht="15.75" collapsed="1" x14ac:dyDescent="0.25">
      <c r="B3" s="26"/>
      <c r="C3" s="26"/>
      <c r="D3" s="33" t="s">
        <v>87</v>
      </c>
      <c r="E3" s="33" t="s">
        <v>16</v>
      </c>
      <c r="F3" s="33" t="s">
        <v>82</v>
      </c>
      <c r="G3" s="33" t="s">
        <v>83</v>
      </c>
    </row>
    <row r="4" spans="2:7" ht="45" hidden="1" outlineLevel="1" x14ac:dyDescent="0.25">
      <c r="B4" s="29"/>
      <c r="C4" s="29"/>
      <c r="D4" s="19"/>
      <c r="E4" s="35" t="s">
        <v>81</v>
      </c>
      <c r="F4" s="35" t="s">
        <v>81</v>
      </c>
      <c r="G4" s="35" t="s">
        <v>84</v>
      </c>
    </row>
    <row r="5" spans="2:7" x14ac:dyDescent="0.25">
      <c r="B5" s="30" t="s">
        <v>86</v>
      </c>
      <c r="C5" s="30"/>
      <c r="D5" s="28"/>
      <c r="E5" s="28"/>
      <c r="F5" s="28"/>
      <c r="G5" s="28"/>
    </row>
    <row r="6" spans="2:7" outlineLevel="1" x14ac:dyDescent="0.25">
      <c r="B6" s="29"/>
      <c r="C6" s="29" t="s">
        <v>79</v>
      </c>
      <c r="D6" s="24">
        <v>0.05</v>
      </c>
      <c r="E6" s="34">
        <v>0.05</v>
      </c>
      <c r="F6" s="34">
        <v>0.15</v>
      </c>
      <c r="G6" s="34">
        <v>-0.05</v>
      </c>
    </row>
    <row r="7" spans="2:7" outlineLevel="1" x14ac:dyDescent="0.25">
      <c r="B7" s="29"/>
      <c r="C7" s="29" t="s">
        <v>80</v>
      </c>
      <c r="D7" s="24">
        <v>0.6</v>
      </c>
      <c r="E7" s="34">
        <v>0.6</v>
      </c>
      <c r="F7" s="34">
        <v>0.55000000000000004</v>
      </c>
      <c r="G7" s="34">
        <v>0.65</v>
      </c>
    </row>
    <row r="8" spans="2:7" x14ac:dyDescent="0.25">
      <c r="B8" s="30" t="s">
        <v>88</v>
      </c>
      <c r="C8" s="30"/>
      <c r="D8" s="28"/>
      <c r="E8" s="28"/>
      <c r="F8" s="28"/>
      <c r="G8" s="28"/>
    </row>
    <row r="9" spans="2:7" ht="15.75" outlineLevel="1" thickBot="1" x14ac:dyDescent="0.3">
      <c r="B9" s="31"/>
      <c r="C9" s="31" t="s">
        <v>92</v>
      </c>
      <c r="D9" s="25">
        <v>22000</v>
      </c>
      <c r="E9" s="25">
        <v>22000</v>
      </c>
      <c r="F9" s="25">
        <v>27250</v>
      </c>
      <c r="G9" s="25">
        <v>16750</v>
      </c>
    </row>
    <row r="10" spans="2:7" x14ac:dyDescent="0.25">
      <c r="B10" t="s">
        <v>89</v>
      </c>
    </row>
    <row r="11" spans="2:7" x14ac:dyDescent="0.25">
      <c r="B11" t="s">
        <v>90</v>
      </c>
    </row>
    <row r="12" spans="2:7" x14ac:dyDescent="0.25">
      <c r="B12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12" sqref="B12"/>
    </sheetView>
  </sheetViews>
  <sheetFormatPr defaultRowHeight="15" x14ac:dyDescent="0.25"/>
  <cols>
    <col min="1" max="1" width="25.85546875" customWidth="1"/>
    <col min="2" max="2" width="20.85546875" customWidth="1"/>
    <col min="3" max="3" width="10.85546875" customWidth="1"/>
  </cols>
  <sheetData>
    <row r="1" spans="1:3" ht="21" x14ac:dyDescent="0.25">
      <c r="A1" s="16" t="s">
        <v>14</v>
      </c>
      <c r="B1" s="16" t="s">
        <v>1</v>
      </c>
      <c r="C1" t="s">
        <v>1</v>
      </c>
    </row>
    <row r="2" spans="1:3" x14ac:dyDescent="0.25">
      <c r="A2" t="s">
        <v>1</v>
      </c>
      <c r="B2" t="s">
        <v>1</v>
      </c>
      <c r="C2" t="s">
        <v>1</v>
      </c>
    </row>
    <row r="3" spans="1:3" ht="15.75" x14ac:dyDescent="0.25">
      <c r="A3" s="1" t="s">
        <v>15</v>
      </c>
      <c r="B3" s="1" t="s">
        <v>16</v>
      </c>
      <c r="C3" t="s">
        <v>1</v>
      </c>
    </row>
    <row r="4" spans="1:3" x14ac:dyDescent="0.25">
      <c r="A4" t="s">
        <v>17</v>
      </c>
      <c r="B4" s="3">
        <v>0.05</v>
      </c>
      <c r="C4" t="s">
        <v>1</v>
      </c>
    </row>
    <row r="5" spans="1:3" x14ac:dyDescent="0.25">
      <c r="A5" t="s">
        <v>18</v>
      </c>
      <c r="B5" s="3">
        <v>0.6</v>
      </c>
      <c r="C5" t="s">
        <v>1</v>
      </c>
    </row>
    <row r="6" spans="1:3" x14ac:dyDescent="0.25">
      <c r="A6" t="s">
        <v>1</v>
      </c>
      <c r="B6" t="s">
        <v>1</v>
      </c>
      <c r="C6" t="s">
        <v>1</v>
      </c>
    </row>
    <row r="7" spans="1:3" ht="15.75" x14ac:dyDescent="0.25">
      <c r="A7" s="1" t="s">
        <v>19</v>
      </c>
      <c r="B7" s="1" t="s">
        <v>1</v>
      </c>
      <c r="C7" t="s">
        <v>1</v>
      </c>
    </row>
    <row r="8" spans="1:3" x14ac:dyDescent="0.25">
      <c r="A8" t="s">
        <v>20</v>
      </c>
      <c r="B8" s="2">
        <v>105000</v>
      </c>
      <c r="C8" t="s">
        <v>1</v>
      </c>
    </row>
    <row r="9" spans="1:3" x14ac:dyDescent="0.25">
      <c r="A9" t="s">
        <v>21</v>
      </c>
      <c r="B9" s="2">
        <f>B8*B5</f>
        <v>63000</v>
      </c>
      <c r="C9" t="s">
        <v>1</v>
      </c>
    </row>
    <row r="10" spans="1:3" x14ac:dyDescent="0.25">
      <c r="A10" t="s">
        <v>22</v>
      </c>
      <c r="B10" s="2">
        <f>B8-B9</f>
        <v>42000</v>
      </c>
      <c r="C10" t="s">
        <v>1</v>
      </c>
    </row>
    <row r="11" spans="1:3" x14ac:dyDescent="0.25">
      <c r="A11" t="s">
        <v>23</v>
      </c>
      <c r="B11" s="2">
        <v>20000</v>
      </c>
      <c r="C11" t="s">
        <v>1</v>
      </c>
    </row>
    <row r="12" spans="1:3" ht="15.75" x14ac:dyDescent="0.25">
      <c r="A12" t="s">
        <v>24</v>
      </c>
      <c r="B12" s="4">
        <f>B10-B11</f>
        <v>22000</v>
      </c>
      <c r="C12" t="s">
        <v>1</v>
      </c>
    </row>
  </sheetData>
  <scenarios current="2" sqref="B12">
    <scenario name="Base Case" locked="1" count="2" user="haj" comment="Created by haj on 2/27/2026">
      <inputCells r="B4" val="0.05" numFmtId="165"/>
      <inputCells r="B5" val="0.6" numFmtId="165"/>
    </scenario>
    <scenario name="Best Case" locked="1" count="2" user="haj" comment="Created by haj on 2/27/2026">
      <inputCells r="B4" val="0.15" numFmtId="165"/>
      <inputCells r="B5" val="0.55" numFmtId="165"/>
    </scenario>
    <scenario name="Worst Case" locked="1" count="2" user="haj" comment="Created by haj on 2/27/2026_x000a_Modified by haj on 2/27/2026">
      <inputCells r="B4" val="-0.05" numFmtId="165"/>
      <inputCells r="B5" val="0.65" numFmtId="165"/>
    </scenario>
  </scenarios>
  <mergeCells count="1">
    <mergeCell ref="A1:B1"/>
  </mergeCells>
  <pageMargins left="0.7" right="0.7" top="0.75" bottom="0.75" header="0.3" footer="0.3"/>
  <ignoredErrors>
    <ignoredError sqref="A1:C3 A6:C12 A4 C4 A5 C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93DA-C135-4B6D-AE9D-7F9B1EECD50E}">
  <sheetPr>
    <tabColor theme="5" tint="-0.249977111117893"/>
  </sheetPr>
  <dimension ref="A1:G33"/>
  <sheetViews>
    <sheetView showGridLines="0" topLeftCell="A7" workbookViewId="0">
      <selection activeCell="L27" sqref="L27"/>
    </sheetView>
  </sheetViews>
  <sheetFormatPr defaultRowHeight="15" x14ac:dyDescent="0.25"/>
  <cols>
    <col min="1" max="1" width="2.28515625" customWidth="1"/>
    <col min="2" max="2" width="6.28515625" bestFit="1" customWidth="1"/>
    <col min="3" max="3" width="24.140625" bestFit="1" customWidth="1"/>
    <col min="4" max="5" width="13.7109375" bestFit="1" customWidth="1"/>
    <col min="6" max="6" width="11.42578125" bestFit="1" customWidth="1"/>
    <col min="7" max="7" width="7" bestFit="1" customWidth="1"/>
  </cols>
  <sheetData>
    <row r="1" spans="1:5" x14ac:dyDescent="0.25">
      <c r="A1" s="5" t="s">
        <v>46</v>
      </c>
    </row>
    <row r="2" spans="1:5" x14ac:dyDescent="0.25">
      <c r="A2" s="5" t="s">
        <v>108</v>
      </c>
    </row>
    <row r="3" spans="1:5" x14ac:dyDescent="0.25">
      <c r="A3" s="5" t="s">
        <v>109</v>
      </c>
    </row>
    <row r="4" spans="1:5" x14ac:dyDescent="0.25">
      <c r="A4" s="5" t="s">
        <v>49</v>
      </c>
    </row>
    <row r="5" spans="1:5" x14ac:dyDescent="0.25">
      <c r="A5" s="5" t="s">
        <v>50</v>
      </c>
    </row>
    <row r="6" spans="1:5" x14ac:dyDescent="0.25">
      <c r="A6" s="5"/>
      <c r="B6" t="s">
        <v>51</v>
      </c>
    </row>
    <row r="7" spans="1:5" x14ac:dyDescent="0.25">
      <c r="A7" s="5"/>
      <c r="B7" t="s">
        <v>52</v>
      </c>
    </row>
    <row r="8" spans="1:5" x14ac:dyDescent="0.25">
      <c r="A8" s="5"/>
      <c r="B8" t="s">
        <v>53</v>
      </c>
    </row>
    <row r="9" spans="1:5" x14ac:dyDescent="0.25">
      <c r="A9" s="5" t="s">
        <v>54</v>
      </c>
    </row>
    <row r="10" spans="1:5" x14ac:dyDescent="0.25">
      <c r="B10" t="s">
        <v>55</v>
      </c>
    </row>
    <row r="11" spans="1:5" x14ac:dyDescent="0.25">
      <c r="B11" t="s">
        <v>56</v>
      </c>
    </row>
    <row r="14" spans="1:5" ht="15.75" thickBot="1" x14ac:dyDescent="0.3">
      <c r="A14" t="s">
        <v>57</v>
      </c>
    </row>
    <row r="15" spans="1:5" ht="15.75" thickBot="1" x14ac:dyDescent="0.3">
      <c r="B15" s="18" t="s">
        <v>58</v>
      </c>
      <c r="C15" s="18" t="s">
        <v>59</v>
      </c>
      <c r="D15" s="18" t="s">
        <v>60</v>
      </c>
      <c r="E15" s="48" t="s">
        <v>61</v>
      </c>
    </row>
    <row r="16" spans="1:5" ht="15.75" thickBot="1" x14ac:dyDescent="0.3">
      <c r="B16" s="17" t="s">
        <v>72</v>
      </c>
      <c r="C16" s="17" t="s">
        <v>35</v>
      </c>
      <c r="D16" s="21">
        <v>0</v>
      </c>
      <c r="E16" s="51">
        <v>66850</v>
      </c>
    </row>
    <row r="19" spans="1:7" ht="15.75" thickBot="1" x14ac:dyDescent="0.3">
      <c r="A19" t="s">
        <v>62</v>
      </c>
    </row>
    <row r="20" spans="1:7" ht="15.75" thickBot="1" x14ac:dyDescent="0.3">
      <c r="B20" s="18" t="s">
        <v>58</v>
      </c>
      <c r="C20" s="18" t="s">
        <v>59</v>
      </c>
      <c r="D20" s="18" t="s">
        <v>60</v>
      </c>
      <c r="E20" s="48" t="s">
        <v>61</v>
      </c>
      <c r="F20" s="18" t="s">
        <v>63</v>
      </c>
    </row>
    <row r="21" spans="1:7" x14ac:dyDescent="0.25">
      <c r="B21" s="20" t="s">
        <v>68</v>
      </c>
      <c r="C21" s="20" t="s">
        <v>33</v>
      </c>
      <c r="D21" s="22">
        <v>0</v>
      </c>
      <c r="E21" s="49">
        <v>650</v>
      </c>
      <c r="F21" s="20" t="s">
        <v>70</v>
      </c>
    </row>
    <row r="22" spans="1:7" x14ac:dyDescent="0.25">
      <c r="B22" s="20" t="s">
        <v>110</v>
      </c>
      <c r="C22" s="20" t="s">
        <v>33</v>
      </c>
      <c r="D22" s="22">
        <v>0</v>
      </c>
      <c r="E22" s="49">
        <v>200</v>
      </c>
      <c r="F22" s="20" t="s">
        <v>70</v>
      </c>
    </row>
    <row r="23" spans="1:7" ht="15.75" thickBot="1" x14ac:dyDescent="0.3">
      <c r="B23" s="17" t="s">
        <v>111</v>
      </c>
      <c r="C23" s="17" t="s">
        <v>33</v>
      </c>
      <c r="D23" s="23">
        <v>0</v>
      </c>
      <c r="E23" s="50">
        <v>355</v>
      </c>
      <c r="F23" s="17" t="s">
        <v>70</v>
      </c>
    </row>
    <row r="26" spans="1:7" ht="15.75" thickBot="1" x14ac:dyDescent="0.3">
      <c r="A26" t="s">
        <v>8</v>
      </c>
    </row>
    <row r="27" spans="1:7" ht="15.75" thickBot="1" x14ac:dyDescent="0.3">
      <c r="B27" s="18" t="s">
        <v>58</v>
      </c>
      <c r="C27" s="18" t="s">
        <v>59</v>
      </c>
      <c r="D27" s="18" t="s">
        <v>64</v>
      </c>
      <c r="E27" s="18" t="s">
        <v>65</v>
      </c>
      <c r="F27" s="52" t="s">
        <v>66</v>
      </c>
      <c r="G27" s="52" t="s">
        <v>67</v>
      </c>
    </row>
    <row r="28" spans="1:7" x14ac:dyDescent="0.25">
      <c r="B28" s="20" t="s">
        <v>112</v>
      </c>
      <c r="C28" s="20" t="s">
        <v>113</v>
      </c>
      <c r="D28" s="22">
        <v>3682.5</v>
      </c>
      <c r="E28" s="20" t="s">
        <v>114</v>
      </c>
      <c r="F28" s="53" t="s">
        <v>115</v>
      </c>
      <c r="G28" s="54">
        <v>1317.5</v>
      </c>
    </row>
    <row r="29" spans="1:7" x14ac:dyDescent="0.25">
      <c r="B29" s="20" t="s">
        <v>116</v>
      </c>
      <c r="C29" s="20" t="s">
        <v>117</v>
      </c>
      <c r="D29" s="22">
        <v>1200</v>
      </c>
      <c r="E29" s="20" t="s">
        <v>118</v>
      </c>
      <c r="F29" s="55" t="s">
        <v>75</v>
      </c>
      <c r="G29" s="56">
        <v>0</v>
      </c>
    </row>
    <row r="30" spans="1:7" x14ac:dyDescent="0.25">
      <c r="B30" s="20" t="s">
        <v>119</v>
      </c>
      <c r="C30" s="20" t="s">
        <v>120</v>
      </c>
      <c r="D30" s="22">
        <v>800</v>
      </c>
      <c r="E30" s="20" t="s">
        <v>121</v>
      </c>
      <c r="F30" s="55" t="s">
        <v>75</v>
      </c>
      <c r="G30" s="56">
        <v>0</v>
      </c>
    </row>
    <row r="31" spans="1:7" x14ac:dyDescent="0.25">
      <c r="B31" s="20" t="s">
        <v>68</v>
      </c>
      <c r="C31" s="20" t="s">
        <v>33</v>
      </c>
      <c r="D31" s="22">
        <v>650</v>
      </c>
      <c r="E31" s="20" t="s">
        <v>122</v>
      </c>
      <c r="F31" s="55" t="s">
        <v>115</v>
      </c>
      <c r="G31" s="57">
        <v>500</v>
      </c>
    </row>
    <row r="32" spans="1:7" x14ac:dyDescent="0.25">
      <c r="B32" s="20" t="s">
        <v>110</v>
      </c>
      <c r="C32" s="20" t="s">
        <v>33</v>
      </c>
      <c r="D32" s="22">
        <v>200</v>
      </c>
      <c r="E32" s="20" t="s">
        <v>123</v>
      </c>
      <c r="F32" s="55" t="s">
        <v>75</v>
      </c>
      <c r="G32" s="57">
        <v>0</v>
      </c>
    </row>
    <row r="33" spans="2:7" ht="15.75" thickBot="1" x14ac:dyDescent="0.3">
      <c r="B33" s="17" t="s">
        <v>111</v>
      </c>
      <c r="C33" s="17" t="s">
        <v>33</v>
      </c>
      <c r="D33" s="23">
        <v>355</v>
      </c>
      <c r="E33" s="17" t="s">
        <v>124</v>
      </c>
      <c r="F33" s="58" t="s">
        <v>115</v>
      </c>
      <c r="G33" s="59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147E-DB32-4B31-9A74-85758D9BC45B}">
  <dimension ref="A1:H23"/>
  <sheetViews>
    <sheetView workbookViewId="0">
      <selection activeCell="G22" sqref="G22"/>
    </sheetView>
  </sheetViews>
  <sheetFormatPr defaultRowHeight="15" x14ac:dyDescent="0.25"/>
  <cols>
    <col min="1" max="1" width="35.85546875" style="6" customWidth="1"/>
    <col min="2" max="4" width="18.85546875" style="6" customWidth="1"/>
    <col min="5" max="5" width="9.140625" style="6"/>
    <col min="6" max="6" width="21.5703125" style="6" bestFit="1" customWidth="1"/>
    <col min="7" max="7" width="15.28515625" style="6" bestFit="1" customWidth="1"/>
    <col min="8" max="8" width="18" style="6" bestFit="1" customWidth="1"/>
    <col min="9" max="16384" width="9.140625" style="6"/>
  </cols>
  <sheetData>
    <row r="1" spans="1:8" ht="21" x14ac:dyDescent="0.25">
      <c r="A1" s="15" t="s">
        <v>25</v>
      </c>
      <c r="B1" s="15" t="s">
        <v>1</v>
      </c>
      <c r="C1" s="15" t="s">
        <v>1</v>
      </c>
      <c r="D1" s="15" t="s">
        <v>1</v>
      </c>
    </row>
    <row r="2" spans="1:8" x14ac:dyDescent="0.25">
      <c r="A2" s="6" t="s">
        <v>1</v>
      </c>
      <c r="B2" s="6" t="s">
        <v>1</v>
      </c>
      <c r="C2" s="6" t="s">
        <v>1</v>
      </c>
      <c r="D2" s="6" t="s">
        <v>1</v>
      </c>
      <c r="F2" s="45" t="s">
        <v>125</v>
      </c>
      <c r="G2" s="40"/>
      <c r="H2" s="40"/>
    </row>
    <row r="3" spans="1:8" ht="15.75" x14ac:dyDescent="0.25">
      <c r="A3" s="10" t="s">
        <v>45</v>
      </c>
      <c r="B3" s="10" t="s">
        <v>26</v>
      </c>
      <c r="C3" s="10" t="s">
        <v>27</v>
      </c>
      <c r="D3" s="10" t="s">
        <v>28</v>
      </c>
      <c r="F3" s="40"/>
      <c r="G3" s="40"/>
      <c r="H3" s="40"/>
    </row>
    <row r="4" spans="1:8" ht="15.75" thickBot="1" x14ac:dyDescent="0.3">
      <c r="A4" s="6" t="s">
        <v>29</v>
      </c>
      <c r="B4" s="14">
        <v>45</v>
      </c>
      <c r="C4" s="14">
        <v>85</v>
      </c>
      <c r="D4" s="14">
        <v>210</v>
      </c>
      <c r="F4" s="41" t="s">
        <v>106</v>
      </c>
      <c r="G4" s="40"/>
      <c r="H4" s="40"/>
    </row>
    <row r="5" spans="1:8" ht="16.5" thickBot="1" x14ac:dyDescent="0.3">
      <c r="A5" s="6" t="s">
        <v>30</v>
      </c>
      <c r="B5" s="14">
        <v>20</v>
      </c>
      <c r="C5" s="14">
        <v>45</v>
      </c>
      <c r="D5" s="14">
        <v>90</v>
      </c>
      <c r="F5" s="42" t="s">
        <v>26</v>
      </c>
      <c r="G5" s="42" t="s">
        <v>27</v>
      </c>
      <c r="H5" s="43" t="s">
        <v>28</v>
      </c>
    </row>
    <row r="6" spans="1:8" ht="15.75" thickBot="1" x14ac:dyDescent="0.3">
      <c r="A6" s="37" t="s">
        <v>31</v>
      </c>
      <c r="B6" s="38">
        <f>B4-B5</f>
        <v>25</v>
      </c>
      <c r="C6" s="38">
        <f t="shared" ref="C6:D6" si="0">C4-C5</f>
        <v>40</v>
      </c>
      <c r="D6" s="38">
        <f t="shared" si="0"/>
        <v>120</v>
      </c>
      <c r="F6" s="40">
        <f>B6/B9</f>
        <v>50</v>
      </c>
      <c r="G6" s="40">
        <f>C6/C9</f>
        <v>66.666666666666671</v>
      </c>
      <c r="H6" s="44">
        <f>D6/D9</f>
        <v>120</v>
      </c>
    </row>
    <row r="7" spans="1:8" x14ac:dyDescent="0.25">
      <c r="A7" s="6" t="s">
        <v>98</v>
      </c>
      <c r="B7" s="6">
        <v>1.5</v>
      </c>
      <c r="C7" s="6">
        <v>2</v>
      </c>
      <c r="D7" s="6">
        <v>6.5</v>
      </c>
      <c r="F7" s="47" t="str">
        <f ca="1">_xlfn.FORMULATEXT(F6)</f>
        <v>=B6/B9</v>
      </c>
      <c r="G7" s="47" t="str">
        <f t="shared" ref="G7:H7" ca="1" si="1">_xlfn.FORMULATEXT(G6)</f>
        <v>=C6/C9</v>
      </c>
      <c r="H7" s="47" t="str">
        <f t="shared" ca="1" si="1"/>
        <v>=D6/D9</v>
      </c>
    </row>
    <row r="8" spans="1:8" x14ac:dyDescent="0.25">
      <c r="A8" s="6" t="s">
        <v>97</v>
      </c>
      <c r="B8" s="6">
        <v>0.25</v>
      </c>
      <c r="C8" s="6">
        <v>0.75</v>
      </c>
      <c r="D8" s="6">
        <v>2.5</v>
      </c>
      <c r="F8" s="46"/>
      <c r="G8" s="46"/>
      <c r="H8" s="46"/>
    </row>
    <row r="9" spans="1:8" x14ac:dyDescent="0.25">
      <c r="A9" s="6" t="s">
        <v>96</v>
      </c>
      <c r="B9" s="6">
        <v>0.5</v>
      </c>
      <c r="C9" s="6">
        <v>0.6</v>
      </c>
      <c r="D9" s="6">
        <v>1</v>
      </c>
      <c r="F9" s="46" t="s">
        <v>107</v>
      </c>
      <c r="G9" s="46"/>
      <c r="H9" s="46"/>
    </row>
    <row r="10" spans="1:8" x14ac:dyDescent="0.25">
      <c r="A10" s="6" t="s">
        <v>1</v>
      </c>
      <c r="B10" s="6" t="s">
        <v>1</v>
      </c>
      <c r="C10" s="6" t="s">
        <v>1</v>
      </c>
      <c r="D10" s="6" t="s">
        <v>1</v>
      </c>
    </row>
    <row r="11" spans="1:8" ht="15.75" x14ac:dyDescent="0.25">
      <c r="A11" s="12" t="s">
        <v>32</v>
      </c>
      <c r="B11" s="6" t="s">
        <v>1</v>
      </c>
      <c r="C11" s="6" t="s">
        <v>1</v>
      </c>
      <c r="D11" s="6" t="s">
        <v>1</v>
      </c>
    </row>
    <row r="12" spans="1:8" x14ac:dyDescent="0.25">
      <c r="A12" s="37" t="s">
        <v>33</v>
      </c>
      <c r="B12" s="13">
        <v>650</v>
      </c>
      <c r="C12" s="13">
        <v>200</v>
      </c>
      <c r="D12" s="13">
        <v>355</v>
      </c>
    </row>
    <row r="13" spans="1:8" x14ac:dyDescent="0.25">
      <c r="A13" s="6" t="s">
        <v>1</v>
      </c>
      <c r="B13" s="6" t="s">
        <v>1</v>
      </c>
      <c r="C13" s="6" t="s">
        <v>1</v>
      </c>
      <c r="D13" s="6" t="s">
        <v>1</v>
      </c>
    </row>
    <row r="14" spans="1:8" ht="16.5" thickBot="1" x14ac:dyDescent="0.3">
      <c r="A14" s="12" t="s">
        <v>34</v>
      </c>
      <c r="B14" s="6" t="s">
        <v>1</v>
      </c>
      <c r="C14" s="6" t="s">
        <v>1</v>
      </c>
      <c r="D14" s="6" t="s">
        <v>1</v>
      </c>
    </row>
    <row r="15" spans="1:8" ht="16.5" thickBot="1" x14ac:dyDescent="0.3">
      <c r="A15" s="37" t="s">
        <v>35</v>
      </c>
      <c r="B15" s="11">
        <f>SUMPRODUCT(B6:D6,B12:D12)</f>
        <v>66850</v>
      </c>
      <c r="C15" s="6" t="s">
        <v>1</v>
      </c>
      <c r="D15" s="6" t="s">
        <v>1</v>
      </c>
    </row>
    <row r="16" spans="1:8" x14ac:dyDescent="0.25">
      <c r="A16" s="6" t="s">
        <v>1</v>
      </c>
      <c r="B16" s="6" t="s">
        <v>1</v>
      </c>
      <c r="C16" s="6" t="s">
        <v>1</v>
      </c>
      <c r="D16" s="6" t="s">
        <v>1</v>
      </c>
    </row>
    <row r="17" spans="1:4" ht="15.75" x14ac:dyDescent="0.25">
      <c r="A17" s="12" t="s">
        <v>36</v>
      </c>
      <c r="B17" s="6" t="s">
        <v>9</v>
      </c>
      <c r="C17" s="6" t="s">
        <v>1</v>
      </c>
      <c r="D17" s="6" t="s">
        <v>10</v>
      </c>
    </row>
    <row r="18" spans="1:4" x14ac:dyDescent="0.25">
      <c r="A18" s="6" t="s">
        <v>95</v>
      </c>
      <c r="B18" s="9">
        <f>SUMPRODUCT(B7:D7,B12:D12)</f>
        <v>3682.5</v>
      </c>
      <c r="C18" s="36" t="s">
        <v>12</v>
      </c>
      <c r="D18" s="7">
        <v>5000</v>
      </c>
    </row>
    <row r="19" spans="1:4" x14ac:dyDescent="0.25">
      <c r="A19" s="6" t="s">
        <v>94</v>
      </c>
      <c r="B19" s="9">
        <f>SUMPRODUCT(B8:D8,B12:D12)</f>
        <v>1200</v>
      </c>
      <c r="C19" s="36" t="s">
        <v>12</v>
      </c>
      <c r="D19" s="7">
        <v>1200</v>
      </c>
    </row>
    <row r="20" spans="1:4" x14ac:dyDescent="0.25">
      <c r="A20" s="6" t="s">
        <v>93</v>
      </c>
      <c r="B20" s="9">
        <f>SUMPRODUCT(B9:D9,B12:D12)</f>
        <v>800</v>
      </c>
      <c r="C20" s="36" t="s">
        <v>12</v>
      </c>
      <c r="D20" s="7">
        <v>800</v>
      </c>
    </row>
    <row r="21" spans="1:4" x14ac:dyDescent="0.25">
      <c r="A21" s="6" t="s">
        <v>1</v>
      </c>
      <c r="B21" s="6" t="s">
        <v>1</v>
      </c>
      <c r="C21" s="6" t="s">
        <v>1</v>
      </c>
      <c r="D21" s="6" t="s">
        <v>1</v>
      </c>
    </row>
    <row r="22" spans="1:4" ht="15.75" x14ac:dyDescent="0.25">
      <c r="A22" s="12" t="s">
        <v>37</v>
      </c>
      <c r="B22" s="6" t="s">
        <v>1</v>
      </c>
      <c r="C22" s="6" t="s">
        <v>1</v>
      </c>
      <c r="D22" s="6" t="s">
        <v>1</v>
      </c>
    </row>
    <row r="23" spans="1:4" x14ac:dyDescent="0.25">
      <c r="A23" s="6" t="s">
        <v>38</v>
      </c>
      <c r="B23" s="7">
        <v>150</v>
      </c>
      <c r="C23" s="7">
        <v>200</v>
      </c>
      <c r="D23" s="7">
        <v>50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324A-19D5-456C-9292-7902C64420A3}">
  <sheetPr>
    <tabColor theme="5"/>
    <outlinePr summaryBelow="0"/>
  </sheetPr>
  <dimension ref="B1:G13"/>
  <sheetViews>
    <sheetView showGridLines="0" tabSelected="1" workbookViewId="0">
      <selection activeCell="L25" sqref="L25"/>
    </sheetView>
  </sheetViews>
  <sheetFormatPr defaultRowHeight="15" outlineLevelRow="1" outlineLevelCol="1" x14ac:dyDescent="0.25"/>
  <cols>
    <col min="3" max="3" width="9.28515625" bestFit="1" customWidth="1"/>
    <col min="4" max="7" width="16.42578125" bestFit="1" customWidth="1" outlineLevel="1"/>
  </cols>
  <sheetData>
    <row r="1" spans="2:7" ht="15.75" thickBot="1" x14ac:dyDescent="0.3"/>
    <row r="2" spans="2:7" ht="15.75" x14ac:dyDescent="0.25">
      <c r="B2" s="27" t="s">
        <v>85</v>
      </c>
      <c r="C2" s="27"/>
      <c r="D2" s="32"/>
      <c r="E2" s="32"/>
      <c r="F2" s="32"/>
      <c r="G2" s="32"/>
    </row>
    <row r="3" spans="2:7" ht="15.75" collapsed="1" x14ac:dyDescent="0.25">
      <c r="B3" s="26"/>
      <c r="C3" s="26"/>
      <c r="D3" s="33" t="s">
        <v>87</v>
      </c>
      <c r="E3" s="33" t="s">
        <v>16</v>
      </c>
      <c r="F3" s="33" t="s">
        <v>145</v>
      </c>
      <c r="G3" s="33" t="s">
        <v>146</v>
      </c>
    </row>
    <row r="4" spans="2:7" ht="22.5" hidden="1" outlineLevel="1" x14ac:dyDescent="0.25">
      <c r="B4" s="29"/>
      <c r="C4" s="29"/>
      <c r="D4" s="19"/>
      <c r="E4" s="35" t="s">
        <v>81</v>
      </c>
      <c r="F4" s="35" t="s">
        <v>81</v>
      </c>
      <c r="G4" s="35" t="s">
        <v>81</v>
      </c>
    </row>
    <row r="5" spans="2:7" x14ac:dyDescent="0.25">
      <c r="B5" s="30" t="s">
        <v>86</v>
      </c>
      <c r="C5" s="30"/>
      <c r="D5" s="28"/>
      <c r="E5" s="28"/>
      <c r="F5" s="28"/>
      <c r="G5" s="28"/>
    </row>
    <row r="6" spans="2:7" outlineLevel="1" x14ac:dyDescent="0.25">
      <c r="B6" s="29"/>
      <c r="C6" s="29" t="s">
        <v>147</v>
      </c>
      <c r="D6" s="19">
        <v>1000</v>
      </c>
      <c r="E6" s="60">
        <v>1000</v>
      </c>
      <c r="F6" s="60">
        <v>1500</v>
      </c>
      <c r="G6" s="60">
        <v>800</v>
      </c>
    </row>
    <row r="7" spans="2:7" outlineLevel="1" x14ac:dyDescent="0.25">
      <c r="B7" s="29"/>
      <c r="C7" s="29" t="s">
        <v>148</v>
      </c>
      <c r="D7" s="62">
        <v>1500</v>
      </c>
      <c r="E7" s="63">
        <v>1500</v>
      </c>
      <c r="F7" s="63">
        <v>1600</v>
      </c>
      <c r="G7" s="63">
        <v>1500</v>
      </c>
    </row>
    <row r="8" spans="2:7" outlineLevel="1" x14ac:dyDescent="0.25">
      <c r="B8" s="29"/>
      <c r="C8" s="29" t="s">
        <v>153</v>
      </c>
      <c r="D8" s="62">
        <v>800</v>
      </c>
      <c r="E8" s="63">
        <v>800</v>
      </c>
      <c r="F8" s="63">
        <v>850</v>
      </c>
      <c r="G8" s="63">
        <v>1100</v>
      </c>
    </row>
    <row r="9" spans="2:7" x14ac:dyDescent="0.25">
      <c r="B9" s="30" t="s">
        <v>88</v>
      </c>
      <c r="C9" s="30"/>
      <c r="D9" s="28"/>
      <c r="E9" s="28"/>
      <c r="F9" s="28"/>
      <c r="G9" s="28"/>
    </row>
    <row r="10" spans="2:7" ht="15.75" outlineLevel="1" thickBot="1" x14ac:dyDescent="0.3">
      <c r="B10" s="31"/>
      <c r="C10" s="31" t="s">
        <v>149</v>
      </c>
      <c r="D10" s="25">
        <v>200000</v>
      </c>
      <c r="E10" s="25">
        <v>200000</v>
      </c>
      <c r="F10" s="25">
        <v>625000</v>
      </c>
      <c r="G10" s="25">
        <v>-180000</v>
      </c>
    </row>
    <row r="11" spans="2:7" x14ac:dyDescent="0.25">
      <c r="B11" t="s">
        <v>89</v>
      </c>
    </row>
    <row r="12" spans="2:7" x14ac:dyDescent="0.25">
      <c r="B12" t="s">
        <v>90</v>
      </c>
    </row>
    <row r="13" spans="2:7" x14ac:dyDescent="0.25">
      <c r="B13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93C2-7F51-4017-A59C-7F684E8A4731}">
  <dimension ref="A1:D26"/>
  <sheetViews>
    <sheetView workbookViewId="0">
      <selection activeCell="B26" sqref="B26"/>
    </sheetView>
  </sheetViews>
  <sheetFormatPr defaultRowHeight="15" x14ac:dyDescent="0.25"/>
  <cols>
    <col min="1" max="1" width="35.85546875" style="6" customWidth="1"/>
    <col min="2" max="2" width="20.85546875" style="6" customWidth="1"/>
    <col min="3" max="4" width="15.85546875" style="6" customWidth="1"/>
    <col min="5" max="16384" width="9.140625" style="6"/>
  </cols>
  <sheetData>
    <row r="1" spans="1:4" ht="21" x14ac:dyDescent="0.25">
      <c r="A1" s="15" t="s">
        <v>144</v>
      </c>
      <c r="B1" s="15" t="s">
        <v>1</v>
      </c>
      <c r="C1" s="15" t="s">
        <v>1</v>
      </c>
      <c r="D1" s="15" t="s">
        <v>1</v>
      </c>
    </row>
    <row r="2" spans="1:4" x14ac:dyDescent="0.25">
      <c r="A2" s="6" t="s">
        <v>1</v>
      </c>
      <c r="B2" s="6" t="s">
        <v>1</v>
      </c>
      <c r="C2" s="6" t="s">
        <v>1</v>
      </c>
      <c r="D2" s="6" t="s">
        <v>1</v>
      </c>
    </row>
    <row r="3" spans="1:4" x14ac:dyDescent="0.25">
      <c r="A3" s="39" t="s">
        <v>143</v>
      </c>
      <c r="B3" s="39" t="s">
        <v>1</v>
      </c>
      <c r="C3" s="39" t="s">
        <v>1</v>
      </c>
      <c r="D3" s="39" t="s">
        <v>1</v>
      </c>
    </row>
    <row r="4" spans="1:4" x14ac:dyDescent="0.25">
      <c r="A4" s="6" t="s">
        <v>39</v>
      </c>
      <c r="B4" s="6" t="s">
        <v>1</v>
      </c>
      <c r="C4" s="6" t="s">
        <v>1</v>
      </c>
      <c r="D4" s="6" t="s">
        <v>1</v>
      </c>
    </row>
    <row r="5" spans="1:4" x14ac:dyDescent="0.25">
      <c r="A5" s="39" t="s">
        <v>152</v>
      </c>
      <c r="B5" s="39" t="s">
        <v>1</v>
      </c>
      <c r="C5" s="39" t="s">
        <v>1</v>
      </c>
      <c r="D5" s="39" t="s">
        <v>1</v>
      </c>
    </row>
    <row r="6" spans="1:4" x14ac:dyDescent="0.25">
      <c r="A6" s="39" t="s">
        <v>151</v>
      </c>
      <c r="B6" s="39" t="s">
        <v>1</v>
      </c>
      <c r="C6" s="39" t="s">
        <v>1</v>
      </c>
      <c r="D6" s="39" t="s">
        <v>1</v>
      </c>
    </row>
    <row r="7" spans="1:4" x14ac:dyDescent="0.25">
      <c r="A7" s="39" t="s">
        <v>150</v>
      </c>
      <c r="B7" s="39" t="s">
        <v>1</v>
      </c>
      <c r="C7" s="39" t="s">
        <v>1</v>
      </c>
      <c r="D7" s="39" t="s">
        <v>1</v>
      </c>
    </row>
    <row r="8" spans="1:4" x14ac:dyDescent="0.25">
      <c r="A8" s="39" t="s">
        <v>142</v>
      </c>
      <c r="B8" s="39" t="s">
        <v>1</v>
      </c>
      <c r="C8" s="39" t="s">
        <v>1</v>
      </c>
      <c r="D8" s="39" t="s">
        <v>1</v>
      </c>
    </row>
    <row r="9" spans="1:4" x14ac:dyDescent="0.25">
      <c r="A9" s="6" t="s">
        <v>1</v>
      </c>
      <c r="B9" s="6" t="s">
        <v>1</v>
      </c>
      <c r="C9" s="6" t="s">
        <v>1</v>
      </c>
      <c r="D9" s="6" t="s">
        <v>1</v>
      </c>
    </row>
    <row r="10" spans="1:4" ht="15.75" x14ac:dyDescent="0.25">
      <c r="A10" s="10" t="s">
        <v>40</v>
      </c>
      <c r="B10" s="10" t="s">
        <v>135</v>
      </c>
      <c r="C10" s="10" t="s">
        <v>134</v>
      </c>
      <c r="D10" s="10" t="s">
        <v>141</v>
      </c>
    </row>
    <row r="11" spans="1:4" x14ac:dyDescent="0.25">
      <c r="A11" s="37" t="s">
        <v>140</v>
      </c>
      <c r="B11" s="6">
        <v>1000</v>
      </c>
      <c r="C11" s="14">
        <v>1500</v>
      </c>
      <c r="D11" s="14">
        <v>800</v>
      </c>
    </row>
    <row r="12" spans="1:4" x14ac:dyDescent="0.25">
      <c r="A12" s="37" t="s">
        <v>139</v>
      </c>
      <c r="B12" s="6">
        <v>1500</v>
      </c>
      <c r="C12" s="14">
        <v>1600</v>
      </c>
      <c r="D12" s="14">
        <v>850</v>
      </c>
    </row>
    <row r="13" spans="1:4" x14ac:dyDescent="0.25">
      <c r="A13" s="37" t="s">
        <v>138</v>
      </c>
      <c r="B13" s="6">
        <v>800</v>
      </c>
      <c r="C13" s="14">
        <v>1500</v>
      </c>
      <c r="D13" s="14">
        <v>1100</v>
      </c>
    </row>
    <row r="14" spans="1:4" x14ac:dyDescent="0.25">
      <c r="A14" s="6" t="s">
        <v>1</v>
      </c>
      <c r="B14" s="6" t="s">
        <v>1</v>
      </c>
      <c r="C14" s="6" t="s">
        <v>1</v>
      </c>
      <c r="D14" s="6" t="s">
        <v>1</v>
      </c>
    </row>
    <row r="15" spans="1:4" x14ac:dyDescent="0.25">
      <c r="A15" s="39" t="s">
        <v>137</v>
      </c>
      <c r="B15" s="39" t="s">
        <v>1</v>
      </c>
      <c r="C15" s="39" t="s">
        <v>1</v>
      </c>
      <c r="D15" s="39" t="s">
        <v>1</v>
      </c>
    </row>
    <row r="16" spans="1:4" x14ac:dyDescent="0.25">
      <c r="A16" s="6" t="s">
        <v>1</v>
      </c>
      <c r="B16" s="6" t="s">
        <v>1</v>
      </c>
      <c r="C16" s="6" t="s">
        <v>1</v>
      </c>
      <c r="D16" s="6" t="s">
        <v>1</v>
      </c>
    </row>
    <row r="17" spans="1:4" ht="15.75" x14ac:dyDescent="0.25">
      <c r="A17" s="10" t="s">
        <v>15</v>
      </c>
      <c r="B17" s="10" t="s">
        <v>136</v>
      </c>
      <c r="C17" s="6" t="s">
        <v>1</v>
      </c>
      <c r="D17" s="6" t="s">
        <v>1</v>
      </c>
    </row>
    <row r="18" spans="1:4" x14ac:dyDescent="0.25">
      <c r="A18" s="37" t="s">
        <v>135</v>
      </c>
      <c r="B18" s="13">
        <v>1000</v>
      </c>
      <c r="C18" s="6" t="s">
        <v>1</v>
      </c>
      <c r="D18" s="6" t="s">
        <v>1</v>
      </c>
    </row>
    <row r="19" spans="1:4" x14ac:dyDescent="0.25">
      <c r="A19" s="37" t="s">
        <v>134</v>
      </c>
      <c r="B19" s="61">
        <v>1500</v>
      </c>
      <c r="C19" s="6" t="s">
        <v>1</v>
      </c>
      <c r="D19" s="6" t="s">
        <v>1</v>
      </c>
    </row>
    <row r="20" spans="1:4" x14ac:dyDescent="0.25">
      <c r="A20" s="37" t="s">
        <v>133</v>
      </c>
      <c r="B20" s="61">
        <v>800</v>
      </c>
      <c r="C20" s="6" t="s">
        <v>1</v>
      </c>
      <c r="D20" s="6" t="s">
        <v>1</v>
      </c>
    </row>
    <row r="21" spans="1:4" x14ac:dyDescent="0.25">
      <c r="A21" s="6" t="s">
        <v>1</v>
      </c>
      <c r="B21" s="6" t="s">
        <v>1</v>
      </c>
      <c r="C21" s="6" t="s">
        <v>1</v>
      </c>
      <c r="D21" s="6" t="s">
        <v>1</v>
      </c>
    </row>
    <row r="22" spans="1:4" ht="15.75" x14ac:dyDescent="0.25">
      <c r="A22" s="10" t="s">
        <v>132</v>
      </c>
      <c r="B22" s="10" t="s">
        <v>131</v>
      </c>
      <c r="C22" s="6" t="s">
        <v>1</v>
      </c>
      <c r="D22" s="6" t="s">
        <v>1</v>
      </c>
    </row>
    <row r="23" spans="1:4" x14ac:dyDescent="0.25">
      <c r="A23" s="37" t="s">
        <v>130</v>
      </c>
      <c r="B23" s="9">
        <f>B18*B19</f>
        <v>1500000</v>
      </c>
      <c r="C23" s="6" t="s">
        <v>1</v>
      </c>
      <c r="D23" s="6" t="s">
        <v>1</v>
      </c>
    </row>
    <row r="24" spans="1:4" x14ac:dyDescent="0.25">
      <c r="A24" s="37" t="s">
        <v>129</v>
      </c>
      <c r="B24" s="9">
        <f>B18*B20</f>
        <v>800000</v>
      </c>
      <c r="C24" s="6" t="s">
        <v>1</v>
      </c>
      <c r="D24" s="6" t="s">
        <v>1</v>
      </c>
    </row>
    <row r="25" spans="1:4" ht="15.75" thickBot="1" x14ac:dyDescent="0.3">
      <c r="A25" s="37" t="s">
        <v>128</v>
      </c>
      <c r="B25" s="14">
        <v>500000</v>
      </c>
      <c r="C25" s="6" t="s">
        <v>1</v>
      </c>
      <c r="D25" s="6" t="s">
        <v>1</v>
      </c>
    </row>
    <row r="26" spans="1:4" ht="16.5" thickBot="1" x14ac:dyDescent="0.3">
      <c r="A26" s="37" t="s">
        <v>127</v>
      </c>
      <c r="B26" s="11">
        <f>B23-B24-B25</f>
        <v>200000</v>
      </c>
      <c r="C26" s="6" t="s">
        <v>1</v>
      </c>
      <c r="D26" s="6" t="s">
        <v>1</v>
      </c>
    </row>
  </sheetData>
  <scenarios current="0" sqref="B26">
    <scenario name="Base Case" locked="1" count="3" user="haj" comment="Created by haj on 2/27/2026">
      <inputCells r="B18" val="1000"/>
      <inputCells r="B19" val="1500" numFmtId="164"/>
      <inputCells r="B20" val="800" numFmtId="164"/>
    </scenario>
    <scenario name="High Demand" locked="1" count="3" user="haj" comment="Created by haj on 2/27/2026">
      <inputCells r="B18" val="1500"/>
      <inputCells r="B19" val="1600" numFmtId="164"/>
      <inputCells r="B20" val="850" numFmtId="164"/>
    </scenario>
    <scenario name="Supply Chain Crisis" locked="1" count="3" user="haj" comment="Created by haj on 2/27/2026">
      <inputCells r="B18" val="800"/>
      <inputCells r="B19" val="1500" numFmtId="164"/>
      <inputCells r="B20" val="1100" numFmtId="164"/>
    </scenario>
  </scenarios>
  <mergeCells count="7">
    <mergeCell ref="A8:D8"/>
    <mergeCell ref="A15:D15"/>
    <mergeCell ref="A1:D1"/>
    <mergeCell ref="A3:D3"/>
    <mergeCell ref="A5:D5"/>
    <mergeCell ref="A6:D6"/>
    <mergeCell ref="A7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D60A-8602-4510-8EBA-F240009220F1}">
  <dimension ref="A1:E11"/>
  <sheetViews>
    <sheetView workbookViewId="0">
      <selection activeCell="A9" sqref="A9:E9"/>
    </sheetView>
  </sheetViews>
  <sheetFormatPr defaultRowHeight="15" x14ac:dyDescent="0.25"/>
  <cols>
    <col min="1" max="1" width="90.85546875" style="6" customWidth="1"/>
    <col min="2" max="5" width="15.85546875" style="6" customWidth="1"/>
    <col min="6" max="16384" width="9.140625" style="6"/>
  </cols>
  <sheetData>
    <row r="1" spans="1:5" ht="21" x14ac:dyDescent="0.25">
      <c r="A1" s="15" t="s">
        <v>126</v>
      </c>
      <c r="B1" s="15" t="s">
        <v>1</v>
      </c>
      <c r="C1" s="15" t="s">
        <v>1</v>
      </c>
      <c r="D1" s="15" t="s">
        <v>1</v>
      </c>
      <c r="E1" s="15" t="s">
        <v>1</v>
      </c>
    </row>
    <row r="2" spans="1:5" x14ac:dyDescent="0.25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</row>
    <row r="3" spans="1:5" x14ac:dyDescent="0.25">
      <c r="A3" s="39" t="s">
        <v>105</v>
      </c>
      <c r="B3" s="39" t="s">
        <v>1</v>
      </c>
      <c r="C3" s="39" t="s">
        <v>1</v>
      </c>
      <c r="D3" s="39" t="s">
        <v>1</v>
      </c>
      <c r="E3" s="39" t="s">
        <v>1</v>
      </c>
    </row>
    <row r="4" spans="1:5" ht="15.75" x14ac:dyDescent="0.25">
      <c r="A4" s="10" t="s">
        <v>39</v>
      </c>
      <c r="B4" s="10" t="s">
        <v>1</v>
      </c>
      <c r="C4" s="10" t="s">
        <v>1</v>
      </c>
      <c r="D4" s="10" t="s">
        <v>1</v>
      </c>
      <c r="E4" s="10" t="s">
        <v>1</v>
      </c>
    </row>
    <row r="5" spans="1:5" x14ac:dyDescent="0.25">
      <c r="A5" s="39" t="s">
        <v>104</v>
      </c>
      <c r="B5" s="39" t="s">
        <v>1</v>
      </c>
      <c r="C5" s="39" t="s">
        <v>1</v>
      </c>
      <c r="D5" s="39" t="s">
        <v>1</v>
      </c>
      <c r="E5" s="39" t="s">
        <v>1</v>
      </c>
    </row>
    <row r="6" spans="1:5" x14ac:dyDescent="0.25">
      <c r="A6" s="39" t="s">
        <v>103</v>
      </c>
      <c r="B6" s="39" t="s">
        <v>1</v>
      </c>
      <c r="C6" s="39" t="s">
        <v>1</v>
      </c>
      <c r="D6" s="39" t="s">
        <v>1</v>
      </c>
      <c r="E6" s="39" t="s">
        <v>1</v>
      </c>
    </row>
    <row r="7" spans="1:5" x14ac:dyDescent="0.25">
      <c r="A7" s="39" t="s">
        <v>102</v>
      </c>
      <c r="B7" s="39" t="s">
        <v>1</v>
      </c>
      <c r="C7" s="39" t="s">
        <v>1</v>
      </c>
      <c r="D7" s="39" t="s">
        <v>1</v>
      </c>
      <c r="E7" s="39" t="s">
        <v>1</v>
      </c>
    </row>
    <row r="8" spans="1:5" x14ac:dyDescent="0.25">
      <c r="A8" s="39" t="s">
        <v>101</v>
      </c>
      <c r="B8" s="39" t="s">
        <v>1</v>
      </c>
      <c r="C8" s="39" t="s">
        <v>1</v>
      </c>
      <c r="D8" s="39" t="s">
        <v>1</v>
      </c>
      <c r="E8" s="39" t="s">
        <v>1</v>
      </c>
    </row>
    <row r="9" spans="1:5" x14ac:dyDescent="0.25">
      <c r="A9" s="39" t="s">
        <v>100</v>
      </c>
      <c r="B9" s="39" t="s">
        <v>1</v>
      </c>
      <c r="C9" s="39" t="s">
        <v>1</v>
      </c>
      <c r="D9" s="39" t="s">
        <v>1</v>
      </c>
      <c r="E9" s="39" t="s">
        <v>1</v>
      </c>
    </row>
    <row r="10" spans="1:5" x14ac:dyDescent="0.25">
      <c r="A10" s="6" t="s">
        <v>1</v>
      </c>
      <c r="B10" s="6" t="s">
        <v>1</v>
      </c>
      <c r="C10" s="6" t="s">
        <v>1</v>
      </c>
      <c r="D10" s="6" t="s">
        <v>1</v>
      </c>
      <c r="E10" s="6" t="s">
        <v>1</v>
      </c>
    </row>
    <row r="11" spans="1:5" x14ac:dyDescent="0.25">
      <c r="A11" s="37" t="s">
        <v>99</v>
      </c>
      <c r="B11" s="6" t="s">
        <v>1</v>
      </c>
      <c r="C11" s="6" t="s">
        <v>1</v>
      </c>
      <c r="D11" s="6" t="s">
        <v>1</v>
      </c>
      <c r="E11" s="6" t="s">
        <v>1</v>
      </c>
    </row>
  </sheetData>
  <mergeCells count="7">
    <mergeCell ref="A8:E8"/>
    <mergeCell ref="A9:E9"/>
    <mergeCell ref="A1:E1"/>
    <mergeCell ref="A3:E3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Answer Report 1</vt:lpstr>
      <vt:lpstr>Module 1 - Solver</vt:lpstr>
      <vt:lpstr>Scenario Summary</vt:lpstr>
      <vt:lpstr>Module 2 - Scenarios</vt:lpstr>
      <vt:lpstr>Answer Report-CopperPeak</vt:lpstr>
      <vt:lpstr>Optimization Model</vt:lpstr>
      <vt:lpstr>ScenarioSummary2</vt:lpstr>
      <vt:lpstr>Scenario Planning</vt:lpstr>
      <vt:lpstr>My Scenario Plan</vt:lpstr>
      <vt:lpstr>COGSpct</vt:lpstr>
      <vt:lpstr>NetIncome</vt:lpstr>
      <vt:lpstr>NetProfit</vt:lpstr>
      <vt:lpstr>NI</vt:lpstr>
      <vt:lpstr>SalesGrowth</vt:lpstr>
      <vt:lpstr>UnitCost</vt:lpstr>
      <vt:lpstr>UnitPrice</vt:lpstr>
      <vt:lpstr>UnitSold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</dc:creator>
  <cp:lastModifiedBy>Joo Ha</cp:lastModifiedBy>
  <dcterms:created xsi:type="dcterms:W3CDTF">2026-02-26T17:21:20Z</dcterms:created>
  <dcterms:modified xsi:type="dcterms:W3CDTF">2026-02-28T00:49:13Z</dcterms:modified>
</cp:coreProperties>
</file>