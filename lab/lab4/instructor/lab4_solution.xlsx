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LAB MWF 2026\UPDATED LAB-2025FALL\"/>
    </mc:Choice>
  </mc:AlternateContent>
  <xr:revisionPtr revIDLastSave="0" documentId="13_ncr:1_{52DA40A1-6BF1-4739-8AB8-0BBAC1ADB6CD}" xr6:coauthVersionLast="47" xr6:coauthVersionMax="47" xr10:uidLastSave="{00000000-0000-0000-0000-000000000000}"/>
  <bookViews>
    <workbookView xWindow="8730" yWindow="3795" windowWidth="24165" windowHeight="14550" activeTab="6" xr2:uid="{09545F71-13CE-4518-9A7E-A7B941330C43}"/>
  </bookViews>
  <sheets>
    <sheet name="HomePrices" sheetId="1" r:id="rId1"/>
    <sheet name="Req1" sheetId="2" r:id="rId2"/>
    <sheet name="Req 2" sheetId="3" r:id="rId3"/>
    <sheet name="Req 3" sheetId="4" r:id="rId4"/>
    <sheet name="Req 4" sheetId="5" r:id="rId5"/>
    <sheet name="Req 5" sheetId="6" r:id="rId6"/>
    <sheet name="Req 6" sheetId="9" r:id="rId7"/>
  </sheets>
  <definedNames>
    <definedName name="_xlnm._FilterDatabase" localSheetId="6" hidden="1">'Req 6'!$A$1:$D$1221</definedName>
    <definedName name="_xlchart.v1.0" hidden="1">'Req 3'!$A$1</definedName>
    <definedName name="_xlchart.v1.1" hidden="1">'Req 3'!$A$2:$A$1461</definedName>
    <definedName name="_xlchart.v1.2" hidden="1">'Req 4'!$A$2:$A$1461</definedName>
    <definedName name="_xlchart.v1.3" hidden="1">'Req 4'!$B$1</definedName>
    <definedName name="_xlchart.v1.4" hidden="1">'Req 4'!$B$2:$B$1461</definedName>
  </definedNames>
  <calcPr calcId="191029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9" l="1"/>
  <c r="F36" i="6"/>
  <c r="C3" i="9" l="1"/>
  <c r="C4" i="9"/>
  <c r="C5" i="9"/>
  <c r="C6" i="9"/>
  <c r="C7" i="9"/>
  <c r="C8" i="9"/>
  <c r="C9" i="9"/>
  <c r="D9" i="9" s="1"/>
  <c r="C10" i="9"/>
  <c r="D10" i="9" s="1"/>
  <c r="C11" i="9"/>
  <c r="C12" i="9"/>
  <c r="C13" i="9"/>
  <c r="D13" i="9" s="1"/>
  <c r="C14" i="9"/>
  <c r="D14" i="9" s="1"/>
  <c r="C15" i="9"/>
  <c r="C16" i="9"/>
  <c r="C17" i="9"/>
  <c r="D17" i="9" s="1"/>
  <c r="C18" i="9"/>
  <c r="D18" i="9" s="1"/>
  <c r="C19" i="9"/>
  <c r="C20" i="9"/>
  <c r="C21" i="9"/>
  <c r="D21" i="9" s="1"/>
  <c r="C22" i="9"/>
  <c r="D22" i="9" s="1"/>
  <c r="C23" i="9"/>
  <c r="C24" i="9"/>
  <c r="C25" i="9"/>
  <c r="D25" i="9" s="1"/>
  <c r="C26" i="9"/>
  <c r="D26" i="9" s="1"/>
  <c r="C27" i="9"/>
  <c r="C28" i="9"/>
  <c r="C29" i="9"/>
  <c r="D29" i="9" s="1"/>
  <c r="C30" i="9"/>
  <c r="D30" i="9" s="1"/>
  <c r="C31" i="9"/>
  <c r="C32" i="9"/>
  <c r="C33" i="9"/>
  <c r="D33" i="9" s="1"/>
  <c r="C34" i="9"/>
  <c r="D34" i="9" s="1"/>
  <c r="C35" i="9"/>
  <c r="C36" i="9"/>
  <c r="D36" i="9" s="1"/>
  <c r="C37" i="9"/>
  <c r="D37" i="9" s="1"/>
  <c r="C38" i="9"/>
  <c r="D38" i="9" s="1"/>
  <c r="C39" i="9"/>
  <c r="C40" i="9"/>
  <c r="C41" i="9"/>
  <c r="D41" i="9" s="1"/>
  <c r="C42" i="9"/>
  <c r="D42" i="9" s="1"/>
  <c r="C43" i="9"/>
  <c r="C44" i="9"/>
  <c r="D44" i="9" s="1"/>
  <c r="C45" i="9"/>
  <c r="D45" i="9" s="1"/>
  <c r="C46" i="9"/>
  <c r="D46" i="9" s="1"/>
  <c r="C47" i="9"/>
  <c r="C48" i="9"/>
  <c r="C49" i="9"/>
  <c r="D49" i="9" s="1"/>
  <c r="C50" i="9"/>
  <c r="D50" i="9" s="1"/>
  <c r="C51" i="9"/>
  <c r="C52" i="9"/>
  <c r="C53" i="9"/>
  <c r="D53" i="9" s="1"/>
  <c r="C54" i="9"/>
  <c r="D54" i="9" s="1"/>
  <c r="C55" i="9"/>
  <c r="C56" i="9"/>
  <c r="C57" i="9"/>
  <c r="D57" i="9" s="1"/>
  <c r="C58" i="9"/>
  <c r="D58" i="9" s="1"/>
  <c r="C59" i="9"/>
  <c r="C60" i="9"/>
  <c r="C61" i="9"/>
  <c r="D61" i="9" s="1"/>
  <c r="C62" i="9"/>
  <c r="D62" i="9" s="1"/>
  <c r="C63" i="9"/>
  <c r="C64" i="9"/>
  <c r="C65" i="9"/>
  <c r="D65" i="9" s="1"/>
  <c r="C66" i="9"/>
  <c r="D66" i="9" s="1"/>
  <c r="C67" i="9"/>
  <c r="C68" i="9"/>
  <c r="C69" i="9"/>
  <c r="D69" i="9" s="1"/>
  <c r="C70" i="9"/>
  <c r="D70" i="9" s="1"/>
  <c r="C71" i="9"/>
  <c r="C72" i="9"/>
  <c r="C73" i="9"/>
  <c r="D73" i="9" s="1"/>
  <c r="C74" i="9"/>
  <c r="D74" i="9" s="1"/>
  <c r="C75" i="9"/>
  <c r="C76" i="9"/>
  <c r="C77" i="9"/>
  <c r="D77" i="9" s="1"/>
  <c r="C78" i="9"/>
  <c r="D78" i="9" s="1"/>
  <c r="C79" i="9"/>
  <c r="C80" i="9"/>
  <c r="C81" i="9"/>
  <c r="D81" i="9" s="1"/>
  <c r="C82" i="9"/>
  <c r="D82" i="9" s="1"/>
  <c r="C83" i="9"/>
  <c r="C84" i="9"/>
  <c r="C85" i="9"/>
  <c r="D85" i="9" s="1"/>
  <c r="C86" i="9"/>
  <c r="D86" i="9" s="1"/>
  <c r="C87" i="9"/>
  <c r="C88" i="9"/>
  <c r="C89" i="9"/>
  <c r="D89" i="9" s="1"/>
  <c r="C90" i="9"/>
  <c r="D90" i="9" s="1"/>
  <c r="C91" i="9"/>
  <c r="C92" i="9"/>
  <c r="C93" i="9"/>
  <c r="D93" i="9" s="1"/>
  <c r="C94" i="9"/>
  <c r="D94" i="9" s="1"/>
  <c r="C95" i="9"/>
  <c r="C96" i="9"/>
  <c r="C97" i="9"/>
  <c r="D97" i="9" s="1"/>
  <c r="C98" i="9"/>
  <c r="D98" i="9" s="1"/>
  <c r="C99" i="9"/>
  <c r="C100" i="9"/>
  <c r="C101" i="9"/>
  <c r="D101" i="9" s="1"/>
  <c r="C102" i="9"/>
  <c r="D102" i="9" s="1"/>
  <c r="C103" i="9"/>
  <c r="C104" i="9"/>
  <c r="C105" i="9"/>
  <c r="D105" i="9" s="1"/>
  <c r="C106" i="9"/>
  <c r="D106" i="9" s="1"/>
  <c r="C107" i="9"/>
  <c r="C108" i="9"/>
  <c r="C109" i="9"/>
  <c r="D109" i="9" s="1"/>
  <c r="C110" i="9"/>
  <c r="D110" i="9" s="1"/>
  <c r="C111" i="9"/>
  <c r="C112" i="9"/>
  <c r="C113" i="9"/>
  <c r="D113" i="9" s="1"/>
  <c r="C114" i="9"/>
  <c r="D114" i="9" s="1"/>
  <c r="C115" i="9"/>
  <c r="C116" i="9"/>
  <c r="C117" i="9"/>
  <c r="D117" i="9" s="1"/>
  <c r="C118" i="9"/>
  <c r="D118" i="9" s="1"/>
  <c r="C119" i="9"/>
  <c r="C120" i="9"/>
  <c r="C121" i="9"/>
  <c r="D121" i="9" s="1"/>
  <c r="C122" i="9"/>
  <c r="D122" i="9" s="1"/>
  <c r="C123" i="9"/>
  <c r="C124" i="9"/>
  <c r="C125" i="9"/>
  <c r="D125" i="9" s="1"/>
  <c r="C126" i="9"/>
  <c r="D126" i="9" s="1"/>
  <c r="C127" i="9"/>
  <c r="C128" i="9"/>
  <c r="C129" i="9"/>
  <c r="D129" i="9" s="1"/>
  <c r="C130" i="9"/>
  <c r="D130" i="9" s="1"/>
  <c r="C131" i="9"/>
  <c r="C132" i="9"/>
  <c r="C133" i="9"/>
  <c r="D133" i="9" s="1"/>
  <c r="C134" i="9"/>
  <c r="D134" i="9" s="1"/>
  <c r="C135" i="9"/>
  <c r="C136" i="9"/>
  <c r="C137" i="9"/>
  <c r="D137" i="9" s="1"/>
  <c r="C138" i="9"/>
  <c r="D138" i="9" s="1"/>
  <c r="C139" i="9"/>
  <c r="C140" i="9"/>
  <c r="C141" i="9"/>
  <c r="D141" i="9" s="1"/>
  <c r="C142" i="9"/>
  <c r="D142" i="9" s="1"/>
  <c r="C143" i="9"/>
  <c r="C144" i="9"/>
  <c r="C145" i="9"/>
  <c r="D145" i="9" s="1"/>
  <c r="C146" i="9"/>
  <c r="D146" i="9" s="1"/>
  <c r="C147" i="9"/>
  <c r="C148" i="9"/>
  <c r="C149" i="9"/>
  <c r="D149" i="9" s="1"/>
  <c r="C150" i="9"/>
  <c r="D150" i="9" s="1"/>
  <c r="C151" i="9"/>
  <c r="C152" i="9"/>
  <c r="C153" i="9"/>
  <c r="D153" i="9" s="1"/>
  <c r="C154" i="9"/>
  <c r="D154" i="9" s="1"/>
  <c r="C155" i="9"/>
  <c r="C156" i="9"/>
  <c r="C157" i="9"/>
  <c r="D157" i="9" s="1"/>
  <c r="C158" i="9"/>
  <c r="D158" i="9" s="1"/>
  <c r="C159" i="9"/>
  <c r="C160" i="9"/>
  <c r="C161" i="9"/>
  <c r="D161" i="9" s="1"/>
  <c r="C162" i="9"/>
  <c r="D162" i="9" s="1"/>
  <c r="C163" i="9"/>
  <c r="C164" i="9"/>
  <c r="C165" i="9"/>
  <c r="D165" i="9" s="1"/>
  <c r="C166" i="9"/>
  <c r="D166" i="9" s="1"/>
  <c r="C167" i="9"/>
  <c r="C168" i="9"/>
  <c r="C169" i="9"/>
  <c r="D169" i="9" s="1"/>
  <c r="C170" i="9"/>
  <c r="D170" i="9" s="1"/>
  <c r="C171" i="9"/>
  <c r="C172" i="9"/>
  <c r="C173" i="9"/>
  <c r="D173" i="9" s="1"/>
  <c r="C174" i="9"/>
  <c r="D174" i="9" s="1"/>
  <c r="C175" i="9"/>
  <c r="C176" i="9"/>
  <c r="C177" i="9"/>
  <c r="D177" i="9" s="1"/>
  <c r="C178" i="9"/>
  <c r="D178" i="9" s="1"/>
  <c r="C179" i="9"/>
  <c r="C180" i="9"/>
  <c r="C181" i="9"/>
  <c r="D181" i="9" s="1"/>
  <c r="C182" i="9"/>
  <c r="D182" i="9" s="1"/>
  <c r="C183" i="9"/>
  <c r="C184" i="9"/>
  <c r="C185" i="9"/>
  <c r="D185" i="9" s="1"/>
  <c r="C186" i="9"/>
  <c r="D186" i="9" s="1"/>
  <c r="C187" i="9"/>
  <c r="C188" i="9"/>
  <c r="C189" i="9"/>
  <c r="D189" i="9" s="1"/>
  <c r="C190" i="9"/>
  <c r="D190" i="9" s="1"/>
  <c r="C191" i="9"/>
  <c r="C192" i="9"/>
  <c r="C193" i="9"/>
  <c r="D193" i="9" s="1"/>
  <c r="C194" i="9"/>
  <c r="D194" i="9" s="1"/>
  <c r="C195" i="9"/>
  <c r="C196" i="9"/>
  <c r="C197" i="9"/>
  <c r="D197" i="9" s="1"/>
  <c r="C198" i="9"/>
  <c r="D198" i="9" s="1"/>
  <c r="C199" i="9"/>
  <c r="C200" i="9"/>
  <c r="C201" i="9"/>
  <c r="D201" i="9" s="1"/>
  <c r="C202" i="9"/>
  <c r="D202" i="9" s="1"/>
  <c r="C203" i="9"/>
  <c r="C204" i="9"/>
  <c r="C205" i="9"/>
  <c r="D205" i="9" s="1"/>
  <c r="C206" i="9"/>
  <c r="D206" i="9" s="1"/>
  <c r="C207" i="9"/>
  <c r="C208" i="9"/>
  <c r="C209" i="9"/>
  <c r="D209" i="9" s="1"/>
  <c r="C210" i="9"/>
  <c r="D210" i="9" s="1"/>
  <c r="C211" i="9"/>
  <c r="C212" i="9"/>
  <c r="C213" i="9"/>
  <c r="D213" i="9" s="1"/>
  <c r="C214" i="9"/>
  <c r="D214" i="9" s="1"/>
  <c r="C215" i="9"/>
  <c r="C216" i="9"/>
  <c r="C217" i="9"/>
  <c r="D217" i="9" s="1"/>
  <c r="C218" i="9"/>
  <c r="D218" i="9" s="1"/>
  <c r="C219" i="9"/>
  <c r="C220" i="9"/>
  <c r="C221" i="9"/>
  <c r="D221" i="9" s="1"/>
  <c r="C222" i="9"/>
  <c r="D222" i="9" s="1"/>
  <c r="C223" i="9"/>
  <c r="C224" i="9"/>
  <c r="C225" i="9"/>
  <c r="D225" i="9" s="1"/>
  <c r="C226" i="9"/>
  <c r="D226" i="9" s="1"/>
  <c r="C227" i="9"/>
  <c r="C228" i="9"/>
  <c r="C229" i="9"/>
  <c r="D229" i="9" s="1"/>
  <c r="C230" i="9"/>
  <c r="D230" i="9" s="1"/>
  <c r="C231" i="9"/>
  <c r="C232" i="9"/>
  <c r="C233" i="9"/>
  <c r="D233" i="9" s="1"/>
  <c r="C234" i="9"/>
  <c r="D234" i="9" s="1"/>
  <c r="C235" i="9"/>
  <c r="C236" i="9"/>
  <c r="C237" i="9"/>
  <c r="D237" i="9" s="1"/>
  <c r="C238" i="9"/>
  <c r="D238" i="9" s="1"/>
  <c r="C239" i="9"/>
  <c r="C240" i="9"/>
  <c r="C241" i="9"/>
  <c r="D241" i="9" s="1"/>
  <c r="C242" i="9"/>
  <c r="D242" i="9" s="1"/>
  <c r="C243" i="9"/>
  <c r="C244" i="9"/>
  <c r="C245" i="9"/>
  <c r="D245" i="9" s="1"/>
  <c r="C246" i="9"/>
  <c r="D246" i="9" s="1"/>
  <c r="C247" i="9"/>
  <c r="C248" i="9"/>
  <c r="C249" i="9"/>
  <c r="D249" i="9" s="1"/>
  <c r="C250" i="9"/>
  <c r="D250" i="9" s="1"/>
  <c r="C251" i="9"/>
  <c r="C252" i="9"/>
  <c r="C253" i="9"/>
  <c r="D253" i="9" s="1"/>
  <c r="C254" i="9"/>
  <c r="D254" i="9" s="1"/>
  <c r="C255" i="9"/>
  <c r="C256" i="9"/>
  <c r="C257" i="9"/>
  <c r="D257" i="9" s="1"/>
  <c r="C258" i="9"/>
  <c r="D258" i="9" s="1"/>
  <c r="C259" i="9"/>
  <c r="C260" i="9"/>
  <c r="C261" i="9"/>
  <c r="D261" i="9" s="1"/>
  <c r="C262" i="9"/>
  <c r="D262" i="9" s="1"/>
  <c r="C263" i="9"/>
  <c r="C264" i="9"/>
  <c r="C265" i="9"/>
  <c r="D265" i="9" s="1"/>
  <c r="C266" i="9"/>
  <c r="D266" i="9" s="1"/>
  <c r="C267" i="9"/>
  <c r="C268" i="9"/>
  <c r="C269" i="9"/>
  <c r="D269" i="9" s="1"/>
  <c r="C270" i="9"/>
  <c r="D270" i="9" s="1"/>
  <c r="C271" i="9"/>
  <c r="C272" i="9"/>
  <c r="C273" i="9"/>
  <c r="D273" i="9" s="1"/>
  <c r="C274" i="9"/>
  <c r="D274" i="9" s="1"/>
  <c r="C275" i="9"/>
  <c r="C276" i="9"/>
  <c r="C277" i="9"/>
  <c r="D277" i="9" s="1"/>
  <c r="C278" i="9"/>
  <c r="D278" i="9" s="1"/>
  <c r="C279" i="9"/>
  <c r="C280" i="9"/>
  <c r="C281" i="9"/>
  <c r="D281" i="9" s="1"/>
  <c r="C282" i="9"/>
  <c r="D282" i="9" s="1"/>
  <c r="C283" i="9"/>
  <c r="C284" i="9"/>
  <c r="C285" i="9"/>
  <c r="D285" i="9" s="1"/>
  <c r="C286" i="9"/>
  <c r="D286" i="9" s="1"/>
  <c r="C287" i="9"/>
  <c r="C288" i="9"/>
  <c r="C289" i="9"/>
  <c r="D289" i="9" s="1"/>
  <c r="C290" i="9"/>
  <c r="D290" i="9" s="1"/>
  <c r="C291" i="9"/>
  <c r="C292" i="9"/>
  <c r="C293" i="9"/>
  <c r="D293" i="9" s="1"/>
  <c r="C294" i="9"/>
  <c r="D294" i="9" s="1"/>
  <c r="C295" i="9"/>
  <c r="C296" i="9"/>
  <c r="C297" i="9"/>
  <c r="D297" i="9" s="1"/>
  <c r="C298" i="9"/>
  <c r="D298" i="9" s="1"/>
  <c r="C299" i="9"/>
  <c r="C300" i="9"/>
  <c r="C301" i="9"/>
  <c r="D301" i="9" s="1"/>
  <c r="C302" i="9"/>
  <c r="D302" i="9" s="1"/>
  <c r="C303" i="9"/>
  <c r="C304" i="9"/>
  <c r="C305" i="9"/>
  <c r="D305" i="9" s="1"/>
  <c r="C306" i="9"/>
  <c r="D306" i="9" s="1"/>
  <c r="C307" i="9"/>
  <c r="C308" i="9"/>
  <c r="C309" i="9"/>
  <c r="D309" i="9" s="1"/>
  <c r="C310" i="9"/>
  <c r="D310" i="9" s="1"/>
  <c r="C311" i="9"/>
  <c r="C312" i="9"/>
  <c r="C313" i="9"/>
  <c r="D313" i="9" s="1"/>
  <c r="C314" i="9"/>
  <c r="D314" i="9" s="1"/>
  <c r="C315" i="9"/>
  <c r="C316" i="9"/>
  <c r="C317" i="9"/>
  <c r="D317" i="9" s="1"/>
  <c r="C318" i="9"/>
  <c r="D318" i="9" s="1"/>
  <c r="C319" i="9"/>
  <c r="C320" i="9"/>
  <c r="C321" i="9"/>
  <c r="D321" i="9" s="1"/>
  <c r="C322" i="9"/>
  <c r="D322" i="9" s="1"/>
  <c r="C323" i="9"/>
  <c r="C324" i="9"/>
  <c r="C325" i="9"/>
  <c r="D325" i="9" s="1"/>
  <c r="C326" i="9"/>
  <c r="D326" i="9" s="1"/>
  <c r="C327" i="9"/>
  <c r="C328" i="9"/>
  <c r="C329" i="9"/>
  <c r="D329" i="9" s="1"/>
  <c r="C330" i="9"/>
  <c r="D330" i="9" s="1"/>
  <c r="C331" i="9"/>
  <c r="C332" i="9"/>
  <c r="C333" i="9"/>
  <c r="D333" i="9" s="1"/>
  <c r="C334" i="9"/>
  <c r="D334" i="9" s="1"/>
  <c r="C335" i="9"/>
  <c r="C336" i="9"/>
  <c r="C337" i="9"/>
  <c r="D337" i="9" s="1"/>
  <c r="C338" i="9"/>
  <c r="D338" i="9" s="1"/>
  <c r="C339" i="9"/>
  <c r="C340" i="9"/>
  <c r="C341" i="9"/>
  <c r="D341" i="9" s="1"/>
  <c r="C342" i="9"/>
  <c r="D342" i="9" s="1"/>
  <c r="C343" i="9"/>
  <c r="C344" i="9"/>
  <c r="C345" i="9"/>
  <c r="D345" i="9" s="1"/>
  <c r="C346" i="9"/>
  <c r="D346" i="9" s="1"/>
  <c r="C347" i="9"/>
  <c r="C348" i="9"/>
  <c r="C349" i="9"/>
  <c r="D349" i="9" s="1"/>
  <c r="C350" i="9"/>
  <c r="D350" i="9" s="1"/>
  <c r="C351" i="9"/>
  <c r="C352" i="9"/>
  <c r="C353" i="9"/>
  <c r="D353" i="9" s="1"/>
  <c r="C354" i="9"/>
  <c r="D354" i="9" s="1"/>
  <c r="C355" i="9"/>
  <c r="C356" i="9"/>
  <c r="C357" i="9"/>
  <c r="D357" i="9" s="1"/>
  <c r="C358" i="9"/>
  <c r="D358" i="9" s="1"/>
  <c r="C359" i="9"/>
  <c r="C360" i="9"/>
  <c r="C361" i="9"/>
  <c r="D361" i="9" s="1"/>
  <c r="C362" i="9"/>
  <c r="D362" i="9" s="1"/>
  <c r="C363" i="9"/>
  <c r="C364" i="9"/>
  <c r="C365" i="9"/>
  <c r="D365" i="9" s="1"/>
  <c r="C366" i="9"/>
  <c r="D366" i="9" s="1"/>
  <c r="C367" i="9"/>
  <c r="C368" i="9"/>
  <c r="C369" i="9"/>
  <c r="D369" i="9" s="1"/>
  <c r="C370" i="9"/>
  <c r="D370" i="9" s="1"/>
  <c r="C371" i="9"/>
  <c r="C372" i="9"/>
  <c r="C373" i="9"/>
  <c r="D373" i="9" s="1"/>
  <c r="C374" i="9"/>
  <c r="D374" i="9" s="1"/>
  <c r="C375" i="9"/>
  <c r="C376" i="9"/>
  <c r="C377" i="9"/>
  <c r="D377" i="9" s="1"/>
  <c r="C378" i="9"/>
  <c r="D378" i="9" s="1"/>
  <c r="C379" i="9"/>
  <c r="C380" i="9"/>
  <c r="C381" i="9"/>
  <c r="D381" i="9" s="1"/>
  <c r="C382" i="9"/>
  <c r="D382" i="9" s="1"/>
  <c r="C383" i="9"/>
  <c r="C384" i="9"/>
  <c r="C385" i="9"/>
  <c r="D385" i="9" s="1"/>
  <c r="C386" i="9"/>
  <c r="D386" i="9" s="1"/>
  <c r="C387" i="9"/>
  <c r="C388" i="9"/>
  <c r="C389" i="9"/>
  <c r="D389" i="9" s="1"/>
  <c r="C390" i="9"/>
  <c r="D390" i="9" s="1"/>
  <c r="C391" i="9"/>
  <c r="C392" i="9"/>
  <c r="C393" i="9"/>
  <c r="D393" i="9" s="1"/>
  <c r="C394" i="9"/>
  <c r="D394" i="9" s="1"/>
  <c r="C395" i="9"/>
  <c r="C396" i="9"/>
  <c r="C397" i="9"/>
  <c r="D397" i="9" s="1"/>
  <c r="C398" i="9"/>
  <c r="D398" i="9" s="1"/>
  <c r="C399" i="9"/>
  <c r="C400" i="9"/>
  <c r="C401" i="9"/>
  <c r="D401" i="9" s="1"/>
  <c r="C402" i="9"/>
  <c r="D402" i="9" s="1"/>
  <c r="C403" i="9"/>
  <c r="C404" i="9"/>
  <c r="C405" i="9"/>
  <c r="D405" i="9" s="1"/>
  <c r="C406" i="9"/>
  <c r="D406" i="9" s="1"/>
  <c r="C407" i="9"/>
  <c r="C408" i="9"/>
  <c r="C409" i="9"/>
  <c r="D409" i="9" s="1"/>
  <c r="C410" i="9"/>
  <c r="D410" i="9" s="1"/>
  <c r="C411" i="9"/>
  <c r="C412" i="9"/>
  <c r="C413" i="9"/>
  <c r="D413" i="9" s="1"/>
  <c r="C414" i="9"/>
  <c r="D414" i="9" s="1"/>
  <c r="C415" i="9"/>
  <c r="C416" i="9"/>
  <c r="C417" i="9"/>
  <c r="D417" i="9" s="1"/>
  <c r="C418" i="9"/>
  <c r="D418" i="9" s="1"/>
  <c r="C419" i="9"/>
  <c r="C420" i="9"/>
  <c r="C421" i="9"/>
  <c r="D421" i="9" s="1"/>
  <c r="C422" i="9"/>
  <c r="D422" i="9" s="1"/>
  <c r="C423" i="9"/>
  <c r="C424" i="9"/>
  <c r="C425" i="9"/>
  <c r="D425" i="9" s="1"/>
  <c r="C426" i="9"/>
  <c r="D426" i="9" s="1"/>
  <c r="C427" i="9"/>
  <c r="C428" i="9"/>
  <c r="C429" i="9"/>
  <c r="D429" i="9" s="1"/>
  <c r="C430" i="9"/>
  <c r="D430" i="9" s="1"/>
  <c r="C431" i="9"/>
  <c r="C432" i="9"/>
  <c r="C433" i="9"/>
  <c r="D433" i="9" s="1"/>
  <c r="C434" i="9"/>
  <c r="D434" i="9" s="1"/>
  <c r="C435" i="9"/>
  <c r="C436" i="9"/>
  <c r="C437" i="9"/>
  <c r="D437" i="9" s="1"/>
  <c r="C438" i="9"/>
  <c r="D438" i="9" s="1"/>
  <c r="C439" i="9"/>
  <c r="C440" i="9"/>
  <c r="C441" i="9"/>
  <c r="D441" i="9" s="1"/>
  <c r="C442" i="9"/>
  <c r="D442" i="9" s="1"/>
  <c r="C443" i="9"/>
  <c r="C444" i="9"/>
  <c r="C445" i="9"/>
  <c r="D445" i="9" s="1"/>
  <c r="C446" i="9"/>
  <c r="D446" i="9" s="1"/>
  <c r="C447" i="9"/>
  <c r="C448" i="9"/>
  <c r="C449" i="9"/>
  <c r="D449" i="9" s="1"/>
  <c r="C450" i="9"/>
  <c r="D450" i="9" s="1"/>
  <c r="C451" i="9"/>
  <c r="C452" i="9"/>
  <c r="C453" i="9"/>
  <c r="D453" i="9" s="1"/>
  <c r="C454" i="9"/>
  <c r="D454" i="9" s="1"/>
  <c r="C455" i="9"/>
  <c r="C456" i="9"/>
  <c r="C457" i="9"/>
  <c r="D457" i="9" s="1"/>
  <c r="C458" i="9"/>
  <c r="D458" i="9" s="1"/>
  <c r="C459" i="9"/>
  <c r="C460" i="9"/>
  <c r="C461" i="9"/>
  <c r="D461" i="9" s="1"/>
  <c r="C462" i="9"/>
  <c r="D462" i="9" s="1"/>
  <c r="C463" i="9"/>
  <c r="C464" i="9"/>
  <c r="C465" i="9"/>
  <c r="D465" i="9" s="1"/>
  <c r="C466" i="9"/>
  <c r="D466" i="9" s="1"/>
  <c r="C467" i="9"/>
  <c r="C468" i="9"/>
  <c r="C469" i="9"/>
  <c r="D469" i="9" s="1"/>
  <c r="C470" i="9"/>
  <c r="D470" i="9" s="1"/>
  <c r="C471" i="9"/>
  <c r="C472" i="9"/>
  <c r="C473" i="9"/>
  <c r="D473" i="9" s="1"/>
  <c r="C474" i="9"/>
  <c r="D474" i="9" s="1"/>
  <c r="C475" i="9"/>
  <c r="C476" i="9"/>
  <c r="C477" i="9"/>
  <c r="D477" i="9" s="1"/>
  <c r="C478" i="9"/>
  <c r="D478" i="9" s="1"/>
  <c r="C479" i="9"/>
  <c r="C480" i="9"/>
  <c r="C481" i="9"/>
  <c r="D481" i="9" s="1"/>
  <c r="C482" i="9"/>
  <c r="D482" i="9" s="1"/>
  <c r="C483" i="9"/>
  <c r="C484" i="9"/>
  <c r="C485" i="9"/>
  <c r="D485" i="9" s="1"/>
  <c r="C486" i="9"/>
  <c r="D486" i="9" s="1"/>
  <c r="C487" i="9"/>
  <c r="C488" i="9"/>
  <c r="C489" i="9"/>
  <c r="D489" i="9" s="1"/>
  <c r="C490" i="9"/>
  <c r="D490" i="9" s="1"/>
  <c r="C491" i="9"/>
  <c r="C492" i="9"/>
  <c r="C493" i="9"/>
  <c r="D493" i="9" s="1"/>
  <c r="C494" i="9"/>
  <c r="D494" i="9" s="1"/>
  <c r="C495" i="9"/>
  <c r="C496" i="9"/>
  <c r="C497" i="9"/>
  <c r="D497" i="9" s="1"/>
  <c r="C498" i="9"/>
  <c r="D498" i="9" s="1"/>
  <c r="C499" i="9"/>
  <c r="C500" i="9"/>
  <c r="C501" i="9"/>
  <c r="D501" i="9" s="1"/>
  <c r="C502" i="9"/>
  <c r="D502" i="9" s="1"/>
  <c r="C503" i="9"/>
  <c r="C504" i="9"/>
  <c r="C505" i="9"/>
  <c r="D505" i="9" s="1"/>
  <c r="C506" i="9"/>
  <c r="D506" i="9" s="1"/>
  <c r="C507" i="9"/>
  <c r="C508" i="9"/>
  <c r="C509" i="9"/>
  <c r="D509" i="9" s="1"/>
  <c r="C510" i="9"/>
  <c r="D510" i="9" s="1"/>
  <c r="C511" i="9"/>
  <c r="C512" i="9"/>
  <c r="C513" i="9"/>
  <c r="D513" i="9" s="1"/>
  <c r="C514" i="9"/>
  <c r="D514" i="9" s="1"/>
  <c r="C515" i="9"/>
  <c r="C516" i="9"/>
  <c r="C517" i="9"/>
  <c r="D517" i="9" s="1"/>
  <c r="C518" i="9"/>
  <c r="D518" i="9" s="1"/>
  <c r="C519" i="9"/>
  <c r="C520" i="9"/>
  <c r="C521" i="9"/>
  <c r="D521" i="9" s="1"/>
  <c r="C522" i="9"/>
  <c r="D522" i="9" s="1"/>
  <c r="C523" i="9"/>
  <c r="C524" i="9"/>
  <c r="C525" i="9"/>
  <c r="D525" i="9" s="1"/>
  <c r="C526" i="9"/>
  <c r="D526" i="9" s="1"/>
  <c r="C527" i="9"/>
  <c r="C528" i="9"/>
  <c r="C529" i="9"/>
  <c r="D529" i="9" s="1"/>
  <c r="C530" i="9"/>
  <c r="D530" i="9" s="1"/>
  <c r="C531" i="9"/>
  <c r="C532" i="9"/>
  <c r="C533" i="9"/>
  <c r="D533" i="9" s="1"/>
  <c r="C534" i="9"/>
  <c r="D534" i="9" s="1"/>
  <c r="C535" i="9"/>
  <c r="C536" i="9"/>
  <c r="C537" i="9"/>
  <c r="D537" i="9" s="1"/>
  <c r="C538" i="9"/>
  <c r="D538" i="9" s="1"/>
  <c r="C539" i="9"/>
  <c r="C540" i="9"/>
  <c r="C541" i="9"/>
  <c r="D541" i="9" s="1"/>
  <c r="C542" i="9"/>
  <c r="D542" i="9" s="1"/>
  <c r="C543" i="9"/>
  <c r="C544" i="9"/>
  <c r="C545" i="9"/>
  <c r="D545" i="9" s="1"/>
  <c r="C546" i="9"/>
  <c r="D546" i="9" s="1"/>
  <c r="C547" i="9"/>
  <c r="C548" i="9"/>
  <c r="C549" i="9"/>
  <c r="D549" i="9" s="1"/>
  <c r="C550" i="9"/>
  <c r="D550" i="9" s="1"/>
  <c r="C551" i="9"/>
  <c r="C552" i="9"/>
  <c r="C553" i="9"/>
  <c r="D553" i="9" s="1"/>
  <c r="C554" i="9"/>
  <c r="D554" i="9" s="1"/>
  <c r="C555" i="9"/>
  <c r="C556" i="9"/>
  <c r="C557" i="9"/>
  <c r="D557" i="9" s="1"/>
  <c r="C558" i="9"/>
  <c r="D558" i="9" s="1"/>
  <c r="C559" i="9"/>
  <c r="C560" i="9"/>
  <c r="C561" i="9"/>
  <c r="D561" i="9" s="1"/>
  <c r="C562" i="9"/>
  <c r="D562" i="9" s="1"/>
  <c r="C563" i="9"/>
  <c r="C564" i="9"/>
  <c r="C565" i="9"/>
  <c r="D565" i="9" s="1"/>
  <c r="C566" i="9"/>
  <c r="D566" i="9" s="1"/>
  <c r="C567" i="9"/>
  <c r="C568" i="9"/>
  <c r="C569" i="9"/>
  <c r="D569" i="9" s="1"/>
  <c r="C570" i="9"/>
  <c r="D570" i="9" s="1"/>
  <c r="C571" i="9"/>
  <c r="C572" i="9"/>
  <c r="C573" i="9"/>
  <c r="D573" i="9" s="1"/>
  <c r="C574" i="9"/>
  <c r="D574" i="9" s="1"/>
  <c r="C575" i="9"/>
  <c r="C576" i="9"/>
  <c r="C577" i="9"/>
  <c r="D577" i="9" s="1"/>
  <c r="C578" i="9"/>
  <c r="D578" i="9" s="1"/>
  <c r="C579" i="9"/>
  <c r="C580" i="9"/>
  <c r="C581" i="9"/>
  <c r="D581" i="9" s="1"/>
  <c r="C582" i="9"/>
  <c r="D582" i="9" s="1"/>
  <c r="C583" i="9"/>
  <c r="C584" i="9"/>
  <c r="C585" i="9"/>
  <c r="D585" i="9" s="1"/>
  <c r="C586" i="9"/>
  <c r="D586" i="9" s="1"/>
  <c r="C587" i="9"/>
  <c r="C588" i="9"/>
  <c r="C589" i="9"/>
  <c r="D589" i="9" s="1"/>
  <c r="C590" i="9"/>
  <c r="D590" i="9" s="1"/>
  <c r="C591" i="9"/>
  <c r="C592" i="9"/>
  <c r="C593" i="9"/>
  <c r="D593" i="9" s="1"/>
  <c r="C594" i="9"/>
  <c r="D594" i="9" s="1"/>
  <c r="C595" i="9"/>
  <c r="C596" i="9"/>
  <c r="C597" i="9"/>
  <c r="D597" i="9" s="1"/>
  <c r="C598" i="9"/>
  <c r="D598" i="9" s="1"/>
  <c r="C599" i="9"/>
  <c r="C600" i="9"/>
  <c r="C601" i="9"/>
  <c r="D601" i="9" s="1"/>
  <c r="C602" i="9"/>
  <c r="D602" i="9" s="1"/>
  <c r="C603" i="9"/>
  <c r="C604" i="9"/>
  <c r="C605" i="9"/>
  <c r="D605" i="9" s="1"/>
  <c r="C606" i="9"/>
  <c r="D606" i="9" s="1"/>
  <c r="C607" i="9"/>
  <c r="C608" i="9"/>
  <c r="C609" i="9"/>
  <c r="D609" i="9" s="1"/>
  <c r="C610" i="9"/>
  <c r="D610" i="9" s="1"/>
  <c r="C611" i="9"/>
  <c r="C612" i="9"/>
  <c r="C613" i="9"/>
  <c r="D613" i="9" s="1"/>
  <c r="C614" i="9"/>
  <c r="D614" i="9" s="1"/>
  <c r="C615" i="9"/>
  <c r="C616" i="9"/>
  <c r="C617" i="9"/>
  <c r="D617" i="9" s="1"/>
  <c r="C618" i="9"/>
  <c r="C619" i="9"/>
  <c r="C620" i="9"/>
  <c r="C621" i="9"/>
  <c r="D621" i="9" s="1"/>
  <c r="C622" i="9"/>
  <c r="D622" i="9" s="1"/>
  <c r="C623" i="9"/>
  <c r="C624" i="9"/>
  <c r="C625" i="9"/>
  <c r="D625" i="9" s="1"/>
  <c r="C626" i="9"/>
  <c r="D626" i="9" s="1"/>
  <c r="C627" i="9"/>
  <c r="C628" i="9"/>
  <c r="C629" i="9"/>
  <c r="D629" i="9" s="1"/>
  <c r="C630" i="9"/>
  <c r="D630" i="9" s="1"/>
  <c r="C631" i="9"/>
  <c r="C632" i="9"/>
  <c r="C633" i="9"/>
  <c r="D633" i="9" s="1"/>
  <c r="C634" i="9"/>
  <c r="D634" i="9" s="1"/>
  <c r="C635" i="9"/>
  <c r="C636" i="9"/>
  <c r="C637" i="9"/>
  <c r="D637" i="9" s="1"/>
  <c r="C638" i="9"/>
  <c r="D638" i="9" s="1"/>
  <c r="C639" i="9"/>
  <c r="C640" i="9"/>
  <c r="C641" i="9"/>
  <c r="D641" i="9" s="1"/>
  <c r="C642" i="9"/>
  <c r="D642" i="9" s="1"/>
  <c r="C643" i="9"/>
  <c r="C644" i="9"/>
  <c r="C645" i="9"/>
  <c r="D645" i="9" s="1"/>
  <c r="C646" i="9"/>
  <c r="D646" i="9" s="1"/>
  <c r="C647" i="9"/>
  <c r="C648" i="9"/>
  <c r="C649" i="9"/>
  <c r="D649" i="9" s="1"/>
  <c r="C650" i="9"/>
  <c r="D650" i="9" s="1"/>
  <c r="C651" i="9"/>
  <c r="C652" i="9"/>
  <c r="C653" i="9"/>
  <c r="D653" i="9" s="1"/>
  <c r="C654" i="9"/>
  <c r="D654" i="9" s="1"/>
  <c r="C655" i="9"/>
  <c r="C656" i="9"/>
  <c r="C657" i="9"/>
  <c r="D657" i="9" s="1"/>
  <c r="C658" i="9"/>
  <c r="D658" i="9" s="1"/>
  <c r="C659" i="9"/>
  <c r="C660" i="9"/>
  <c r="C661" i="9"/>
  <c r="D661" i="9" s="1"/>
  <c r="C662" i="9"/>
  <c r="D662" i="9" s="1"/>
  <c r="C663" i="9"/>
  <c r="C664" i="9"/>
  <c r="C665" i="9"/>
  <c r="D665" i="9" s="1"/>
  <c r="C666" i="9"/>
  <c r="D666" i="9" s="1"/>
  <c r="C667" i="9"/>
  <c r="C668" i="9"/>
  <c r="C669" i="9"/>
  <c r="D669" i="9" s="1"/>
  <c r="C670" i="9"/>
  <c r="D670" i="9" s="1"/>
  <c r="C671" i="9"/>
  <c r="C672" i="9"/>
  <c r="C673" i="9"/>
  <c r="D673" i="9" s="1"/>
  <c r="C674" i="9"/>
  <c r="D674" i="9" s="1"/>
  <c r="C675" i="9"/>
  <c r="C676" i="9"/>
  <c r="C677" i="9"/>
  <c r="D677" i="9" s="1"/>
  <c r="C678" i="9"/>
  <c r="D678" i="9" s="1"/>
  <c r="C679" i="9"/>
  <c r="C680" i="9"/>
  <c r="C681" i="9"/>
  <c r="D681" i="9" s="1"/>
  <c r="C682" i="9"/>
  <c r="D682" i="9" s="1"/>
  <c r="C683" i="9"/>
  <c r="C684" i="9"/>
  <c r="C685" i="9"/>
  <c r="D685" i="9" s="1"/>
  <c r="C686" i="9"/>
  <c r="D686" i="9" s="1"/>
  <c r="C687" i="9"/>
  <c r="C688" i="9"/>
  <c r="C689" i="9"/>
  <c r="D689" i="9" s="1"/>
  <c r="C690" i="9"/>
  <c r="D690" i="9" s="1"/>
  <c r="C691" i="9"/>
  <c r="C692" i="9"/>
  <c r="C693" i="9"/>
  <c r="D693" i="9" s="1"/>
  <c r="C694" i="9"/>
  <c r="D694" i="9" s="1"/>
  <c r="C695" i="9"/>
  <c r="C696" i="9"/>
  <c r="C697" i="9"/>
  <c r="D697" i="9" s="1"/>
  <c r="C698" i="9"/>
  <c r="D698" i="9" s="1"/>
  <c r="C699" i="9"/>
  <c r="C700" i="9"/>
  <c r="C701" i="9"/>
  <c r="D701" i="9" s="1"/>
  <c r="C702" i="9"/>
  <c r="D702" i="9" s="1"/>
  <c r="C703" i="9"/>
  <c r="C704" i="9"/>
  <c r="C705" i="9"/>
  <c r="D705" i="9" s="1"/>
  <c r="C706" i="9"/>
  <c r="D706" i="9" s="1"/>
  <c r="C707" i="9"/>
  <c r="C708" i="9"/>
  <c r="C709" i="9"/>
  <c r="D709" i="9" s="1"/>
  <c r="C710" i="9"/>
  <c r="D710" i="9" s="1"/>
  <c r="C711" i="9"/>
  <c r="C712" i="9"/>
  <c r="C713" i="9"/>
  <c r="D713" i="9" s="1"/>
  <c r="C714" i="9"/>
  <c r="D714" i="9" s="1"/>
  <c r="C715" i="9"/>
  <c r="C716" i="9"/>
  <c r="C717" i="9"/>
  <c r="D717" i="9" s="1"/>
  <c r="C718" i="9"/>
  <c r="D718" i="9" s="1"/>
  <c r="C719" i="9"/>
  <c r="C720" i="9"/>
  <c r="C721" i="9"/>
  <c r="D721" i="9" s="1"/>
  <c r="C722" i="9"/>
  <c r="D722" i="9" s="1"/>
  <c r="C723" i="9"/>
  <c r="C724" i="9"/>
  <c r="C725" i="9"/>
  <c r="D725" i="9" s="1"/>
  <c r="C726" i="9"/>
  <c r="D726" i="9" s="1"/>
  <c r="C727" i="9"/>
  <c r="C728" i="9"/>
  <c r="C729" i="9"/>
  <c r="D729" i="9" s="1"/>
  <c r="C730" i="9"/>
  <c r="D730" i="9" s="1"/>
  <c r="C731" i="9"/>
  <c r="C732" i="9"/>
  <c r="C733" i="9"/>
  <c r="D733" i="9" s="1"/>
  <c r="C734" i="9"/>
  <c r="D734" i="9" s="1"/>
  <c r="C735" i="9"/>
  <c r="C736" i="9"/>
  <c r="C737" i="9"/>
  <c r="D737" i="9" s="1"/>
  <c r="C738" i="9"/>
  <c r="D738" i="9" s="1"/>
  <c r="C739" i="9"/>
  <c r="C740" i="9"/>
  <c r="C741" i="9"/>
  <c r="D741" i="9" s="1"/>
  <c r="C742" i="9"/>
  <c r="D742" i="9" s="1"/>
  <c r="C743" i="9"/>
  <c r="C744" i="9"/>
  <c r="C745" i="9"/>
  <c r="D745" i="9" s="1"/>
  <c r="C746" i="9"/>
  <c r="D746" i="9" s="1"/>
  <c r="C747" i="9"/>
  <c r="C748" i="9"/>
  <c r="C749" i="9"/>
  <c r="D749" i="9" s="1"/>
  <c r="C750" i="9"/>
  <c r="D750" i="9" s="1"/>
  <c r="C751" i="9"/>
  <c r="C752" i="9"/>
  <c r="C753" i="9"/>
  <c r="D753" i="9" s="1"/>
  <c r="C754" i="9"/>
  <c r="D754" i="9" s="1"/>
  <c r="C755" i="9"/>
  <c r="C756" i="9"/>
  <c r="C757" i="9"/>
  <c r="D757" i="9" s="1"/>
  <c r="C758" i="9"/>
  <c r="D758" i="9" s="1"/>
  <c r="C759" i="9"/>
  <c r="C760" i="9"/>
  <c r="C761" i="9"/>
  <c r="D761" i="9" s="1"/>
  <c r="C762" i="9"/>
  <c r="D762" i="9" s="1"/>
  <c r="C763" i="9"/>
  <c r="C764" i="9"/>
  <c r="C765" i="9"/>
  <c r="D765" i="9" s="1"/>
  <c r="C766" i="9"/>
  <c r="D766" i="9" s="1"/>
  <c r="C767" i="9"/>
  <c r="C768" i="9"/>
  <c r="C769" i="9"/>
  <c r="D769" i="9" s="1"/>
  <c r="C770" i="9"/>
  <c r="D770" i="9" s="1"/>
  <c r="C771" i="9"/>
  <c r="C772" i="9"/>
  <c r="C773" i="9"/>
  <c r="D773" i="9" s="1"/>
  <c r="C774" i="9"/>
  <c r="D774" i="9" s="1"/>
  <c r="C775" i="9"/>
  <c r="C776" i="9"/>
  <c r="C777" i="9"/>
  <c r="D777" i="9" s="1"/>
  <c r="C778" i="9"/>
  <c r="D778" i="9" s="1"/>
  <c r="C779" i="9"/>
  <c r="C780" i="9"/>
  <c r="C781" i="9"/>
  <c r="D781" i="9" s="1"/>
  <c r="C782" i="9"/>
  <c r="D782" i="9" s="1"/>
  <c r="C783" i="9"/>
  <c r="C784" i="9"/>
  <c r="C785" i="9"/>
  <c r="D785" i="9" s="1"/>
  <c r="C786" i="9"/>
  <c r="D786" i="9" s="1"/>
  <c r="C787" i="9"/>
  <c r="C788" i="9"/>
  <c r="C789" i="9"/>
  <c r="D789" i="9" s="1"/>
  <c r="C790" i="9"/>
  <c r="D790" i="9" s="1"/>
  <c r="C791" i="9"/>
  <c r="C792" i="9"/>
  <c r="C793" i="9"/>
  <c r="D793" i="9" s="1"/>
  <c r="C794" i="9"/>
  <c r="D794" i="9" s="1"/>
  <c r="C795" i="9"/>
  <c r="C796" i="9"/>
  <c r="C797" i="9"/>
  <c r="D797" i="9" s="1"/>
  <c r="C798" i="9"/>
  <c r="D798" i="9" s="1"/>
  <c r="C799" i="9"/>
  <c r="C800" i="9"/>
  <c r="C801" i="9"/>
  <c r="D801" i="9" s="1"/>
  <c r="C802" i="9"/>
  <c r="D802" i="9" s="1"/>
  <c r="C803" i="9"/>
  <c r="C804" i="9"/>
  <c r="C805" i="9"/>
  <c r="D805" i="9" s="1"/>
  <c r="C806" i="9"/>
  <c r="D806" i="9" s="1"/>
  <c r="C807" i="9"/>
  <c r="C808" i="9"/>
  <c r="C809" i="9"/>
  <c r="D809" i="9" s="1"/>
  <c r="C810" i="9"/>
  <c r="D810" i="9" s="1"/>
  <c r="C811" i="9"/>
  <c r="C812" i="9"/>
  <c r="C813" i="9"/>
  <c r="D813" i="9" s="1"/>
  <c r="C814" i="9"/>
  <c r="D814" i="9" s="1"/>
  <c r="C815" i="9"/>
  <c r="C816" i="9"/>
  <c r="C817" i="9"/>
  <c r="D817" i="9" s="1"/>
  <c r="C818" i="9"/>
  <c r="D818" i="9" s="1"/>
  <c r="C819" i="9"/>
  <c r="C820" i="9"/>
  <c r="C821" i="9"/>
  <c r="D821" i="9" s="1"/>
  <c r="C822" i="9"/>
  <c r="D822" i="9" s="1"/>
  <c r="C823" i="9"/>
  <c r="C824" i="9"/>
  <c r="C825" i="9"/>
  <c r="D825" i="9" s="1"/>
  <c r="C826" i="9"/>
  <c r="D826" i="9" s="1"/>
  <c r="C827" i="9"/>
  <c r="C828" i="9"/>
  <c r="C829" i="9"/>
  <c r="D829" i="9" s="1"/>
  <c r="C830" i="9"/>
  <c r="D830" i="9" s="1"/>
  <c r="C831" i="9"/>
  <c r="C832" i="9"/>
  <c r="C833" i="9"/>
  <c r="D833" i="9" s="1"/>
  <c r="C834" i="9"/>
  <c r="D834" i="9" s="1"/>
  <c r="C835" i="9"/>
  <c r="C836" i="9"/>
  <c r="C837" i="9"/>
  <c r="D837" i="9" s="1"/>
  <c r="C838" i="9"/>
  <c r="D838" i="9" s="1"/>
  <c r="C839" i="9"/>
  <c r="C840" i="9"/>
  <c r="C841" i="9"/>
  <c r="D841" i="9" s="1"/>
  <c r="C842" i="9"/>
  <c r="D842" i="9" s="1"/>
  <c r="C843" i="9"/>
  <c r="C844" i="9"/>
  <c r="C845" i="9"/>
  <c r="D845" i="9" s="1"/>
  <c r="C846" i="9"/>
  <c r="D846" i="9" s="1"/>
  <c r="C847" i="9"/>
  <c r="C848" i="9"/>
  <c r="C849" i="9"/>
  <c r="D849" i="9" s="1"/>
  <c r="C850" i="9"/>
  <c r="D850" i="9" s="1"/>
  <c r="C851" i="9"/>
  <c r="C852" i="9"/>
  <c r="C853" i="9"/>
  <c r="D853" i="9" s="1"/>
  <c r="C854" i="9"/>
  <c r="D854" i="9" s="1"/>
  <c r="C855" i="9"/>
  <c r="C856" i="9"/>
  <c r="C857" i="9"/>
  <c r="C858" i="9"/>
  <c r="D858" i="9" s="1"/>
  <c r="C859" i="9"/>
  <c r="C860" i="9"/>
  <c r="C861" i="9"/>
  <c r="C862" i="9"/>
  <c r="D862" i="9" s="1"/>
  <c r="C863" i="9"/>
  <c r="C864" i="9"/>
  <c r="C865" i="9"/>
  <c r="C866" i="9"/>
  <c r="D866" i="9" s="1"/>
  <c r="C867" i="9"/>
  <c r="C868" i="9"/>
  <c r="C869" i="9"/>
  <c r="C870" i="9"/>
  <c r="D870" i="9" s="1"/>
  <c r="C871" i="9"/>
  <c r="C872" i="9"/>
  <c r="C873" i="9"/>
  <c r="C874" i="9"/>
  <c r="D874" i="9" s="1"/>
  <c r="C875" i="9"/>
  <c r="C876" i="9"/>
  <c r="C877" i="9"/>
  <c r="C878" i="9"/>
  <c r="D878" i="9" s="1"/>
  <c r="C879" i="9"/>
  <c r="C880" i="9"/>
  <c r="C881" i="9"/>
  <c r="C882" i="9"/>
  <c r="D882" i="9" s="1"/>
  <c r="C883" i="9"/>
  <c r="C884" i="9"/>
  <c r="C885" i="9"/>
  <c r="C886" i="9"/>
  <c r="D886" i="9" s="1"/>
  <c r="C887" i="9"/>
  <c r="C888" i="9"/>
  <c r="C889" i="9"/>
  <c r="C890" i="9"/>
  <c r="D890" i="9" s="1"/>
  <c r="C891" i="9"/>
  <c r="C892" i="9"/>
  <c r="C893" i="9"/>
  <c r="C894" i="9"/>
  <c r="D894" i="9" s="1"/>
  <c r="C895" i="9"/>
  <c r="C896" i="9"/>
  <c r="C897" i="9"/>
  <c r="C898" i="9"/>
  <c r="D898" i="9" s="1"/>
  <c r="C899" i="9"/>
  <c r="C900" i="9"/>
  <c r="C901" i="9"/>
  <c r="C902" i="9"/>
  <c r="D902" i="9" s="1"/>
  <c r="C903" i="9"/>
  <c r="C904" i="9"/>
  <c r="C905" i="9"/>
  <c r="C906" i="9"/>
  <c r="D906" i="9" s="1"/>
  <c r="C907" i="9"/>
  <c r="C908" i="9"/>
  <c r="C909" i="9"/>
  <c r="C910" i="9"/>
  <c r="D910" i="9" s="1"/>
  <c r="C911" i="9"/>
  <c r="C912" i="9"/>
  <c r="C913" i="9"/>
  <c r="C914" i="9"/>
  <c r="D914" i="9" s="1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D1066" i="9" s="1"/>
  <c r="C1067" i="9"/>
  <c r="C1068" i="9"/>
  <c r="C1069" i="9"/>
  <c r="C1070" i="9"/>
  <c r="D1070" i="9" s="1"/>
  <c r="C1071" i="9"/>
  <c r="C1072" i="9"/>
  <c r="C1073" i="9"/>
  <c r="C1074" i="9"/>
  <c r="D1074" i="9" s="1"/>
  <c r="C1075" i="9"/>
  <c r="C1076" i="9"/>
  <c r="C1077" i="9"/>
  <c r="C1078" i="9"/>
  <c r="D1078" i="9" s="1"/>
  <c r="C1079" i="9"/>
  <c r="C1080" i="9"/>
  <c r="C1081" i="9"/>
  <c r="C1082" i="9"/>
  <c r="D1082" i="9" s="1"/>
  <c r="C1083" i="9"/>
  <c r="C1084" i="9"/>
  <c r="C1085" i="9"/>
  <c r="C1086" i="9"/>
  <c r="D1086" i="9" s="1"/>
  <c r="C1087" i="9"/>
  <c r="C1088" i="9"/>
  <c r="C1089" i="9"/>
  <c r="C1090" i="9"/>
  <c r="D1090" i="9" s="1"/>
  <c r="C1091" i="9"/>
  <c r="C1092" i="9"/>
  <c r="C1093" i="9"/>
  <c r="C1094" i="9"/>
  <c r="D1094" i="9" s="1"/>
  <c r="C1095" i="9"/>
  <c r="C1096" i="9"/>
  <c r="C1097" i="9"/>
  <c r="C1098" i="9"/>
  <c r="D1098" i="9" s="1"/>
  <c r="C1099" i="9"/>
  <c r="C1100" i="9"/>
  <c r="C1101" i="9"/>
  <c r="C1102" i="9"/>
  <c r="D1102" i="9" s="1"/>
  <c r="C1103" i="9"/>
  <c r="C1104" i="9"/>
  <c r="C1105" i="9"/>
  <c r="C1106" i="9"/>
  <c r="D1106" i="9" s="1"/>
  <c r="C1107" i="9"/>
  <c r="C1108" i="9"/>
  <c r="C1109" i="9"/>
  <c r="C1110" i="9"/>
  <c r="D1110" i="9" s="1"/>
  <c r="C1111" i="9"/>
  <c r="C1112" i="9"/>
  <c r="C1113" i="9"/>
  <c r="C1114" i="9"/>
  <c r="D1114" i="9" s="1"/>
  <c r="C1115" i="9"/>
  <c r="C1116" i="9"/>
  <c r="C1117" i="9"/>
  <c r="C1118" i="9"/>
  <c r="D1118" i="9" s="1"/>
  <c r="C1119" i="9"/>
  <c r="C1120" i="9"/>
  <c r="C1121" i="9"/>
  <c r="C1122" i="9"/>
  <c r="D1122" i="9" s="1"/>
  <c r="C1123" i="9"/>
  <c r="C1124" i="9"/>
  <c r="C1125" i="9"/>
  <c r="C1126" i="9"/>
  <c r="D1126" i="9" s="1"/>
  <c r="C1127" i="9"/>
  <c r="C1128" i="9"/>
  <c r="C1129" i="9"/>
  <c r="C1130" i="9"/>
  <c r="D1130" i="9" s="1"/>
  <c r="C1131" i="9"/>
  <c r="C1132" i="9"/>
  <c r="C1133" i="9"/>
  <c r="C1134" i="9"/>
  <c r="D1134" i="9" s="1"/>
  <c r="C1135" i="9"/>
  <c r="C1136" i="9"/>
  <c r="C1137" i="9"/>
  <c r="C1138" i="9"/>
  <c r="D1138" i="9" s="1"/>
  <c r="C1139" i="9"/>
  <c r="C1140" i="9"/>
  <c r="C1141" i="9"/>
  <c r="C1142" i="9"/>
  <c r="D1142" i="9" s="1"/>
  <c r="C1143" i="9"/>
  <c r="C1144" i="9"/>
  <c r="C1145" i="9"/>
  <c r="C1146" i="9"/>
  <c r="D1146" i="9" s="1"/>
  <c r="C1147" i="9"/>
  <c r="C1148" i="9"/>
  <c r="C1149" i="9"/>
  <c r="C1150" i="9"/>
  <c r="D1150" i="9" s="1"/>
  <c r="C1151" i="9"/>
  <c r="C1152" i="9"/>
  <c r="C1153" i="9"/>
  <c r="C1154" i="9"/>
  <c r="D1154" i="9" s="1"/>
  <c r="C1155" i="9"/>
  <c r="C1156" i="9"/>
  <c r="C1157" i="9"/>
  <c r="C1158" i="9"/>
  <c r="D1158" i="9" s="1"/>
  <c r="C1159" i="9"/>
  <c r="C1160" i="9"/>
  <c r="C1161" i="9"/>
  <c r="C1162" i="9"/>
  <c r="D1162" i="9" s="1"/>
  <c r="C1163" i="9"/>
  <c r="C1164" i="9"/>
  <c r="C1165" i="9"/>
  <c r="C1166" i="9"/>
  <c r="D1166" i="9" s="1"/>
  <c r="C1167" i="9"/>
  <c r="C1168" i="9"/>
  <c r="C1169" i="9"/>
  <c r="C1170" i="9"/>
  <c r="D1170" i="9" s="1"/>
  <c r="C1171" i="9"/>
  <c r="C1172" i="9"/>
  <c r="C1173" i="9"/>
  <c r="C1174" i="9"/>
  <c r="D1174" i="9" s="1"/>
  <c r="C1175" i="9"/>
  <c r="C1176" i="9"/>
  <c r="C1177" i="9"/>
  <c r="C1178" i="9"/>
  <c r="D1178" i="9" s="1"/>
  <c r="C1179" i="9"/>
  <c r="C1180" i="9"/>
  <c r="C1181" i="9"/>
  <c r="C1182" i="9"/>
  <c r="D1182" i="9" s="1"/>
  <c r="C1183" i="9"/>
  <c r="C1184" i="9"/>
  <c r="C1185" i="9"/>
  <c r="C1186" i="9"/>
  <c r="D1186" i="9" s="1"/>
  <c r="C1187" i="9"/>
  <c r="C1188" i="9"/>
  <c r="C1189" i="9"/>
  <c r="C1190" i="9"/>
  <c r="D1190" i="9" s="1"/>
  <c r="C1191" i="9"/>
  <c r="C1192" i="9"/>
  <c r="C1193" i="9"/>
  <c r="C1194" i="9"/>
  <c r="D1194" i="9" s="1"/>
  <c r="C1195" i="9"/>
  <c r="C1196" i="9"/>
  <c r="C1197" i="9"/>
  <c r="C1198" i="9"/>
  <c r="D1198" i="9" s="1"/>
  <c r="C1199" i="9"/>
  <c r="C1200" i="9"/>
  <c r="C1201" i="9"/>
  <c r="C1202" i="9"/>
  <c r="D1202" i="9" s="1"/>
  <c r="C1203" i="9"/>
  <c r="C1204" i="9"/>
  <c r="C1205" i="9"/>
  <c r="C1206" i="9"/>
  <c r="D1206" i="9" s="1"/>
  <c r="C1207" i="9"/>
  <c r="C1208" i="9"/>
  <c r="C1209" i="9"/>
  <c r="C1210" i="9"/>
  <c r="D1210" i="9" s="1"/>
  <c r="C1211" i="9"/>
  <c r="C1212" i="9"/>
  <c r="C1213" i="9"/>
  <c r="C1214" i="9"/>
  <c r="D1214" i="9" s="1"/>
  <c r="C1215" i="9"/>
  <c r="C1216" i="9"/>
  <c r="C1217" i="9"/>
  <c r="C1218" i="9"/>
  <c r="D1218" i="9" s="1"/>
  <c r="C1219" i="9"/>
  <c r="C1220" i="9"/>
  <c r="C1221" i="9"/>
  <c r="C2" i="9"/>
  <c r="D2" i="9" s="1"/>
  <c r="D3" i="9"/>
  <c r="D4" i="9"/>
  <c r="D5" i="9"/>
  <c r="D6" i="9"/>
  <c r="D7" i="9"/>
  <c r="D8" i="9"/>
  <c r="D11" i="9"/>
  <c r="D12" i="9"/>
  <c r="D15" i="9"/>
  <c r="D16" i="9"/>
  <c r="D19" i="9"/>
  <c r="D20" i="9"/>
  <c r="D23" i="9"/>
  <c r="D24" i="9"/>
  <c r="D27" i="9"/>
  <c r="D28" i="9"/>
  <c r="D31" i="9"/>
  <c r="D32" i="9"/>
  <c r="D35" i="9"/>
  <c r="D39" i="9"/>
  <c r="D40" i="9"/>
  <c r="D43" i="9"/>
  <c r="D47" i="9"/>
  <c r="D48" i="9"/>
  <c r="D51" i="9"/>
  <c r="D52" i="9"/>
  <c r="D55" i="9"/>
  <c r="D56" i="9"/>
  <c r="D59" i="9"/>
  <c r="D60" i="9"/>
  <c r="D63" i="9"/>
  <c r="D64" i="9"/>
  <c r="D67" i="9"/>
  <c r="D68" i="9"/>
  <c r="D71" i="9"/>
  <c r="D72" i="9"/>
  <c r="D75" i="9"/>
  <c r="D76" i="9"/>
  <c r="D79" i="9"/>
  <c r="D80" i="9"/>
  <c r="D83" i="9"/>
  <c r="D84" i="9"/>
  <c r="D87" i="9"/>
  <c r="D88" i="9"/>
  <c r="D91" i="9"/>
  <c r="D92" i="9"/>
  <c r="D95" i="9"/>
  <c r="D96" i="9"/>
  <c r="D99" i="9"/>
  <c r="D100" i="9"/>
  <c r="D103" i="9"/>
  <c r="D104" i="9"/>
  <c r="D107" i="9"/>
  <c r="D108" i="9"/>
  <c r="D111" i="9"/>
  <c r="D112" i="9"/>
  <c r="D115" i="9"/>
  <c r="D116" i="9"/>
  <c r="D119" i="9"/>
  <c r="D120" i="9"/>
  <c r="D123" i="9"/>
  <c r="D124" i="9"/>
  <c r="D127" i="9"/>
  <c r="D128" i="9"/>
  <c r="D131" i="9"/>
  <c r="D132" i="9"/>
  <c r="D135" i="9"/>
  <c r="D136" i="9"/>
  <c r="D139" i="9"/>
  <c r="D140" i="9"/>
  <c r="D143" i="9"/>
  <c r="D144" i="9"/>
  <c r="D147" i="9"/>
  <c r="D148" i="9"/>
  <c r="D151" i="9"/>
  <c r="D152" i="9"/>
  <c r="D155" i="9"/>
  <c r="D156" i="9"/>
  <c r="D159" i="9"/>
  <c r="D160" i="9"/>
  <c r="D163" i="9"/>
  <c r="D164" i="9"/>
  <c r="D167" i="9"/>
  <c r="D168" i="9"/>
  <c r="D171" i="9"/>
  <c r="D172" i="9"/>
  <c r="D175" i="9"/>
  <c r="D176" i="9"/>
  <c r="D179" i="9"/>
  <c r="D180" i="9"/>
  <c r="D183" i="9"/>
  <c r="D184" i="9"/>
  <c r="D187" i="9"/>
  <c r="D188" i="9"/>
  <c r="D191" i="9"/>
  <c r="D192" i="9"/>
  <c r="D195" i="9"/>
  <c r="D196" i="9"/>
  <c r="D199" i="9"/>
  <c r="D200" i="9"/>
  <c r="D203" i="9"/>
  <c r="D204" i="9"/>
  <c r="D207" i="9"/>
  <c r="D208" i="9"/>
  <c r="D211" i="9"/>
  <c r="D212" i="9"/>
  <c r="D215" i="9"/>
  <c r="D216" i="9"/>
  <c r="D219" i="9"/>
  <c r="D220" i="9"/>
  <c r="D223" i="9"/>
  <c r="D224" i="9"/>
  <c r="D227" i="9"/>
  <c r="D228" i="9"/>
  <c r="D231" i="9"/>
  <c r="D232" i="9"/>
  <c r="D235" i="9"/>
  <c r="D236" i="9"/>
  <c r="D239" i="9"/>
  <c r="D240" i="9"/>
  <c r="D243" i="9"/>
  <c r="D244" i="9"/>
  <c r="D247" i="9"/>
  <c r="D248" i="9"/>
  <c r="D251" i="9"/>
  <c r="D252" i="9"/>
  <c r="D255" i="9"/>
  <c r="D256" i="9"/>
  <c r="D259" i="9"/>
  <c r="D260" i="9"/>
  <c r="D263" i="9"/>
  <c r="D264" i="9"/>
  <c r="D267" i="9"/>
  <c r="D268" i="9"/>
  <c r="D271" i="9"/>
  <c r="D272" i="9"/>
  <c r="D275" i="9"/>
  <c r="D276" i="9"/>
  <c r="D279" i="9"/>
  <c r="D280" i="9"/>
  <c r="D283" i="9"/>
  <c r="D284" i="9"/>
  <c r="D287" i="9"/>
  <c r="D288" i="9"/>
  <c r="D291" i="9"/>
  <c r="D292" i="9"/>
  <c r="D295" i="9"/>
  <c r="D296" i="9"/>
  <c r="D299" i="9"/>
  <c r="D300" i="9"/>
  <c r="D303" i="9"/>
  <c r="D304" i="9"/>
  <c r="D307" i="9"/>
  <c r="D308" i="9"/>
  <c r="D311" i="9"/>
  <c r="D312" i="9"/>
  <c r="D315" i="9"/>
  <c r="D316" i="9"/>
  <c r="D319" i="9"/>
  <c r="D320" i="9"/>
  <c r="D323" i="9"/>
  <c r="D324" i="9"/>
  <c r="D327" i="9"/>
  <c r="D328" i="9"/>
  <c r="D331" i="9"/>
  <c r="D332" i="9"/>
  <c r="D335" i="9"/>
  <c r="D336" i="9"/>
  <c r="D339" i="9"/>
  <c r="D340" i="9"/>
  <c r="D343" i="9"/>
  <c r="D344" i="9"/>
  <c r="D347" i="9"/>
  <c r="D348" i="9"/>
  <c r="D351" i="9"/>
  <c r="D352" i="9"/>
  <c r="D355" i="9"/>
  <c r="D356" i="9"/>
  <c r="D359" i="9"/>
  <c r="D360" i="9"/>
  <c r="D363" i="9"/>
  <c r="D364" i="9"/>
  <c r="D367" i="9"/>
  <c r="D368" i="9"/>
  <c r="D371" i="9"/>
  <c r="D372" i="9"/>
  <c r="D375" i="9"/>
  <c r="D376" i="9"/>
  <c r="D379" i="9"/>
  <c r="D380" i="9"/>
  <c r="D383" i="9"/>
  <c r="D384" i="9"/>
  <c r="D387" i="9"/>
  <c r="D388" i="9"/>
  <c r="D391" i="9"/>
  <c r="D392" i="9"/>
  <c r="D395" i="9"/>
  <c r="D396" i="9"/>
  <c r="D399" i="9"/>
  <c r="D400" i="9"/>
  <c r="D403" i="9"/>
  <c r="D404" i="9"/>
  <c r="D407" i="9"/>
  <c r="D408" i="9"/>
  <c r="D411" i="9"/>
  <c r="D412" i="9"/>
  <c r="D415" i="9"/>
  <c r="D416" i="9"/>
  <c r="D419" i="9"/>
  <c r="D420" i="9"/>
  <c r="D423" i="9"/>
  <c r="D424" i="9"/>
  <c r="D427" i="9"/>
  <c r="D428" i="9"/>
  <c r="D431" i="9"/>
  <c r="D432" i="9"/>
  <c r="D435" i="9"/>
  <c r="D436" i="9"/>
  <c r="D439" i="9"/>
  <c r="D440" i="9"/>
  <c r="D443" i="9"/>
  <c r="D444" i="9"/>
  <c r="D447" i="9"/>
  <c r="D448" i="9"/>
  <c r="D451" i="9"/>
  <c r="D452" i="9"/>
  <c r="D455" i="9"/>
  <c r="D456" i="9"/>
  <c r="D459" i="9"/>
  <c r="D460" i="9"/>
  <c r="D463" i="9"/>
  <c r="D464" i="9"/>
  <c r="D467" i="9"/>
  <c r="D468" i="9"/>
  <c r="D471" i="9"/>
  <c r="D472" i="9"/>
  <c r="D475" i="9"/>
  <c r="D476" i="9"/>
  <c r="D479" i="9"/>
  <c r="D480" i="9"/>
  <c r="D483" i="9"/>
  <c r="D484" i="9"/>
  <c r="D487" i="9"/>
  <c r="D488" i="9"/>
  <c r="D491" i="9"/>
  <c r="D492" i="9"/>
  <c r="D495" i="9"/>
  <c r="D496" i="9"/>
  <c r="D499" i="9"/>
  <c r="D500" i="9"/>
  <c r="D503" i="9"/>
  <c r="D504" i="9"/>
  <c r="D507" i="9"/>
  <c r="D508" i="9"/>
  <c r="D511" i="9"/>
  <c r="D512" i="9"/>
  <c r="D515" i="9"/>
  <c r="D516" i="9"/>
  <c r="D519" i="9"/>
  <c r="D520" i="9"/>
  <c r="D523" i="9"/>
  <c r="D524" i="9"/>
  <c r="D527" i="9"/>
  <c r="D528" i="9"/>
  <c r="D531" i="9"/>
  <c r="D532" i="9"/>
  <c r="D535" i="9"/>
  <c r="D536" i="9"/>
  <c r="D539" i="9"/>
  <c r="D540" i="9"/>
  <c r="D543" i="9"/>
  <c r="D544" i="9"/>
  <c r="D547" i="9"/>
  <c r="D548" i="9"/>
  <c r="D551" i="9"/>
  <c r="D552" i="9"/>
  <c r="D555" i="9"/>
  <c r="D556" i="9"/>
  <c r="D559" i="9"/>
  <c r="D560" i="9"/>
  <c r="D563" i="9"/>
  <c r="D564" i="9"/>
  <c r="D567" i="9"/>
  <c r="D568" i="9"/>
  <c r="D571" i="9"/>
  <c r="D572" i="9"/>
  <c r="D575" i="9"/>
  <c r="D576" i="9"/>
  <c r="D579" i="9"/>
  <c r="D580" i="9"/>
  <c r="D583" i="9"/>
  <c r="D584" i="9"/>
  <c r="D587" i="9"/>
  <c r="D588" i="9"/>
  <c r="D591" i="9"/>
  <c r="D592" i="9"/>
  <c r="D595" i="9"/>
  <c r="D596" i="9"/>
  <c r="D599" i="9"/>
  <c r="D600" i="9"/>
  <c r="D603" i="9"/>
  <c r="D604" i="9"/>
  <c r="D607" i="9"/>
  <c r="D608" i="9"/>
  <c r="D611" i="9"/>
  <c r="D612" i="9"/>
  <c r="D615" i="9"/>
  <c r="D616" i="9"/>
  <c r="D618" i="9"/>
  <c r="D619" i="9"/>
  <c r="D620" i="9"/>
  <c r="D623" i="9"/>
  <c r="D624" i="9"/>
  <c r="D627" i="9"/>
  <c r="D628" i="9"/>
  <c r="D631" i="9"/>
  <c r="D632" i="9"/>
  <c r="D635" i="9"/>
  <c r="D636" i="9"/>
  <c r="D639" i="9"/>
  <c r="D640" i="9"/>
  <c r="D643" i="9"/>
  <c r="D644" i="9"/>
  <c r="D647" i="9"/>
  <c r="D648" i="9"/>
  <c r="D651" i="9"/>
  <c r="D652" i="9"/>
  <c r="D655" i="9"/>
  <c r="D656" i="9"/>
  <c r="D659" i="9"/>
  <c r="D660" i="9"/>
  <c r="D663" i="9"/>
  <c r="D664" i="9"/>
  <c r="D667" i="9"/>
  <c r="D668" i="9"/>
  <c r="D671" i="9"/>
  <c r="D672" i="9"/>
  <c r="D675" i="9"/>
  <c r="D676" i="9"/>
  <c r="D679" i="9"/>
  <c r="D680" i="9"/>
  <c r="D683" i="9"/>
  <c r="D684" i="9"/>
  <c r="D687" i="9"/>
  <c r="D688" i="9"/>
  <c r="D691" i="9"/>
  <c r="D692" i="9"/>
  <c r="D695" i="9"/>
  <c r="D696" i="9"/>
  <c r="D699" i="9"/>
  <c r="D700" i="9"/>
  <c r="D703" i="9"/>
  <c r="D704" i="9"/>
  <c r="D707" i="9"/>
  <c r="D708" i="9"/>
  <c r="D711" i="9"/>
  <c r="D712" i="9"/>
  <c r="D715" i="9"/>
  <c r="D716" i="9"/>
  <c r="D719" i="9"/>
  <c r="D720" i="9"/>
  <c r="D723" i="9"/>
  <c r="D724" i="9"/>
  <c r="D727" i="9"/>
  <c r="D728" i="9"/>
  <c r="D731" i="9"/>
  <c r="D732" i="9"/>
  <c r="D735" i="9"/>
  <c r="D736" i="9"/>
  <c r="D739" i="9"/>
  <c r="D740" i="9"/>
  <c r="D743" i="9"/>
  <c r="D744" i="9"/>
  <c r="D747" i="9"/>
  <c r="D748" i="9"/>
  <c r="D751" i="9"/>
  <c r="D752" i="9"/>
  <c r="D755" i="9"/>
  <c r="D756" i="9"/>
  <c r="D759" i="9"/>
  <c r="D760" i="9"/>
  <c r="D763" i="9"/>
  <c r="D764" i="9"/>
  <c r="D767" i="9"/>
  <c r="D768" i="9"/>
  <c r="D771" i="9"/>
  <c r="D772" i="9"/>
  <c r="D775" i="9"/>
  <c r="D776" i="9"/>
  <c r="D779" i="9"/>
  <c r="D780" i="9"/>
  <c r="D783" i="9"/>
  <c r="D784" i="9"/>
  <c r="D787" i="9"/>
  <c r="D788" i="9"/>
  <c r="D791" i="9"/>
  <c r="D792" i="9"/>
  <c r="D795" i="9"/>
  <c r="D796" i="9"/>
  <c r="D799" i="9"/>
  <c r="D800" i="9"/>
  <c r="D803" i="9"/>
  <c r="D804" i="9"/>
  <c r="D807" i="9"/>
  <c r="D808" i="9"/>
  <c r="D811" i="9"/>
  <c r="D812" i="9"/>
  <c r="D815" i="9"/>
  <c r="D816" i="9"/>
  <c r="D819" i="9"/>
  <c r="D820" i="9"/>
  <c r="D823" i="9"/>
  <c r="D824" i="9"/>
  <c r="D827" i="9"/>
  <c r="D828" i="9"/>
  <c r="D831" i="9"/>
  <c r="D832" i="9"/>
  <c r="D835" i="9"/>
  <c r="D836" i="9"/>
  <c r="D839" i="9"/>
  <c r="D840" i="9"/>
  <c r="D843" i="9"/>
  <c r="D844" i="9"/>
  <c r="D847" i="9"/>
  <c r="D848" i="9"/>
  <c r="D851" i="9"/>
  <c r="D852" i="9"/>
  <c r="D855" i="9"/>
  <c r="D856" i="9"/>
  <c r="D857" i="9"/>
  <c r="D859" i="9"/>
  <c r="D860" i="9"/>
  <c r="D861" i="9"/>
  <c r="D863" i="9"/>
  <c r="D864" i="9"/>
  <c r="D865" i="9"/>
  <c r="D867" i="9"/>
  <c r="D868" i="9"/>
  <c r="D869" i="9"/>
  <c r="D871" i="9"/>
  <c r="D872" i="9"/>
  <c r="D873" i="9"/>
  <c r="D875" i="9"/>
  <c r="D876" i="9"/>
  <c r="D877" i="9"/>
  <c r="D879" i="9"/>
  <c r="D880" i="9"/>
  <c r="D881" i="9"/>
  <c r="D883" i="9"/>
  <c r="D884" i="9"/>
  <c r="D885" i="9"/>
  <c r="D887" i="9"/>
  <c r="D888" i="9"/>
  <c r="D889" i="9"/>
  <c r="D891" i="9"/>
  <c r="D892" i="9"/>
  <c r="D893" i="9"/>
  <c r="D895" i="9"/>
  <c r="D896" i="9"/>
  <c r="D897" i="9"/>
  <c r="D899" i="9"/>
  <c r="D900" i="9"/>
  <c r="D901" i="9"/>
  <c r="D903" i="9"/>
  <c r="D904" i="9"/>
  <c r="D905" i="9"/>
  <c r="D907" i="9"/>
  <c r="D908" i="9"/>
  <c r="D909" i="9"/>
  <c r="D911" i="9"/>
  <c r="D912" i="9"/>
  <c r="D913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7" i="9"/>
  <c r="D1068" i="9"/>
  <c r="D1069" i="9"/>
  <c r="D1071" i="9"/>
  <c r="D1072" i="9"/>
  <c r="D1073" i="9"/>
  <c r="D1075" i="9"/>
  <c r="D1076" i="9"/>
  <c r="D1077" i="9"/>
  <c r="D1079" i="9"/>
  <c r="D1080" i="9"/>
  <c r="D1081" i="9"/>
  <c r="D1083" i="9"/>
  <c r="D1084" i="9"/>
  <c r="D1085" i="9"/>
  <c r="D1087" i="9"/>
  <c r="D1088" i="9"/>
  <c r="D1089" i="9"/>
  <c r="D1091" i="9"/>
  <c r="D1092" i="9"/>
  <c r="D1093" i="9"/>
  <c r="D1095" i="9"/>
  <c r="D1096" i="9"/>
  <c r="D1097" i="9"/>
  <c r="D1099" i="9"/>
  <c r="D1100" i="9"/>
  <c r="D1101" i="9"/>
  <c r="D1103" i="9"/>
  <c r="D1104" i="9"/>
  <c r="D1105" i="9"/>
  <c r="D1107" i="9"/>
  <c r="D1108" i="9"/>
  <c r="D1109" i="9"/>
  <c r="D1111" i="9"/>
  <c r="D1112" i="9"/>
  <c r="D1113" i="9"/>
  <c r="D1115" i="9"/>
  <c r="D1116" i="9"/>
  <c r="D1117" i="9"/>
  <c r="D1119" i="9"/>
  <c r="D1120" i="9"/>
  <c r="D1121" i="9"/>
  <c r="D1123" i="9"/>
  <c r="D1124" i="9"/>
  <c r="D1125" i="9"/>
  <c r="D1127" i="9"/>
  <c r="D1128" i="9"/>
  <c r="D1129" i="9"/>
  <c r="D1131" i="9"/>
  <c r="D1132" i="9"/>
  <c r="D1133" i="9"/>
  <c r="D1135" i="9"/>
  <c r="D1136" i="9"/>
  <c r="D1137" i="9"/>
  <c r="D1139" i="9"/>
  <c r="D1140" i="9"/>
  <c r="D1141" i="9"/>
  <c r="D1143" i="9"/>
  <c r="D1144" i="9"/>
  <c r="D1145" i="9"/>
  <c r="D1147" i="9"/>
  <c r="D1148" i="9"/>
  <c r="D1149" i="9"/>
  <c r="D1151" i="9"/>
  <c r="D1152" i="9"/>
  <c r="D1153" i="9"/>
  <c r="D1155" i="9"/>
  <c r="D1156" i="9"/>
  <c r="D1157" i="9"/>
  <c r="D1159" i="9"/>
  <c r="D1160" i="9"/>
  <c r="D1161" i="9"/>
  <c r="D1163" i="9"/>
  <c r="D1164" i="9"/>
  <c r="D1165" i="9"/>
  <c r="D1167" i="9"/>
  <c r="D1168" i="9"/>
  <c r="D1169" i="9"/>
  <c r="D1171" i="9"/>
  <c r="D1172" i="9"/>
  <c r="D1173" i="9"/>
  <c r="D1175" i="9"/>
  <c r="D1176" i="9"/>
  <c r="D1177" i="9"/>
  <c r="D1179" i="9"/>
  <c r="D1180" i="9"/>
  <c r="D1181" i="9"/>
  <c r="D1183" i="9"/>
  <c r="D1184" i="9"/>
  <c r="D1185" i="9"/>
  <c r="D1187" i="9"/>
  <c r="D1188" i="9"/>
  <c r="D1189" i="9"/>
  <c r="D1191" i="9"/>
  <c r="D1192" i="9"/>
  <c r="D1193" i="9"/>
  <c r="D1195" i="9"/>
  <c r="D1196" i="9"/>
  <c r="D1197" i="9"/>
  <c r="D1199" i="9"/>
  <c r="D1200" i="9"/>
  <c r="D1201" i="9"/>
  <c r="D1203" i="9"/>
  <c r="D1204" i="9"/>
  <c r="D1205" i="9"/>
  <c r="D1207" i="9"/>
  <c r="D1208" i="9"/>
  <c r="D1209" i="9"/>
  <c r="D1211" i="9"/>
  <c r="D1212" i="9"/>
  <c r="D1213" i="9"/>
  <c r="D1215" i="9"/>
  <c r="D1216" i="9"/>
  <c r="D1217" i="9"/>
  <c r="D1219" i="9"/>
  <c r="D1220" i="9"/>
  <c r="D1221" i="9"/>
</calcChain>
</file>

<file path=xl/sharedStrings.xml><?xml version="1.0" encoding="utf-8"?>
<sst xmlns="http://schemas.openxmlformats.org/spreadsheetml/2006/main" count="65959" uniqueCount="294">
  <si>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</si>
  <si>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</si>
  <si>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</si>
  <si>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</si>
  <si>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</si>
  <si>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</si>
  <si>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</si>
  <si>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</si>
  <si>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</si>
  <si>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</si>
  <si>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</si>
  <si>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</si>
  <si>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</si>
  <si>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</si>
  <si>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</si>
  <si>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</si>
  <si>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</si>
  <si>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</si>
  <si>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</si>
  <si>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</si>
  <si>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</si>
  <si>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</si>
  <si>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</si>
  <si>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</si>
  <si>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</si>
  <si>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</si>
  <si>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</si>
  <si>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</si>
  <si>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</si>
  <si>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</si>
  <si>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</si>
  <si>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</si>
  <si>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</si>
  <si>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</si>
  <si>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</si>
  <si>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</si>
  <si>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</si>
  <si>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</si>
  <si>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</si>
  <si>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</si>
  <si>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</si>
  <si>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</si>
  <si>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</si>
  <si>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</si>
  <si>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</si>
  <si>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</si>
  <si>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</si>
  <si>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</si>
  <si>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</si>
  <si>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</si>
  <si>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</si>
  <si>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</si>
  <si>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</si>
  <si>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</si>
  <si>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</si>
  <si>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</si>
  <si>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</si>
  <si>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</si>
  <si>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</si>
  <si>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</si>
  <si>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</si>
  <si>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</si>
  <si>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</si>
  <si>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</si>
  <si>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</si>
  <si>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</si>
  <si>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</si>
  <si>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</si>
  <si>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</si>
  <si>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</si>
  <si>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</si>
  <si>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</si>
  <si>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</si>
  <si>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</si>
  <si>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</si>
  <si>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</si>
  <si>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</si>
  <si>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</si>
  <si>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</si>
  <si>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</si>
  <si>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</si>
  <si>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</si>
  <si>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</si>
  <si>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</si>
  <si>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</si>
  <si>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</si>
  <si>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</si>
  <si>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</si>
  <si>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</si>
  <si>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</si>
  <si>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</si>
  <si>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</si>
  <si>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</si>
  <si>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</si>
  <si>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</si>
  <si>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</si>
  <si>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</si>
  <si>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</si>
  <si>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</si>
  <si>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</si>
  <si>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</si>
  <si>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</si>
  <si>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</si>
  <si>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</si>
  <si>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</si>
  <si>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</si>
  <si>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</si>
  <si>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</si>
  <si>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</si>
  <si>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</si>
  <si>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</si>
  <si>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</si>
  <si>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</si>
  <si>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</si>
  <si>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</si>
  <si>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</si>
  <si>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</si>
  <si>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</si>
  <si>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</si>
  <si>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</si>
  <si>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</si>
  <si>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</si>
  <si>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</si>
  <si>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</si>
  <si>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</si>
  <si>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</si>
  <si>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</si>
  <si>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</si>
  <si>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</si>
  <si>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</si>
  <si>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</si>
  <si>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</si>
  <si>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</si>
  <si>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</si>
  <si>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</si>
  <si>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</si>
  <si>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</si>
  <si>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</si>
  <si>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</si>
  <si>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</si>
  <si>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</si>
  <si>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</si>
  <si>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</si>
  <si>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</si>
  <si>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</si>
  <si>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</si>
  <si>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</si>
  <si>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</si>
  <si>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</si>
  <si>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</si>
  <si>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</si>
  <si>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</si>
  <si>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</si>
  <si>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</si>
  <si>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</si>
  <si>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</si>
  <si>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</si>
  <si>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</si>
  <si>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</si>
  <si>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</si>
  <si>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</si>
  <si>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</si>
  <si>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</si>
  <si>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</si>
  <si>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</si>
  <si>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</si>
  <si>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</si>
  <si>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</si>
  <si>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</si>
  <si>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</si>
  <si>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</si>
  <si>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</si>
  <si>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</si>
  <si>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</si>
  <si>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</si>
  <si>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</si>
  <si>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</si>
  <si>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</si>
  <si>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</si>
  <si>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</si>
  <si>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</si>
  <si>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</si>
  <si>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</si>
  <si>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</si>
  <si>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</si>
  <si>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</si>
  <si>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</si>
  <si>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</si>
  <si>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</si>
  <si>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</si>
  <si>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</si>
  <si>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</si>
  <si>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</si>
  <si>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</si>
  <si>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</si>
  <si>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</si>
  <si>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</si>
  <si>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</si>
  <si>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</si>
  <si>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</si>
  <si>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</si>
  <si>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</si>
  <si>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</si>
  <si>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</si>
  <si>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</si>
  <si>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</si>
  <si>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</si>
  <si>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</si>
  <si>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</si>
  <si>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</si>
  <si>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</si>
  <si>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</si>
  <si>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</si>
  <si>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</si>
  <si>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</si>
  <si>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</si>
  <si>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</si>
  <si>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</si>
  <si>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</si>
  <si>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</si>
  <si>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</si>
  <si>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</si>
  <si>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</si>
  <si>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</si>
  <si>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</si>
  <si>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</si>
  <si>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</si>
  <si>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</si>
  <si>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</si>
  <si>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</si>
  <si>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</si>
  <si>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</si>
  <si>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</si>
  <si>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</si>
  <si>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</si>
  <si>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</si>
  <si>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</si>
  <si>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</si>
  <si>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</si>
  <si>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</si>
  <si>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</si>
  <si>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</si>
  <si>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</si>
  <si>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</si>
  <si>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</si>
  <si>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</si>
  <si>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</si>
  <si>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</si>
  <si>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</si>
  <si>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</si>
  <si>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</si>
  <si>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</si>
  <si>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</si>
  <si>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</si>
  <si>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</si>
  <si>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</si>
  <si>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Row Labels</t>
  </si>
  <si>
    <t>Grand Total</t>
  </si>
  <si>
    <t>Count of BldgType</t>
  </si>
  <si>
    <t>Bins</t>
  </si>
  <si>
    <t>More</t>
  </si>
  <si>
    <t>Frequency</t>
  </si>
  <si>
    <t>Cumulative %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</si>
  <si>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</si>
  <si>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</si>
  <si>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</si>
  <si>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</si>
  <si>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</si>
  <si>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</si>
  <si>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</si>
  <si>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</si>
  <si>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</si>
  <si>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</si>
  <si>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</si>
  <si>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</si>
  <si>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</si>
  <si>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Z score</t>
  </si>
  <si>
    <t>Outlier?</t>
  </si>
  <si>
    <t>Outlier:</t>
  </si>
  <si>
    <t>18 observations</t>
  </si>
  <si>
    <r>
      <t xml:space="preserve">Based on the regression line equation of your data, predict the sale price of a house with a </t>
    </r>
    <r>
      <rPr>
        <b/>
        <sz val="11"/>
        <color theme="1"/>
        <rFont val="Malgun Gothic"/>
        <family val="2"/>
      </rPr>
      <t>GrLivArea</t>
    </r>
    <r>
      <rPr>
        <sz val="11"/>
        <color theme="1"/>
        <rFont val="Malgun Gothic"/>
        <family val="2"/>
      </rPr>
      <t xml:space="preserve"> of 2,000 square feet. </t>
    </r>
  </si>
  <si>
    <t>Average of GrLivArea</t>
  </si>
  <si>
    <t>&lt;1900</t>
  </si>
  <si>
    <t>1900-1909</t>
  </si>
  <si>
    <t>1910-1919</t>
  </si>
  <si>
    <t>1920-1929</t>
  </si>
  <si>
    <t>1930-1939</t>
  </si>
  <si>
    <t>1940-1949</t>
  </si>
  <si>
    <t>1950-1959</t>
  </si>
  <si>
    <t>1960-1969</t>
  </si>
  <si>
    <t>1970-1979</t>
  </si>
  <si>
    <t>1980-1989</t>
  </si>
  <si>
    <t>1990-1999</t>
  </si>
  <si>
    <t>2000-2010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</si>
</sst>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Malgun Gothic"/>
      <family val="2"/>
    </font>
    <font>
      <b/>
      <sz val="11"/>
      <color theme="1"/>
      <name val="Malgun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0" xfId="0" applyBorder="1"/>
    <xf numFmtId="10" fontId="0" fillId="0" borderId="10" xfId="0" applyNumberFormat="1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6" fillId="0" borderId="0" xfId="0" applyFont="1"/>
    <xf numFmtId="0" fontId="19" fillId="0" borderId="0" xfId="0" applyFont="1" applyAlignment="1">
      <alignment vertical="center"/>
    </xf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2_Housing data_solution.xlsx]Req1!PivotTable1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'Req1'!$A$4:$A$9</c:f>
              <c:strCache>
                <c:ptCount val="5"/>
                <c:pt idx="0">
                  <c:v>1Fam</c:v>
                </c:pt>
                <c:pt idx="1">
                  <c:v>2fmCon</c:v>
                </c:pt>
                <c:pt idx="2">
                  <c:v>Duplex</c:v>
                </c:pt>
                <c:pt idx="3">
                  <c:v>Twnhs</c:v>
                </c:pt>
                <c:pt idx="4">
                  <c:v>TwnhsE</c:v>
                </c:pt>
              </c:strCache>
            </c:strRef>
          </c:cat>
          <c:val>
            <c:numRef>
              <c:f>'Req1'!$B$4:$B$9</c:f>
              <c:numCache>
                <c:formatCode>General</c:formatCode>
                <c:ptCount val="5"/>
                <c:pt idx="0">
                  <c:v>1220</c:v>
                </c:pt>
                <c:pt idx="1">
                  <c:v>31</c:v>
                </c:pt>
                <c:pt idx="2">
                  <c:v>52</c:v>
                </c:pt>
                <c:pt idx="3">
                  <c:v>43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7-4D10-B0F8-9793DF3C9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7934895"/>
        <c:axId val="1377928655"/>
      </c:barChart>
      <c:catAx>
        <c:axId val="137793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928655"/>
        <c:crosses val="autoZero"/>
        <c:auto val="1"/>
        <c:lblAlgn val="ctr"/>
        <c:lblOffset val="100"/>
        <c:noMultiLvlLbl val="0"/>
      </c:catAx>
      <c:valAx>
        <c:axId val="137792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93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'Req 2'!$E$3:$E$10</c:f>
              <c:strCach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More</c:v>
                </c:pt>
              </c:strCache>
            </c:strRef>
          </c:cat>
          <c:val>
            <c:numRef>
              <c:f>'Req 2'!$F$3:$F$10</c:f>
              <c:numCache>
                <c:formatCode>General</c:formatCode>
                <c:ptCount val="8"/>
                <c:pt idx="0">
                  <c:v>123</c:v>
                </c:pt>
                <c:pt idx="1">
                  <c:v>910</c:v>
                </c:pt>
                <c:pt idx="2">
                  <c:v>312</c:v>
                </c:pt>
                <c:pt idx="3">
                  <c:v>87</c:v>
                </c:pt>
                <c:pt idx="4">
                  <c:v>19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B-45EA-9223-9551D73B0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7931535"/>
        <c:axId val="1377923855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'Req 2'!$E$3:$E$10</c:f>
              <c:strCache>
                <c:ptCount val="8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More</c:v>
                </c:pt>
              </c:strCache>
            </c:strRef>
          </c:cat>
          <c:val>
            <c:numRef>
              <c:f>'Req 2'!$G$3:$G$10</c:f>
              <c:numCache>
                <c:formatCode>0.00%</c:formatCode>
                <c:ptCount val="8"/>
                <c:pt idx="0">
                  <c:v>8.4246575342465754E-2</c:v>
                </c:pt>
                <c:pt idx="1">
                  <c:v>0.70753424657534247</c:v>
                </c:pt>
                <c:pt idx="2">
                  <c:v>0.92123287671232879</c:v>
                </c:pt>
                <c:pt idx="3">
                  <c:v>0.98082191780821915</c:v>
                </c:pt>
                <c:pt idx="4">
                  <c:v>0.99383561643835616</c:v>
                </c:pt>
                <c:pt idx="5">
                  <c:v>0.99726027397260275</c:v>
                </c:pt>
                <c:pt idx="6">
                  <c:v>0.99863013698630132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B-45EA-9223-9551D73B0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803679"/>
        <c:axId val="2074807039"/>
      </c:lineChart>
      <c:catAx>
        <c:axId val="137793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7923855"/>
        <c:crosses val="autoZero"/>
        <c:auto val="1"/>
        <c:lblAlgn val="ctr"/>
        <c:lblOffset val="100"/>
        <c:noMultiLvlLbl val="0"/>
      </c:catAx>
      <c:valAx>
        <c:axId val="1377923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7931535"/>
        <c:crosses val="autoZero"/>
        <c:crossBetween val="between"/>
      </c:valAx>
      <c:valAx>
        <c:axId val="20748070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074803679"/>
        <c:crosses val="max"/>
        <c:crossBetween val="between"/>
      </c:valAx>
      <c:catAx>
        <c:axId val="2074803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4807039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'Req 5'!$B$1</c:f>
              <c:strCache>
                <c:ptCount val="1"/>
                <c:pt idx="0">
                  <c:v>SalePrice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233150779113366E-2"/>
                  <c:y val="-9.71261620332927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'Req 5'!$A$2:$A$1461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'Req 5'!$B$2:$B$1461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8-4599-9ACD-76842034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136799"/>
        <c:axId val="675137279"/>
      </c:scatterChart>
      <c:valAx>
        <c:axId val="67513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137279"/>
        <c:crosses val="autoZero"/>
        <c:crossBetween val="midCat"/>
      </c:valAx>
      <c:valAx>
        <c:axId val="6751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13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57597C9F-E82B-4F7C-8E9A-C5A3A26FAAB3}">
          <cx:tx>
            <cx:txData>
              <cx:f>_xlchart.v1.0</cx:f>
              <cx:v>SalePrice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/>
    <cx:plotArea>
      <cx:plotAreaRegion>
        <cx:series layoutId="boxWhisker" uniqueId="{29B96DE7-CC1E-4C45-8654-08D7DE5A959D}">
          <cx:tx>
            <cx:txData>
              <cx:f>_xlchart.v1.3</cx:f>
              <cx:v>SalePrice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550068</xdr:colOff>
      <xdr:row>0</xdr:row>
      <xdr:rowOff>69055</xdr:rowOff>
    </xdr:from>
    <xdr:to>
      <xdr:col>9</xdr:col>
      <xdr:colOff>588168</xdr:colOff>
      <xdr:row>15</xdr:row>
      <xdr:rowOff>97630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12263-4A15-E740-FE77-204F1C073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252412</xdr:colOff>
      <xdr:row>1</xdr:row>
      <xdr:rowOff>176213</xdr:rowOff>
    </xdr:from>
    <xdr:to>
      <xdr:col>19</xdr:col>
      <xdr:colOff>357187</xdr:colOff>
      <xdr:row>24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4CFD7-7B58-C5C3-61A4-4D994CE5E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321468</xdr:colOff>
      <xdr:row>1</xdr:row>
      <xdr:rowOff>50005</xdr:rowOff>
    </xdr:from>
    <xdr:to>
      <xdr:col>16</xdr:col>
      <xdr:colOff>538163</xdr:colOff>
      <xdr:row>49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66031CE-42C6-CC33-C773-9D634FE167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668" y="240505"/>
              <a:ext cx="8751095" cy="9155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145256</xdr:colOff>
      <xdr:row>4</xdr:row>
      <xdr:rowOff>45242</xdr:rowOff>
    </xdr:from>
    <xdr:to>
      <xdr:col>21</xdr:col>
      <xdr:colOff>223838</xdr:colOff>
      <xdr:row>40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2E19F9D-A0B4-852B-BFBF-C053A5A9D0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3656" y="807242"/>
              <a:ext cx="10441782" cy="6869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</xdr:colOff>
      <xdr:row>5</xdr:row>
      <xdr:rowOff>121442</xdr:rowOff>
    </xdr:from>
    <xdr:to>
      <xdr:col>19</xdr:col>
      <xdr:colOff>14288</xdr:colOff>
      <xdr:row>29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D2BB55-BC53-8F16-9778-4475C56F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357188</xdr:colOff>
      <xdr:row>0</xdr:row>
      <xdr:rowOff>185737</xdr:rowOff>
    </xdr:from>
    <xdr:to>
      <xdr:col>16</xdr:col>
      <xdr:colOff>185738</xdr:colOff>
      <xdr:row>20</xdr:row>
      <xdr:rowOff>157162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8BB7DF-5E9E-40C0-5039-FEEB64279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4188" y="185737"/>
          <a:ext cx="3714750" cy="36004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j" refreshedDate="45547.321491435185" createdVersion="8" refreshedVersion="8" minRefreshableVersion="3" recordCount="1460" xr:uid="{329DB051-FDD7-41AE-91AD-3EFAF6EDD148}">
  <cacheSource type="worksheet">
    <worksheetSource ref="A1:CC1461" sheet="HomePrices"/>
  </cacheSource>
  <cacheFields count="81">
    <cacheField name="Id" numFmtId="0">
      <sharedItems containsSemiMixedTypes="0" containsString="0" containsNumber="1" containsInteger="1" minValue="1" maxValue="1460"/>
    </cacheField>
    <cacheField name="MSSubClass" numFmtId="0">
      <sharedItems containsSemiMixedTypes="0" containsString="0" containsNumber="1" containsInteger="1" minValue="20" maxValue="190"/>
    </cacheField>
    <cacheField name="MSZoning" numFmtId="0">
      <sharedItems/>
    </cacheField>
    <cacheField name="LotFrontage" numFmtId="0">
      <sharedItems containsMixedTypes="1" containsNumber="1" containsInteger="1" minValue="21" maxValue="313"/>
    </cacheField>
    <cacheField name="LotArea" numFmtId="0">
      <sharedItems containsSemiMixedTypes="0" containsString="0" containsNumber="1" containsInteger="1" minValue="1300" maxValue="215245"/>
    </cacheField>
    <cacheField name="Street" numFmtId="0">
      <sharedItems/>
    </cacheField>
    <cacheField name="Alley" numFmtId="0">
      <sharedItems/>
    </cacheField>
    <cacheField name="LotShape" numFmtId="0">
      <sharedItems/>
    </cacheField>
    <cacheField name="LandContour" numFmtId="0">
      <sharedItems/>
    </cacheField>
    <cacheField name="Utilities" numFmtId="0">
      <sharedItems/>
    </cacheField>
    <cacheField name="LotConfig" numFmtId="0">
      <sharedItems/>
    </cacheField>
    <cacheField name="LandSlope" numFmtId="0">
      <sharedItems/>
    </cacheField>
    <cacheField name="Neighborhood" numFmtId="0">
      <sharedItems count="25">
        <s v="CollgCr"/>
        <s v="Veenker"/>
        <s v="Crawfor"/>
        <s v="NoRidge"/>
        <s v="Mitchel"/>
        <s v="Somerst"/>
        <s v="NWAmes"/>
        <s v="OldTown"/>
        <s v="BrkSide"/>
        <s v="Sawyer"/>
        <s v="NridgHt"/>
        <s v="NAmes"/>
        <s v="SawyerW"/>
        <s v="IDOTRR"/>
        <s v="MeadowV"/>
        <s v="Edwards"/>
        <s v="Timber"/>
        <s v="Gilbert"/>
        <s v="StoneBr"/>
        <s v="ClearCr"/>
        <s v="NPkVill"/>
        <s v="Blmngtn"/>
        <s v="BrDale"/>
        <s v="SWISU"/>
        <s v="Blueste"/>
      </sharedItems>
    </cacheField>
    <cacheField name="Condition1" numFmtId="0">
      <sharedItems count="9">
        <s v="Norm"/>
        <s v="Feedr"/>
        <s v="PosN"/>
        <s v="Artery"/>
        <s v="RRAe"/>
        <s v="RRNn"/>
        <s v="RRAn"/>
        <s v="PosA"/>
        <s v="RRNe"/>
      </sharedItems>
    </cacheField>
    <cacheField name="Condition2" numFmtId="0">
      <sharedItems/>
    </cacheField>
    <cacheField name="BldgType" numFmtId="0">
      <sharedItems count="5">
        <s v="1Fam"/>
        <s v="2fmCon"/>
        <s v="Duplex"/>
        <s v="TwnhsE"/>
        <s v="Twnhs"/>
      </sharedItems>
    </cacheField>
    <cacheField name="HouseStyle" numFmtId="0">
      <sharedItems count="8">
        <s v="2Story"/>
        <s v="1Story"/>
        <s v="1.5Fin"/>
        <s v="1.5Unf"/>
        <s v="SFoyer"/>
        <s v="SLvl"/>
        <s v="2.5Unf"/>
        <s v="2.5Fin"/>
      </sharedItems>
    </cacheField>
    <cacheField name="OverallQual" numFmtId="0">
      <sharedItems containsSemiMixedTypes="0" containsString="0" containsNumber="1" containsInteger="1" minValue="1" maxValue="10"/>
    </cacheField>
    <cacheField name="OverallCond" numFmtId="0">
      <sharedItems containsSemiMixedTypes="0" containsString="0" containsNumber="1" containsInteger="1" minValue="1" maxValue="9"/>
    </cacheField>
    <cacheField name="YearBuilt" numFmtId="0">
      <sharedItems containsSemiMixedTypes="0" containsString="0" containsNumber="1" containsInteger="1" minValue="1872" maxValue="2010" count="112">
        <n v="2003"/>
        <n v="1976"/>
        <n v="2001"/>
        <n v="1915"/>
        <n v="2000"/>
        <n v="1993"/>
        <n v="2004"/>
        <n v="1973"/>
        <n v="1931"/>
        <n v="1939"/>
        <n v="1965"/>
        <n v="2005"/>
        <n v="1962"/>
        <n v="2006"/>
        <n v="1960"/>
        <n v="1929"/>
        <n v="1970"/>
        <n v="1967"/>
        <n v="1958"/>
        <n v="1930"/>
        <n v="2002"/>
        <n v="1968"/>
        <n v="2007"/>
        <n v="1951"/>
        <n v="1957"/>
        <n v="1927"/>
        <n v="1920"/>
        <n v="1966"/>
        <n v="1959"/>
        <n v="1994"/>
        <n v="1954"/>
        <n v="1953"/>
        <n v="1955"/>
        <n v="1983"/>
        <n v="1975"/>
        <n v="1997"/>
        <n v="1934"/>
        <n v="1963"/>
        <n v="1981"/>
        <n v="1964"/>
        <n v="1999"/>
        <n v="1972"/>
        <n v="1921"/>
        <n v="1945"/>
        <n v="1982"/>
        <n v="1998"/>
        <n v="1956"/>
        <n v="1948"/>
        <n v="1910"/>
        <n v="1995"/>
        <n v="1991"/>
        <n v="2009"/>
        <n v="1950"/>
        <n v="1961"/>
        <n v="1977"/>
        <n v="1985"/>
        <n v="1979"/>
        <n v="1885"/>
        <n v="1919"/>
        <n v="1990"/>
        <n v="1969"/>
        <n v="1935"/>
        <n v="1988"/>
        <n v="1971"/>
        <n v="1952"/>
        <n v="1936"/>
        <n v="1923"/>
        <n v="1924"/>
        <n v="1984"/>
        <n v="1926"/>
        <n v="1940"/>
        <n v="1941"/>
        <n v="1987"/>
        <n v="1986"/>
        <n v="2008"/>
        <n v="1908"/>
        <n v="1892"/>
        <n v="1916"/>
        <n v="1932"/>
        <n v="1918"/>
        <n v="1912"/>
        <n v="1947"/>
        <n v="1925"/>
        <n v="1900"/>
        <n v="1980"/>
        <n v="1989"/>
        <n v="1992"/>
        <n v="1949"/>
        <n v="1880"/>
        <n v="1928"/>
        <n v="1978"/>
        <n v="1922"/>
        <n v="1996"/>
        <n v="2010"/>
        <n v="1946"/>
        <n v="1913"/>
        <n v="1937"/>
        <n v="1942"/>
        <n v="1938"/>
        <n v="1974"/>
        <n v="1893"/>
        <n v="1914"/>
        <n v="1906"/>
        <n v="1890"/>
        <n v="1898"/>
        <n v="1904"/>
        <n v="1882"/>
        <n v="1875"/>
        <n v="1911"/>
        <n v="1917"/>
        <n v="1872"/>
        <n v="1905"/>
      </sharedItems>
      <fieldGroup base="19">
        <rangePr autoStart="0" startNum="1900" endNum="2010" groupInterval="10"/>
        <groupItems count="13">
          <s v="&lt;1900"/>
          <s v="1900-1909"/>
          <s v="1910-1919"/>
          <s v="1920-1929"/>
          <s v="1930-1939"/>
          <s v="1940-1949"/>
          <s v="1950-1959"/>
          <s v="1960-1969"/>
          <s v="1970-1979"/>
          <s v="1980-1989"/>
          <s v="1990-1999"/>
          <s v="2000-2010"/>
          <s v="&gt;2010"/>
        </groupItems>
      </fieldGroup>
    </cacheField>
    <cacheField name="YearRemodAdd" numFmtId="0">
      <sharedItems containsSemiMixedTypes="0" containsString="0" containsNumber="1" containsInteger="1" minValue="1950" maxValue="2010"/>
    </cacheField>
    <cacheField name="RoofStyle" numFmtId="0">
      <sharedItems/>
    </cacheField>
    <cacheField name="RoofMatl" numFmtId="0">
      <sharedItems/>
    </cacheField>
    <cacheField name="Exterior1st" numFmtId="0">
      <sharedItems/>
    </cacheField>
    <cacheField name="Exterior2nd" numFmtId="0">
      <sharedItems/>
    </cacheField>
    <cacheField name="MasVnrType" numFmtId="0">
      <sharedItems/>
    </cacheField>
    <cacheField name="MasVnrArea" numFmtId="0">
      <sharedItems containsMixedTypes="1" containsNumber="1" containsInteger="1" minValue="0" maxValue="1600"/>
    </cacheField>
    <cacheField name="ExterQual" numFmtId="0">
      <sharedItems/>
    </cacheField>
    <cacheField name="ExterCond" numFmtId="0">
      <sharedItems/>
    </cacheField>
    <cacheField name="Foundation" numFmtId="0">
      <sharedItems/>
    </cacheField>
    <cacheField name="BsmtQual" numFmtId="0">
      <sharedItems/>
    </cacheField>
    <cacheField name="BsmtCond" numFmtId="0">
      <sharedItems/>
    </cacheField>
    <cacheField name="BsmtExposure" numFmtId="0">
      <sharedItems/>
    </cacheField>
    <cacheField name="BsmtFinType1" numFmtId="0">
      <sharedItems/>
    </cacheField>
    <cacheField name="BsmtFinSF1" numFmtId="0">
      <sharedItems containsSemiMixedTypes="0" containsString="0" containsNumber="1" containsInteger="1" minValue="0" maxValue="5644"/>
    </cacheField>
    <cacheField name="BsmtFinType2" numFmtId="0">
      <sharedItems/>
    </cacheField>
    <cacheField name="BsmtFinSF2" numFmtId="0">
      <sharedItems containsSemiMixedTypes="0" containsString="0" containsNumber="1" containsInteger="1" minValue="0" maxValue="1474"/>
    </cacheField>
    <cacheField name="BsmtUnfSF" numFmtId="0">
      <sharedItems containsSemiMixedTypes="0" containsString="0" containsNumber="1" containsInteger="1" minValue="0" maxValue="2336"/>
    </cacheField>
    <cacheField name="TotalBsmtSF" numFmtId="0">
      <sharedItems containsSemiMixedTypes="0" containsString="0" containsNumber="1" containsInteger="1" minValue="0" maxValue="6110"/>
    </cacheField>
    <cacheField name="Heating" numFmtId="0">
      <sharedItems/>
    </cacheField>
    <cacheField name="HeatingQC" numFmtId="0">
      <sharedItems/>
    </cacheField>
    <cacheField name="CentralAir" numFmtId="0">
      <sharedItems/>
    </cacheField>
    <cacheField name="Electrical" numFmtId="0">
      <sharedItems/>
    </cacheField>
    <cacheField name="1stFlrSF" numFmtId="0">
      <sharedItems containsSemiMixedTypes="0" containsString="0" containsNumber="1" containsInteger="1" minValue="334" maxValue="4692"/>
    </cacheField>
    <cacheField name="2ndFlrSF" numFmtId="0">
      <sharedItems containsSemiMixedTypes="0" containsString="0" containsNumber="1" containsInteger="1" minValue="0" maxValue="2065"/>
    </cacheField>
    <cacheField name="LowQualFinSF" numFmtId="0">
      <sharedItems containsSemiMixedTypes="0" containsString="0" containsNumber="1" containsInteger="1" minValue="0" maxValue="572"/>
    </cacheField>
    <cacheField name="GrLivArea" numFmtId="0">
      <sharedItems containsSemiMixedTypes="0" containsString="0" containsNumber="1" containsInteger="1" minValue="334" maxValue="5642" count="861">
        <n v="1710"/>
        <n v="1262"/>
        <n v="1786"/>
        <n v="1717"/>
        <n v="2198"/>
        <n v="1362"/>
        <n v="1694"/>
        <n v="2090"/>
        <n v="1774"/>
        <n v="1077"/>
        <n v="1040"/>
        <n v="2324"/>
        <n v="912"/>
        <n v="1494"/>
        <n v="1253"/>
        <n v="854"/>
        <n v="1004"/>
        <n v="1296"/>
        <n v="1114"/>
        <n v="1339"/>
        <n v="2376"/>
        <n v="1108"/>
        <n v="1795"/>
        <n v="1060"/>
        <n v="1600"/>
        <n v="900"/>
        <n v="1704"/>
        <n v="520"/>
        <n v="1317"/>
        <n v="1228"/>
        <n v="1234"/>
        <n v="1700"/>
        <n v="1561"/>
        <n v="2452"/>
        <n v="1097"/>
        <n v="1297"/>
        <n v="1057"/>
        <n v="1152"/>
        <n v="1324"/>
        <n v="1328"/>
        <n v="884"/>
        <n v="938"/>
        <n v="1150"/>
        <n v="1752"/>
        <n v="2149"/>
        <n v="1656"/>
        <n v="1452"/>
        <n v="955"/>
        <n v="1470"/>
        <n v="1176"/>
        <n v="816"/>
        <n v="1842"/>
        <n v="1360"/>
        <n v="1425"/>
        <n v="1739"/>
        <n v="1720"/>
        <n v="2945"/>
        <n v="780"/>
        <n v="1158"/>
        <n v="1111"/>
        <n v="1370"/>
        <n v="2034"/>
        <n v="2473"/>
        <n v="2207"/>
        <n v="1479"/>
        <n v="747"/>
        <n v="2287"/>
        <n v="2223"/>
        <n v="845"/>
        <n v="1718"/>
        <n v="1086"/>
        <n v="1605"/>
        <n v="988"/>
        <n v="952"/>
        <n v="1285"/>
        <n v="1768"/>
        <n v="1230"/>
        <n v="2142"/>
        <n v="1337"/>
        <n v="1563"/>
        <n v="1065"/>
        <n v="1474"/>
        <n v="2417"/>
        <n v="1560"/>
        <n v="1224"/>
        <n v="1526"/>
        <n v="990"/>
        <n v="1235"/>
        <n v="964"/>
        <n v="2291"/>
        <n v="1588"/>
        <n v="960"/>
        <n v="835"/>
        <n v="1225"/>
        <n v="1610"/>
        <n v="1732"/>
        <n v="1535"/>
        <n v="1226"/>
        <n v="1818"/>
        <n v="1992"/>
        <n v="1047"/>
        <n v="789"/>
        <n v="1517"/>
        <n v="1844"/>
        <n v="1855"/>
        <n v="1430"/>
        <n v="2696"/>
        <n v="2259"/>
        <n v="2320"/>
        <n v="1458"/>
        <n v="1092"/>
        <n v="1125"/>
        <n v="3222"/>
        <n v="1456"/>
        <n v="1123"/>
        <n v="1080"/>
        <n v="1199"/>
        <n v="1586"/>
        <n v="754"/>
        <n v="958"/>
        <n v="840"/>
        <n v="1348"/>
        <n v="1053"/>
        <n v="2157"/>
        <n v="2054"/>
        <n v="1327"/>
        <n v="1721"/>
        <n v="1682"/>
        <n v="1214"/>
        <n v="1959"/>
        <n v="1852"/>
        <n v="1764"/>
        <n v="864"/>
        <n v="1734"/>
        <n v="1385"/>
        <n v="1501"/>
        <n v="1728"/>
        <n v="1709"/>
        <n v="875"/>
        <n v="2035"/>
        <n v="1344"/>
        <n v="969"/>
        <n v="1993"/>
        <n v="1252"/>
        <n v="1200"/>
        <n v="1096"/>
        <n v="1968"/>
        <n v="1947"/>
        <n v="2462"/>
        <n v="1232"/>
        <n v="2668"/>
        <n v="1541"/>
        <n v="882"/>
        <n v="1616"/>
        <n v="1355"/>
        <n v="1867"/>
        <n v="2161"/>
        <n v="1707"/>
        <n v="1382"/>
        <n v="1767"/>
        <n v="1651"/>
        <n v="2158"/>
        <n v="2060"/>
        <n v="1920"/>
        <n v="2234"/>
        <n v="968"/>
        <n v="1525"/>
        <n v="1802"/>
        <n v="1340"/>
        <n v="2082"/>
        <n v="3608"/>
        <n v="1217"/>
        <n v="1593"/>
        <n v="2727"/>
        <n v="1431"/>
        <n v="1726"/>
        <n v="3112"/>
        <n v="2229"/>
        <n v="1713"/>
        <n v="1121"/>
        <n v="1279"/>
        <n v="1310"/>
        <n v="848"/>
        <n v="1284"/>
        <n v="1442"/>
        <n v="1696"/>
        <n v="1100"/>
        <n v="2062"/>
        <n v="1212"/>
        <n v="1392"/>
        <n v="1236"/>
        <n v="1436"/>
        <n v="1954"/>
        <n v="1248"/>
        <n v="1498"/>
        <n v="2267"/>
        <n v="1552"/>
        <n v="2392"/>
        <n v="1302"/>
        <n v="2520"/>
        <n v="987"/>
        <n v="1555"/>
        <n v="1194"/>
        <n v="2794"/>
        <n v="894"/>
        <n v="1960"/>
        <n v="1414"/>
        <n v="1744"/>
        <n v="1487"/>
        <n v="1566"/>
        <n v="866"/>
        <n v="1440"/>
        <n v="2110"/>
        <n v="1872"/>
        <n v="1928"/>
        <n v="1375"/>
        <n v="1668"/>
        <n v="2144"/>
        <n v="1306"/>
        <n v="1625"/>
        <n v="1640"/>
        <n v="1314"/>
        <n v="1604"/>
        <n v="1792"/>
        <n v="2574"/>
        <n v="1316"/>
        <n v="764"/>
        <n v="1422"/>
        <n v="1511"/>
        <n v="2192"/>
        <n v="778"/>
        <n v="1113"/>
        <n v="1939"/>
        <n v="1363"/>
        <n v="2270"/>
        <n v="1632"/>
        <n v="1548"/>
        <n v="2121"/>
        <n v="2022"/>
        <n v="1982"/>
        <n v="1468"/>
        <n v="1575"/>
        <n v="1250"/>
        <n v="858"/>
        <n v="1396"/>
        <n v="1919"/>
        <n v="1716"/>
        <n v="2263"/>
        <n v="1644"/>
        <n v="1003"/>
        <n v="1558"/>
        <n v="1950"/>
        <n v="1743"/>
        <n v="1336"/>
        <n v="3493"/>
        <n v="2000"/>
        <n v="2243"/>
        <n v="1406"/>
        <n v="861"/>
        <n v="1944"/>
        <n v="972"/>
        <n v="1118"/>
        <n v="2036"/>
        <n v="1641"/>
        <n v="1432"/>
        <n v="2353"/>
        <n v="2646"/>
        <n v="1472"/>
        <n v="2596"/>
        <n v="2468"/>
        <n v="2730"/>
        <n v="1163"/>
        <n v="2978"/>
        <n v="803"/>
        <n v="1719"/>
        <n v="1383"/>
        <n v="2134"/>
        <n v="1192"/>
        <n v="1056"/>
        <n v="1629"/>
        <n v="1358"/>
        <n v="1638"/>
        <n v="1922"/>
        <n v="1536"/>
        <n v="1621"/>
        <n v="1215"/>
        <n v="1908"/>
        <n v="841"/>
        <n v="1684"/>
        <n v="1112"/>
        <n v="1577"/>
        <n v="1478"/>
        <n v="1626"/>
        <n v="2728"/>
        <n v="1869"/>
        <n v="1453"/>
        <n v="720"/>
        <n v="1595"/>
        <n v="1167"/>
        <n v="1142"/>
        <n v="1352"/>
        <n v="1924"/>
        <n v="1505"/>
        <n v="1574"/>
        <n v="1394"/>
        <n v="1268"/>
        <n v="1287"/>
        <n v="1664"/>
        <n v="752"/>
        <n v="1319"/>
        <n v="904"/>
        <n v="914"/>
        <n v="2466"/>
        <n v="1856"/>
        <n v="1800"/>
        <n v="1691"/>
        <n v="1301"/>
        <n v="1797"/>
        <n v="784"/>
        <n v="1953"/>
        <n v="1269"/>
        <n v="1184"/>
        <n v="2332"/>
        <n v="1367"/>
        <n v="1961"/>
        <n v="788"/>
        <n v="1034"/>
        <n v="1144"/>
        <n v="1812"/>
        <n v="1550"/>
        <n v="1288"/>
        <n v="672"/>
        <n v="1572"/>
        <n v="1620"/>
        <n v="1639"/>
        <n v="1680"/>
        <n v="2172"/>
        <n v="2078"/>
        <n v="1276"/>
        <n v="1028"/>
        <n v="2097"/>
        <n v="1400"/>
        <n v="2624"/>
        <n v="1134"/>
        <n v="1602"/>
        <n v="2630"/>
        <n v="1196"/>
        <n v="1389"/>
        <n v="907"/>
        <n v="1208"/>
        <n v="1412"/>
        <n v="1198"/>
        <n v="1365"/>
        <n v="630"/>
        <n v="1661"/>
        <n v="694"/>
        <n v="2402"/>
        <n v="1573"/>
        <n v="1258"/>
        <n v="1689"/>
        <n v="1888"/>
        <n v="1886"/>
        <n v="1376"/>
        <n v="1183"/>
        <n v="813"/>
        <n v="1533"/>
        <n v="1756"/>
        <n v="1590"/>
        <n v="1242"/>
        <n v="1663"/>
        <n v="1666"/>
        <n v="1203"/>
        <n v="1935"/>
        <n v="1135"/>
        <n v="1660"/>
        <n v="1277"/>
        <n v="1634"/>
        <n v="1502"/>
        <n v="1969"/>
        <n v="1072"/>
        <n v="1976"/>
        <n v="1652"/>
        <n v="970"/>
        <n v="1493"/>
        <n v="2643"/>
        <n v="1131"/>
        <n v="1850"/>
        <n v="1826"/>
        <n v="1216"/>
        <n v="999"/>
        <n v="1073"/>
        <n v="1484"/>
        <n v="2414"/>
        <n v="1304"/>
        <n v="1578"/>
        <n v="886"/>
        <n v="3228"/>
        <n v="1820"/>
        <n v="899"/>
        <n v="1218"/>
        <n v="1801"/>
        <n v="1322"/>
        <n v="1911"/>
        <n v="1378"/>
        <n v="1041"/>
        <n v="1368"/>
        <n v="2020"/>
        <n v="2119"/>
        <n v="2344"/>
        <n v="1796"/>
        <n v="2080"/>
        <n v="1294"/>
        <n v="1244"/>
        <n v="4676"/>
        <n v="2398"/>
        <n v="1266"/>
        <n v="928"/>
        <n v="2713"/>
        <n v="605"/>
        <n v="2515"/>
        <n v="1509"/>
        <n v="827"/>
        <n v="334"/>
        <n v="1347"/>
        <n v="1724"/>
        <n v="1159"/>
        <n v="1601"/>
        <n v="1838"/>
        <n v="2285"/>
        <n v="767"/>
        <n v="1496"/>
        <n v="2183"/>
        <n v="1635"/>
        <n v="768"/>
        <n v="825"/>
        <n v="2094"/>
        <n v="1069"/>
        <n v="1126"/>
        <n v="2046"/>
        <n v="1048"/>
        <n v="1446"/>
        <n v="1557"/>
        <n v="996"/>
        <n v="1674"/>
        <n v="2295"/>
        <n v="1647"/>
        <n v="2504"/>
        <n v="2132"/>
        <n v="943"/>
        <n v="1692"/>
        <n v="1109"/>
        <n v="1477"/>
        <n v="1320"/>
        <n v="1429"/>
        <n v="2042"/>
        <n v="2775"/>
        <n v="2028"/>
        <n v="838"/>
        <n v="860"/>
        <n v="1473"/>
        <n v="935"/>
        <n v="1582"/>
        <n v="2296"/>
        <n v="924"/>
        <n v="1402"/>
        <n v="1556"/>
        <n v="1904"/>
        <n v="1915"/>
        <n v="1986"/>
        <n v="2008"/>
        <n v="3194"/>
        <n v="1029"/>
        <n v="2153"/>
        <n v="1032"/>
        <n v="1120"/>
        <n v="1054"/>
        <n v="832"/>
        <n v="1828"/>
        <n v="2262"/>
        <n v="2614"/>
        <n v="980"/>
        <n v="1512"/>
        <n v="1790"/>
        <n v="1116"/>
        <n v="1520"/>
        <n v="1350"/>
        <n v="1750"/>
        <n v="1554"/>
        <n v="1411"/>
        <n v="3395"/>
        <n v="800"/>
        <n v="1387"/>
        <n v="796"/>
        <n v="1567"/>
        <n v="1518"/>
        <n v="1929"/>
        <n v="2704"/>
        <n v="1766"/>
        <n v="981"/>
        <n v="1094"/>
        <n v="1839"/>
        <n v="1665"/>
        <n v="1510"/>
        <n v="1469"/>
        <n v="2113"/>
        <n v="1486"/>
        <n v="2448"/>
        <n v="1181"/>
        <n v="1936"/>
        <n v="2380"/>
        <n v="1679"/>
        <n v="1437"/>
        <n v="1180"/>
        <n v="1476"/>
        <n v="1369"/>
        <n v="1136"/>
        <n v="1441"/>
        <n v="792"/>
        <n v="923"/>
        <n v="1291"/>
        <n v="1761"/>
        <n v="1102"/>
        <n v="1419"/>
        <n v="4316"/>
        <n v="2519"/>
        <n v="1539"/>
        <n v="1137"/>
        <n v="616"/>
        <n v="1148"/>
        <n v="1391"/>
        <n v="1164"/>
        <n v="2576"/>
        <n v="1824"/>
        <n v="729"/>
        <n v="1178"/>
        <n v="2554"/>
        <n v="2418"/>
        <n v="971"/>
        <n v="1742"/>
        <n v="1698"/>
        <n v="1776"/>
        <n v="1146"/>
        <n v="2031"/>
        <n v="948"/>
        <n v="1349"/>
        <n v="1464"/>
        <n v="2715"/>
        <n v="2256"/>
        <n v="2640"/>
        <n v="1529"/>
        <n v="1140"/>
        <n v="2098"/>
        <n v="1026"/>
        <n v="1471"/>
        <n v="1386"/>
        <n v="2531"/>
        <n v="1547"/>
        <n v="2365"/>
        <n v="1506"/>
        <n v="1714"/>
        <n v="1836"/>
        <n v="3279"/>
        <n v="1220"/>
        <n v="1117"/>
        <n v="1973"/>
        <n v="1204"/>
        <n v="1614"/>
        <n v="1603"/>
        <n v="1110"/>
        <n v="1342"/>
        <n v="2084"/>
        <n v="901"/>
        <n v="2087"/>
        <n v="1145"/>
        <n v="1062"/>
        <n v="2013"/>
        <n v="1895"/>
        <n v="1564"/>
        <n v="773"/>
        <n v="3140"/>
        <n v="1688"/>
        <n v="2822"/>
        <n v="1128"/>
        <n v="1428"/>
        <n v="1576"/>
        <n v="2138"/>
        <n v="1309"/>
        <n v="1044"/>
        <n v="1008"/>
        <n v="1052"/>
        <n v="936"/>
        <n v="1733"/>
        <n v="1489"/>
        <n v="1434"/>
        <n v="2126"/>
        <n v="1223"/>
        <n v="1829"/>
        <n v="1516"/>
        <n v="1067"/>
        <n v="1559"/>
        <n v="1099"/>
        <n v="1482"/>
        <n v="1165"/>
        <n v="1416"/>
        <n v="1701"/>
        <n v="1775"/>
        <n v="2358"/>
        <n v="1646"/>
        <n v="1445"/>
        <n v="1779"/>
        <n v="1481"/>
        <n v="2654"/>
        <n v="1426"/>
        <n v="1039"/>
        <n v="1372"/>
        <n v="1002"/>
        <n v="1949"/>
        <n v="910"/>
        <n v="2610"/>
        <n v="2224"/>
        <n v="1155"/>
        <n v="1090"/>
        <n v="2230"/>
        <n v="892"/>
        <n v="1712"/>
        <n v="1393"/>
        <n v="2217"/>
        <n v="1683"/>
        <n v="1068"/>
        <n v="951"/>
        <n v="2240"/>
        <n v="2364"/>
        <n v="1670"/>
        <n v="902"/>
        <n v="1063"/>
        <n v="1636"/>
        <n v="2057"/>
        <n v="2274"/>
        <n v="1015"/>
        <n v="2002"/>
        <n v="480"/>
        <n v="1229"/>
        <n v="2127"/>
        <n v="2200"/>
        <n v="1617"/>
        <n v="1686"/>
        <n v="2374"/>
        <n v="1978"/>
        <n v="1788"/>
        <n v="2236"/>
        <n v="1466"/>
        <n v="925"/>
        <n v="1905"/>
        <n v="1500"/>
        <n v="2069"/>
        <n v="1971"/>
        <n v="1962"/>
        <n v="2403"/>
        <n v="1381"/>
        <n v="965"/>
        <n v="1958"/>
        <n v="2872"/>
        <n v="1894"/>
        <n v="1308"/>
        <n v="1098"/>
        <n v="1095"/>
        <n v="918"/>
        <n v="2019"/>
        <n v="869"/>
        <n v="1241"/>
        <n v="2612"/>
        <n v="2290"/>
        <n v="1940"/>
        <n v="2030"/>
        <n v="1851"/>
        <n v="1050"/>
        <n v="944"/>
        <n v="691"/>
        <n v="1504"/>
        <n v="985"/>
        <n v="1657"/>
        <n v="1522"/>
        <n v="1271"/>
        <n v="1022"/>
        <n v="1082"/>
        <n v="1132"/>
        <n v="2898"/>
        <n v="1264"/>
        <n v="3082"/>
        <n v="1654"/>
        <n v="954"/>
        <n v="1803"/>
        <n v="2329"/>
        <n v="2524"/>
        <n v="2868"/>
        <n v="1771"/>
        <n v="930"/>
        <n v="1977"/>
        <n v="1989"/>
        <n v="1523"/>
        <n v="1364"/>
        <n v="2184"/>
        <n v="1991"/>
        <n v="1338"/>
        <n v="2337"/>
        <n v="1103"/>
        <n v="1154"/>
        <n v="2260"/>
        <n v="1571"/>
        <n v="1611"/>
        <n v="2521"/>
        <n v="893"/>
        <n v="1240"/>
        <n v="1740"/>
        <n v="1459"/>
        <n v="1251"/>
        <n v="1247"/>
        <n v="1088"/>
        <n v="438"/>
        <n v="950"/>
        <n v="2622"/>
        <n v="2021"/>
        <n v="1690"/>
        <n v="1658"/>
        <n v="1964"/>
        <n v="833"/>
        <n v="1012"/>
        <n v="698"/>
        <n v="1005"/>
        <n v="1530"/>
        <n v="1981"/>
        <n v="974"/>
        <n v="2210"/>
        <n v="986"/>
        <n v="1020"/>
        <n v="1868"/>
        <n v="2828"/>
        <n v="1006"/>
        <n v="1298"/>
        <n v="932"/>
        <n v="1811"/>
        <n v="1265"/>
        <n v="1580"/>
        <n v="1876"/>
        <n v="1671"/>
        <n v="2108"/>
        <n v="3627"/>
        <n v="1261"/>
        <n v="3086"/>
        <n v="2345"/>
        <n v="1343"/>
        <n v="1124"/>
        <n v="2514"/>
        <n v="4476"/>
        <n v="1130"/>
        <n v="1221"/>
        <n v="1699"/>
        <n v="1624"/>
        <n v="1804"/>
        <n v="1622"/>
        <n v="1863"/>
        <n v="1630"/>
        <n v="1074"/>
        <n v="2196"/>
        <n v="1283"/>
        <n v="1845"/>
        <n v="1902"/>
        <n v="1211"/>
        <n v="1846"/>
        <n v="2136"/>
        <n v="1490"/>
        <n v="1138"/>
        <n v="1933"/>
        <n v="1702"/>
        <n v="1507"/>
        <n v="2620"/>
        <n v="1190"/>
        <n v="1188"/>
        <n v="1784"/>
        <n v="1948"/>
        <n v="1141"/>
        <n v="1173"/>
        <n v="2076"/>
        <n v="1553"/>
        <n v="2058"/>
        <n v="1405"/>
        <n v="874"/>
        <n v="2167"/>
        <n v="1987"/>
        <n v="1166"/>
        <n v="1675"/>
        <n v="1889"/>
        <n v="2018"/>
        <n v="3447"/>
        <n v="1524"/>
        <n v="1357"/>
        <n v="1395"/>
        <n v="2447"/>
        <n v="1659"/>
        <n v="1970"/>
        <n v="2372"/>
        <n v="5642"/>
        <n v="1246"/>
        <n v="1983"/>
        <n v="2526"/>
        <n v="1708"/>
        <n v="1122"/>
        <n v="1274"/>
        <n v="2810"/>
        <n v="2599"/>
        <n v="2112"/>
        <n v="1787"/>
        <n v="1923"/>
        <n v="708"/>
        <n v="774"/>
        <n v="2792"/>
        <n v="1334"/>
        <n v="693"/>
        <n v="1861"/>
        <n v="872"/>
        <n v="2169"/>
        <n v="1913"/>
        <n v="2156"/>
        <n v="2634"/>
        <n v="3238"/>
        <n v="1865"/>
        <n v="1078"/>
        <n v="1980"/>
        <n v="2601"/>
        <n v="1738"/>
        <n v="1475"/>
        <n v="1374"/>
        <n v="2633"/>
        <n v="790"/>
        <n v="2117"/>
        <n v="1762"/>
        <n v="2784"/>
        <n v="1746"/>
        <n v="1584"/>
        <n v="1912"/>
        <n v="2482"/>
        <n v="1687"/>
        <n v="1513"/>
        <n v="1608"/>
        <n v="2093"/>
        <n v="1840"/>
        <n v="1848"/>
        <n v="1569"/>
        <n v="2450"/>
        <n v="2201"/>
        <n v="804"/>
        <n v="1537"/>
        <n v="1932"/>
        <n v="1725"/>
        <n v="2555"/>
        <n v="2007"/>
        <n v="913"/>
        <n v="1346"/>
        <n v="2073"/>
        <n v="2340"/>
        <n v="1256"/>
      </sharedItems>
    </cacheField>
    <cacheField name="BsmtFullBath" numFmtId="0">
      <sharedItems containsSemiMixedTypes="0" containsString="0" containsNumber="1" containsInteger="1" minValue="0" maxValue="3"/>
    </cacheField>
    <cacheField name="BsmtHalfBath" numFmtId="0">
      <sharedItems containsSemiMixedTypes="0" containsString="0" containsNumber="1" containsInteger="1" minValue="0" maxValue="2"/>
    </cacheField>
    <cacheField name="FullBath" numFmtId="0">
      <sharedItems containsSemiMixedTypes="0" containsString="0" containsNumber="1" containsInteger="1" minValue="0" maxValue="3"/>
    </cacheField>
    <cacheField name="HalfBath" numFmtId="0">
      <sharedItems containsSemiMixedTypes="0" containsString="0" containsNumber="1" containsInteger="1" minValue="0" maxValue="2"/>
    </cacheField>
    <cacheField name="BedroomAbvGr" numFmtId="0">
      <sharedItems containsSemiMixedTypes="0" containsString="0" containsNumber="1" containsInteger="1" minValue="0" maxValue="8"/>
    </cacheField>
    <cacheField name="KitchenAbvGr" numFmtId="0">
      <sharedItems containsSemiMixedTypes="0" containsString="0" containsNumber="1" containsInteger="1" minValue="0" maxValue="3"/>
    </cacheField>
    <cacheField name="KitchenQual" numFmtId="0">
      <sharedItems/>
    </cacheField>
    <cacheField name="TotRmsAbvGrd" numFmtId="0">
      <sharedItems containsSemiMixedTypes="0" containsString="0" containsNumber="1" containsInteger="1" minValue="2" maxValue="14"/>
    </cacheField>
    <cacheField name="Functional" numFmtId="0">
      <sharedItems/>
    </cacheField>
    <cacheField name="Fireplaces" numFmtId="0">
      <sharedItems containsSemiMixedTypes="0" containsString="0" containsNumber="1" containsInteger="1" minValue="0" maxValue="3"/>
    </cacheField>
    <cacheField name="FireplaceQu" numFmtId="0">
      <sharedItems/>
    </cacheField>
    <cacheField name="GarageType" numFmtId="0">
      <sharedItems/>
    </cacheField>
    <cacheField name="GarageYrBlt" numFmtId="0">
      <sharedItems containsMixedTypes="1" containsNumber="1" containsInteger="1" minValue="1900" maxValue="2010"/>
    </cacheField>
    <cacheField name="GarageFinish" numFmtId="0">
      <sharedItems/>
    </cacheField>
    <cacheField name="GarageCars" numFmtId="0">
      <sharedItems containsSemiMixedTypes="0" containsString="0" containsNumber="1" containsInteger="1" minValue="0" maxValue="4"/>
    </cacheField>
    <cacheField name="GarageArea" numFmtId="0">
      <sharedItems containsSemiMixedTypes="0" containsString="0" containsNumber="1" containsInteger="1" minValue="0" maxValue="1418"/>
    </cacheField>
    <cacheField name="GarageQual" numFmtId="0">
      <sharedItems/>
    </cacheField>
    <cacheField name="GarageCond" numFmtId="0">
      <sharedItems/>
    </cacheField>
    <cacheField name="PavedDrive" numFmtId="0">
      <sharedItems/>
    </cacheField>
    <cacheField name="WoodDeckSF" numFmtId="0">
      <sharedItems containsSemiMixedTypes="0" containsString="0" containsNumber="1" containsInteger="1" minValue="0" maxValue="857"/>
    </cacheField>
    <cacheField name="OpenPorchSF" numFmtId="0">
      <sharedItems containsSemiMixedTypes="0" containsString="0" containsNumber="1" containsInteger="1" minValue="0" maxValue="547"/>
    </cacheField>
    <cacheField name="EnclosedPorch" numFmtId="0">
      <sharedItems containsSemiMixedTypes="0" containsString="0" containsNumber="1" containsInteger="1" minValue="0" maxValue="552"/>
    </cacheField>
    <cacheField name="3SsnPorch" numFmtId="0">
      <sharedItems containsSemiMixedTypes="0" containsString="0" containsNumber="1" containsInteger="1" minValue="0" maxValue="508"/>
    </cacheField>
    <cacheField name="ScreenPorch" numFmtId="0">
      <sharedItems containsSemiMixedTypes="0" containsString="0" containsNumber="1" containsInteger="1" minValue="0" maxValue="480"/>
    </cacheField>
    <cacheField name="PoolArea" numFmtId="0">
      <sharedItems containsSemiMixedTypes="0" containsString="0" containsNumber="1" containsInteger="1" minValue="0" maxValue="738"/>
    </cacheField>
    <cacheField name="PoolQC" numFmtId="0">
      <sharedItems/>
    </cacheField>
    <cacheField name="Fence" numFmtId="0">
      <sharedItems/>
    </cacheField>
    <cacheField name="MiscFeature" numFmtId="0">
      <sharedItems/>
    </cacheField>
    <cacheField name="MiscVal" numFmtId="0">
      <sharedItems containsSemiMixedTypes="0" containsString="0" containsNumber="1" containsInteger="1" minValue="0" maxValue="15500"/>
    </cacheField>
    <cacheField name="MoSold" numFmtId="0">
      <sharedItems containsSemiMixedTypes="0" containsString="0" containsNumber="1" containsInteger="1" minValue="1" maxValue="12"/>
    </cacheField>
    <cacheField name="YrSold" numFmtId="0">
      <sharedItems containsSemiMixedTypes="0" containsString="0" containsNumber="1" containsInteger="1" minValue="2006" maxValue="2010"/>
    </cacheField>
    <cacheField name="SaleType" numFmtId="0">
      <sharedItems/>
    </cacheField>
    <cacheField name="SaleCondition" numFmtId="0">
      <sharedItems/>
    </cacheField>
    <cacheField name="SalePrice" numFmtId="0">
      <sharedItems containsSemiMixedTypes="0" containsString="0" containsNumber="1" containsInteger="1" minValue="34900" maxValue="7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n v="1"/>
    <n v="60"/>
    <s v="RL"/>
    <n v="65"/>
    <n v="8450"/>
    <s v="Pave"/>
    <s v="NA"/>
    <s v="Reg"/>
    <s v="Lvl"/>
    <s v="AllPub"/>
    <s v="Inside"/>
    <s v="Gtl"/>
    <x v="0"/>
    <x v="0"/>
    <s v="Norm"/>
    <x v="0"/>
    <x v="0"/>
    <n v="7"/>
    <n v="5"/>
    <x v="0"/>
    <n v="2003"/>
    <s v="Gable"/>
    <s v="CompShg"/>
    <s v="VinylSd"/>
    <s v="VinylSd"/>
    <s v="BrkFace"/>
    <n v="196"/>
    <s v="Gd"/>
    <s v="TA"/>
    <s v="PConc"/>
    <s v="Gd"/>
    <s v="TA"/>
    <s v="No"/>
    <s v="GLQ"/>
    <n v="706"/>
    <s v="Unf"/>
    <n v="0"/>
    <n v="150"/>
    <n v="856"/>
    <s v="GasA"/>
    <s v="Ex"/>
    <s v="Y"/>
    <s v="SBrkr"/>
    <n v="856"/>
    <n v="854"/>
    <n v="0"/>
    <x v="0"/>
    <n v="1"/>
    <n v="0"/>
    <n v="2"/>
    <n v="1"/>
    <n v="3"/>
    <n v="1"/>
    <s v="Gd"/>
    <n v="8"/>
    <s v="Typ"/>
    <n v="0"/>
    <s v="NA"/>
    <s v="Attchd"/>
    <n v="2003"/>
    <s v="RFn"/>
    <n v="2"/>
    <n v="548"/>
    <s v="TA"/>
    <s v="TA"/>
    <s v="Y"/>
    <n v="0"/>
    <n v="61"/>
    <n v="0"/>
    <n v="0"/>
    <n v="0"/>
    <n v="0"/>
    <s v="NA"/>
    <s v="NA"/>
    <s v="NA"/>
    <n v="0"/>
    <n v="2"/>
    <n v="2008"/>
    <s v="WD"/>
    <s v="Normal"/>
    <n v="208500"/>
  </r>
  <r>
    <n v="2"/>
    <n v="20"/>
    <s v="RL"/>
    <n v="80"/>
    <n v="9600"/>
    <s v="Pave"/>
    <s v="NA"/>
    <s v="Reg"/>
    <s v="Lvl"/>
    <s v="AllPub"/>
    <s v="FR2"/>
    <s v="Gtl"/>
    <x v="1"/>
    <x v="1"/>
    <s v="Norm"/>
    <x v="0"/>
    <x v="1"/>
    <n v="6"/>
    <n v="8"/>
    <x v="1"/>
    <n v="1976"/>
    <s v="Gable"/>
    <s v="CompShg"/>
    <s v="MetalSd"/>
    <s v="MetalSd"/>
    <s v="None"/>
    <n v="0"/>
    <s v="TA"/>
    <s v="TA"/>
    <s v="CBlock"/>
    <s v="Gd"/>
    <s v="TA"/>
    <s v="Gd"/>
    <s v="ALQ"/>
    <n v="978"/>
    <s v="Unf"/>
    <n v="0"/>
    <n v="284"/>
    <n v="1262"/>
    <s v="GasA"/>
    <s v="Ex"/>
    <s v="Y"/>
    <s v="SBrkr"/>
    <n v="1262"/>
    <n v="0"/>
    <n v="0"/>
    <x v="1"/>
    <n v="0"/>
    <n v="1"/>
    <n v="2"/>
    <n v="0"/>
    <n v="3"/>
    <n v="1"/>
    <s v="TA"/>
    <n v="6"/>
    <s v="Typ"/>
    <n v="1"/>
    <s v="TA"/>
    <s v="Attchd"/>
    <n v="1976"/>
    <s v="RFn"/>
    <n v="2"/>
    <n v="460"/>
    <s v="TA"/>
    <s v="TA"/>
    <s v="Y"/>
    <n v="298"/>
    <n v="0"/>
    <n v="0"/>
    <n v="0"/>
    <n v="0"/>
    <n v="0"/>
    <s v="NA"/>
    <s v="NA"/>
    <s v="NA"/>
    <n v="0"/>
    <n v="5"/>
    <n v="2007"/>
    <s v="WD"/>
    <s v="Normal"/>
    <n v="181500"/>
  </r>
  <r>
    <n v="3"/>
    <n v="60"/>
    <s v="RL"/>
    <n v="68"/>
    <n v="11250"/>
    <s v="Pave"/>
    <s v="NA"/>
    <s v="IR1"/>
    <s v="Lvl"/>
    <s v="AllPub"/>
    <s v="Inside"/>
    <s v="Gtl"/>
    <x v="0"/>
    <x v="0"/>
    <s v="Norm"/>
    <x v="0"/>
    <x v="0"/>
    <n v="7"/>
    <n v="5"/>
    <x v="2"/>
    <n v="2002"/>
    <s v="Gable"/>
    <s v="CompShg"/>
    <s v="VinylSd"/>
    <s v="VinylSd"/>
    <s v="BrkFace"/>
    <n v="162"/>
    <s v="Gd"/>
    <s v="TA"/>
    <s v="PConc"/>
    <s v="Gd"/>
    <s v="TA"/>
    <s v="Mn"/>
    <s v="GLQ"/>
    <n v="486"/>
    <s v="Unf"/>
    <n v="0"/>
    <n v="434"/>
    <n v="920"/>
    <s v="GasA"/>
    <s v="Ex"/>
    <s v="Y"/>
    <s v="SBrkr"/>
    <n v="920"/>
    <n v="866"/>
    <n v="0"/>
    <x v="2"/>
    <n v="1"/>
    <n v="0"/>
    <n v="2"/>
    <n v="1"/>
    <n v="3"/>
    <n v="1"/>
    <s v="Gd"/>
    <n v="6"/>
    <s v="Typ"/>
    <n v="1"/>
    <s v="TA"/>
    <s v="Attchd"/>
    <n v="2001"/>
    <s v="RFn"/>
    <n v="2"/>
    <n v="608"/>
    <s v="TA"/>
    <s v="TA"/>
    <s v="Y"/>
    <n v="0"/>
    <n v="42"/>
    <n v="0"/>
    <n v="0"/>
    <n v="0"/>
    <n v="0"/>
    <s v="NA"/>
    <s v="NA"/>
    <s v="NA"/>
    <n v="0"/>
    <n v="9"/>
    <n v="2008"/>
    <s v="WD"/>
    <s v="Normal"/>
    <n v="223500"/>
  </r>
  <r>
    <n v="4"/>
    <n v="70"/>
    <s v="RL"/>
    <n v="60"/>
    <n v="9550"/>
    <s v="Pave"/>
    <s v="NA"/>
    <s v="IR1"/>
    <s v="Lvl"/>
    <s v="AllPub"/>
    <s v="Corner"/>
    <s v="Gtl"/>
    <x v="2"/>
    <x v="0"/>
    <s v="Norm"/>
    <x v="0"/>
    <x v="0"/>
    <n v="7"/>
    <n v="5"/>
    <x v="3"/>
    <n v="1970"/>
    <s v="Gable"/>
    <s v="CompShg"/>
    <s v="Wd Sdng"/>
    <s v="Wd Shng"/>
    <s v="None"/>
    <n v="0"/>
    <s v="TA"/>
    <s v="TA"/>
    <s v="BrkTil"/>
    <s v="TA"/>
    <s v="Gd"/>
    <s v="No"/>
    <s v="ALQ"/>
    <n v="216"/>
    <s v="Unf"/>
    <n v="0"/>
    <n v="540"/>
    <n v="756"/>
    <s v="GasA"/>
    <s v="Gd"/>
    <s v="Y"/>
    <s v="SBrkr"/>
    <n v="961"/>
    <n v="756"/>
    <n v="0"/>
    <x v="3"/>
    <n v="1"/>
    <n v="0"/>
    <n v="1"/>
    <n v="0"/>
    <n v="3"/>
    <n v="1"/>
    <s v="Gd"/>
    <n v="7"/>
    <s v="Typ"/>
    <n v="1"/>
    <s v="Gd"/>
    <s v="Detchd"/>
    <n v="1998"/>
    <s v="Unf"/>
    <n v="3"/>
    <n v="642"/>
    <s v="TA"/>
    <s v="TA"/>
    <s v="Y"/>
    <n v="0"/>
    <n v="35"/>
    <n v="272"/>
    <n v="0"/>
    <n v="0"/>
    <n v="0"/>
    <s v="NA"/>
    <s v="NA"/>
    <s v="NA"/>
    <n v="0"/>
    <n v="2"/>
    <n v="2006"/>
    <s v="WD"/>
    <s v="Abnorml"/>
    <n v="140000"/>
  </r>
  <r>
    <n v="5"/>
    <n v="60"/>
    <s v="RL"/>
    <n v="84"/>
    <n v="14260"/>
    <s v="Pave"/>
    <s v="NA"/>
    <s v="IR1"/>
    <s v="Lvl"/>
    <s v="AllPub"/>
    <s v="FR2"/>
    <s v="Gtl"/>
    <x v="3"/>
    <x v="0"/>
    <s v="Norm"/>
    <x v="0"/>
    <x v="0"/>
    <n v="8"/>
    <n v="5"/>
    <x v="4"/>
    <n v="2000"/>
    <s v="Gable"/>
    <s v="CompShg"/>
    <s v="VinylSd"/>
    <s v="VinylSd"/>
    <s v="BrkFace"/>
    <n v="350"/>
    <s v="Gd"/>
    <s v="TA"/>
    <s v="PConc"/>
    <s v="Gd"/>
    <s v="TA"/>
    <s v="Av"/>
    <s v="GLQ"/>
    <n v="655"/>
    <s v="Unf"/>
    <n v="0"/>
    <n v="490"/>
    <n v="1145"/>
    <s v="GasA"/>
    <s v="Ex"/>
    <s v="Y"/>
    <s v="SBrkr"/>
    <n v="1145"/>
    <n v="1053"/>
    <n v="0"/>
    <x v="4"/>
    <n v="1"/>
    <n v="0"/>
    <n v="2"/>
    <n v="1"/>
    <n v="4"/>
    <n v="1"/>
    <s v="Gd"/>
    <n v="9"/>
    <s v="Typ"/>
    <n v="1"/>
    <s v="TA"/>
    <s v="Attchd"/>
    <n v="2000"/>
    <s v="RFn"/>
    <n v="3"/>
    <n v="836"/>
    <s v="TA"/>
    <s v="TA"/>
    <s v="Y"/>
    <n v="192"/>
    <n v="84"/>
    <n v="0"/>
    <n v="0"/>
    <n v="0"/>
    <n v="0"/>
    <s v="NA"/>
    <s v="NA"/>
    <s v="NA"/>
    <n v="0"/>
    <n v="12"/>
    <n v="2008"/>
    <s v="WD"/>
    <s v="Normal"/>
    <n v="250000"/>
  </r>
  <r>
    <n v="6"/>
    <n v="50"/>
    <s v="RL"/>
    <n v="85"/>
    <n v="14115"/>
    <s v="Pave"/>
    <s v="NA"/>
    <s v="IR1"/>
    <s v="Lvl"/>
    <s v="AllPub"/>
    <s v="Inside"/>
    <s v="Gtl"/>
    <x v="4"/>
    <x v="0"/>
    <s v="Norm"/>
    <x v="0"/>
    <x v="2"/>
    <n v="5"/>
    <n v="5"/>
    <x v="5"/>
    <n v="1995"/>
    <s v="Gable"/>
    <s v="CompShg"/>
    <s v="VinylSd"/>
    <s v="VinylSd"/>
    <s v="None"/>
    <n v="0"/>
    <s v="TA"/>
    <s v="TA"/>
    <s v="Wood"/>
    <s v="Gd"/>
    <s v="TA"/>
    <s v="No"/>
    <s v="GLQ"/>
    <n v="732"/>
    <s v="Unf"/>
    <n v="0"/>
    <n v="64"/>
    <n v="796"/>
    <s v="GasA"/>
    <s v="Ex"/>
    <s v="Y"/>
    <s v="SBrkr"/>
    <n v="796"/>
    <n v="566"/>
    <n v="0"/>
    <x v="5"/>
    <n v="1"/>
    <n v="0"/>
    <n v="1"/>
    <n v="1"/>
    <n v="1"/>
    <n v="1"/>
    <s v="TA"/>
    <n v="5"/>
    <s v="Typ"/>
    <n v="0"/>
    <s v="NA"/>
    <s v="Attchd"/>
    <n v="1993"/>
    <s v="Unf"/>
    <n v="2"/>
    <n v="480"/>
    <s v="TA"/>
    <s v="TA"/>
    <s v="Y"/>
    <n v="40"/>
    <n v="30"/>
    <n v="0"/>
    <n v="320"/>
    <n v="0"/>
    <n v="0"/>
    <s v="NA"/>
    <s v="MnPrv"/>
    <s v="Shed"/>
    <n v="700"/>
    <n v="10"/>
    <n v="2009"/>
    <s v="WD"/>
    <s v="Normal"/>
    <n v="143000"/>
  </r>
  <r>
    <n v="7"/>
    <n v="20"/>
    <s v="RL"/>
    <n v="75"/>
    <n v="10084"/>
    <s v="Pave"/>
    <s v="NA"/>
    <s v="Reg"/>
    <s v="Lvl"/>
    <s v="AllPub"/>
    <s v="Inside"/>
    <s v="Gtl"/>
    <x v="5"/>
    <x v="0"/>
    <s v="Norm"/>
    <x v="0"/>
    <x v="1"/>
    <n v="8"/>
    <n v="5"/>
    <x v="6"/>
    <n v="2005"/>
    <s v="Gable"/>
    <s v="CompShg"/>
    <s v="VinylSd"/>
    <s v="VinylSd"/>
    <s v="Stone"/>
    <n v="186"/>
    <s v="Gd"/>
    <s v="TA"/>
    <s v="PConc"/>
    <s v="Ex"/>
    <s v="TA"/>
    <s v="Av"/>
    <s v="GLQ"/>
    <n v="1369"/>
    <s v="Unf"/>
    <n v="0"/>
    <n v="317"/>
    <n v="1686"/>
    <s v="GasA"/>
    <s v="Ex"/>
    <s v="Y"/>
    <s v="SBrkr"/>
    <n v="1694"/>
    <n v="0"/>
    <n v="0"/>
    <x v="6"/>
    <n v="1"/>
    <n v="0"/>
    <n v="2"/>
    <n v="0"/>
    <n v="3"/>
    <n v="1"/>
    <s v="Gd"/>
    <n v="7"/>
    <s v="Typ"/>
    <n v="1"/>
    <s v="Gd"/>
    <s v="Attchd"/>
    <n v="2004"/>
    <s v="RFn"/>
    <n v="2"/>
    <n v="636"/>
    <s v="TA"/>
    <s v="TA"/>
    <s v="Y"/>
    <n v="255"/>
    <n v="57"/>
    <n v="0"/>
    <n v="0"/>
    <n v="0"/>
    <n v="0"/>
    <s v="NA"/>
    <s v="NA"/>
    <s v="NA"/>
    <n v="0"/>
    <n v="8"/>
    <n v="2007"/>
    <s v="WD"/>
    <s v="Normal"/>
    <n v="307000"/>
  </r>
  <r>
    <n v="8"/>
    <n v="60"/>
    <s v="RL"/>
    <s v="NA"/>
    <n v="10382"/>
    <s v="Pave"/>
    <s v="NA"/>
    <s v="IR1"/>
    <s v="Lvl"/>
    <s v="AllPub"/>
    <s v="Corner"/>
    <s v="Gtl"/>
    <x v="6"/>
    <x v="2"/>
    <s v="Norm"/>
    <x v="0"/>
    <x v="0"/>
    <n v="7"/>
    <n v="6"/>
    <x v="7"/>
    <n v="1973"/>
    <s v="Gable"/>
    <s v="CompShg"/>
    <s v="HdBoard"/>
    <s v="HdBoard"/>
    <s v="Stone"/>
    <n v="240"/>
    <s v="TA"/>
    <s v="TA"/>
    <s v="CBlock"/>
    <s v="Gd"/>
    <s v="TA"/>
    <s v="Mn"/>
    <s v="ALQ"/>
    <n v="859"/>
    <s v="BLQ"/>
    <n v="32"/>
    <n v="216"/>
    <n v="1107"/>
    <s v="GasA"/>
    <s v="Ex"/>
    <s v="Y"/>
    <s v="SBrkr"/>
    <n v="1107"/>
    <n v="983"/>
    <n v="0"/>
    <x v="7"/>
    <n v="1"/>
    <n v="0"/>
    <n v="2"/>
    <n v="1"/>
    <n v="3"/>
    <n v="1"/>
    <s v="TA"/>
    <n v="7"/>
    <s v="Typ"/>
    <n v="2"/>
    <s v="TA"/>
    <s v="Attchd"/>
    <n v="1973"/>
    <s v="RFn"/>
    <n v="2"/>
    <n v="484"/>
    <s v="TA"/>
    <s v="TA"/>
    <s v="Y"/>
    <n v="235"/>
    <n v="204"/>
    <n v="228"/>
    <n v="0"/>
    <n v="0"/>
    <n v="0"/>
    <s v="NA"/>
    <s v="NA"/>
    <s v="Shed"/>
    <n v="350"/>
    <n v="11"/>
    <n v="2009"/>
    <s v="WD"/>
    <s v="Normal"/>
    <n v="200000"/>
  </r>
  <r>
    <n v="9"/>
    <n v="50"/>
    <s v="RM"/>
    <n v="51"/>
    <n v="6120"/>
    <s v="Pave"/>
    <s v="NA"/>
    <s v="Reg"/>
    <s v="Lvl"/>
    <s v="AllPub"/>
    <s v="Inside"/>
    <s v="Gtl"/>
    <x v="7"/>
    <x v="3"/>
    <s v="Norm"/>
    <x v="0"/>
    <x v="2"/>
    <n v="7"/>
    <n v="5"/>
    <x v="8"/>
    <n v="1950"/>
    <s v="Gable"/>
    <s v="CompShg"/>
    <s v="BrkFace"/>
    <s v="Wd Shng"/>
    <s v="None"/>
    <n v="0"/>
    <s v="TA"/>
    <s v="TA"/>
    <s v="BrkTil"/>
    <s v="TA"/>
    <s v="TA"/>
    <s v="No"/>
    <s v="Unf"/>
    <n v="0"/>
    <s v="Unf"/>
    <n v="0"/>
    <n v="952"/>
    <n v="952"/>
    <s v="GasA"/>
    <s v="Gd"/>
    <s v="Y"/>
    <s v="FuseF"/>
    <n v="1022"/>
    <n v="752"/>
    <n v="0"/>
    <x v="8"/>
    <n v="0"/>
    <n v="0"/>
    <n v="2"/>
    <n v="0"/>
    <n v="2"/>
    <n v="2"/>
    <s v="TA"/>
    <n v="8"/>
    <s v="Min1"/>
    <n v="2"/>
    <s v="TA"/>
    <s v="Detchd"/>
    <n v="1931"/>
    <s v="Unf"/>
    <n v="2"/>
    <n v="468"/>
    <s v="Fa"/>
    <s v="TA"/>
    <s v="Y"/>
    <n v="90"/>
    <n v="0"/>
    <n v="205"/>
    <n v="0"/>
    <n v="0"/>
    <n v="0"/>
    <s v="NA"/>
    <s v="NA"/>
    <s v="NA"/>
    <n v="0"/>
    <n v="4"/>
    <n v="2008"/>
    <s v="WD"/>
    <s v="Abnorml"/>
    <n v="129900"/>
  </r>
  <r>
    <n v="10"/>
    <n v="190"/>
    <s v="RL"/>
    <n v="50"/>
    <n v="7420"/>
    <s v="Pave"/>
    <s v="NA"/>
    <s v="Reg"/>
    <s v="Lvl"/>
    <s v="AllPub"/>
    <s v="Corner"/>
    <s v="Gtl"/>
    <x v="8"/>
    <x v="3"/>
    <s v="Artery"/>
    <x v="1"/>
    <x v="3"/>
    <n v="5"/>
    <n v="6"/>
    <x v="9"/>
    <n v="1950"/>
    <s v="Gable"/>
    <s v="CompShg"/>
    <s v="MetalSd"/>
    <s v="MetalSd"/>
    <s v="None"/>
    <n v="0"/>
    <s v="TA"/>
    <s v="TA"/>
    <s v="BrkTil"/>
    <s v="TA"/>
    <s v="TA"/>
    <s v="No"/>
    <s v="GLQ"/>
    <n v="851"/>
    <s v="Unf"/>
    <n v="0"/>
    <n v="140"/>
    <n v="991"/>
    <s v="GasA"/>
    <s v="Ex"/>
    <s v="Y"/>
    <s v="SBrkr"/>
    <n v="1077"/>
    <n v="0"/>
    <n v="0"/>
    <x v="9"/>
    <n v="1"/>
    <n v="0"/>
    <n v="1"/>
    <n v="0"/>
    <n v="2"/>
    <n v="2"/>
    <s v="TA"/>
    <n v="5"/>
    <s v="Typ"/>
    <n v="2"/>
    <s v="TA"/>
    <s v="Attchd"/>
    <n v="1939"/>
    <s v="RFn"/>
    <n v="1"/>
    <n v="205"/>
    <s v="Gd"/>
    <s v="TA"/>
    <s v="Y"/>
    <n v="0"/>
    <n v="4"/>
    <n v="0"/>
    <n v="0"/>
    <n v="0"/>
    <n v="0"/>
    <s v="NA"/>
    <s v="NA"/>
    <s v="NA"/>
    <n v="0"/>
    <n v="1"/>
    <n v="2008"/>
    <s v="WD"/>
    <s v="Normal"/>
    <n v="118000"/>
  </r>
  <r>
    <n v="11"/>
    <n v="20"/>
    <s v="RL"/>
    <n v="70"/>
    <n v="11200"/>
    <s v="Pave"/>
    <s v="NA"/>
    <s v="Reg"/>
    <s v="Lvl"/>
    <s v="AllPub"/>
    <s v="Inside"/>
    <s v="Gtl"/>
    <x v="9"/>
    <x v="0"/>
    <s v="Norm"/>
    <x v="0"/>
    <x v="1"/>
    <n v="5"/>
    <n v="5"/>
    <x v="10"/>
    <n v="1965"/>
    <s v="Hip"/>
    <s v="CompShg"/>
    <s v="HdBoard"/>
    <s v="HdBoard"/>
    <s v="None"/>
    <n v="0"/>
    <s v="TA"/>
    <s v="TA"/>
    <s v="CBlock"/>
    <s v="TA"/>
    <s v="TA"/>
    <s v="No"/>
    <s v="Rec"/>
    <n v="906"/>
    <s v="Unf"/>
    <n v="0"/>
    <n v="134"/>
    <n v="1040"/>
    <s v="GasA"/>
    <s v="Ex"/>
    <s v="Y"/>
    <s v="SBrkr"/>
    <n v="1040"/>
    <n v="0"/>
    <n v="0"/>
    <x v="10"/>
    <n v="1"/>
    <n v="0"/>
    <n v="1"/>
    <n v="0"/>
    <n v="3"/>
    <n v="1"/>
    <s v="TA"/>
    <n v="5"/>
    <s v="Typ"/>
    <n v="0"/>
    <s v="NA"/>
    <s v="Detchd"/>
    <n v="1965"/>
    <s v="Unf"/>
    <n v="1"/>
    <n v="384"/>
    <s v="TA"/>
    <s v="TA"/>
    <s v="Y"/>
    <n v="0"/>
    <n v="0"/>
    <n v="0"/>
    <n v="0"/>
    <n v="0"/>
    <n v="0"/>
    <s v="NA"/>
    <s v="NA"/>
    <s v="NA"/>
    <n v="0"/>
    <n v="2"/>
    <n v="2008"/>
    <s v="WD"/>
    <s v="Normal"/>
    <n v="129500"/>
  </r>
  <r>
    <n v="12"/>
    <n v="60"/>
    <s v="RL"/>
    <n v="85"/>
    <n v="11924"/>
    <s v="Pave"/>
    <s v="NA"/>
    <s v="IR1"/>
    <s v="Lvl"/>
    <s v="AllPub"/>
    <s v="Inside"/>
    <s v="Gtl"/>
    <x v="10"/>
    <x v="0"/>
    <s v="Norm"/>
    <x v="0"/>
    <x v="0"/>
    <n v="9"/>
    <n v="5"/>
    <x v="11"/>
    <n v="2006"/>
    <s v="Hip"/>
    <s v="CompShg"/>
    <s v="WdShing"/>
    <s v="Wd Shng"/>
    <s v="Stone"/>
    <n v="286"/>
    <s v="Ex"/>
    <s v="TA"/>
    <s v="PConc"/>
    <s v="Ex"/>
    <s v="TA"/>
    <s v="No"/>
    <s v="GLQ"/>
    <n v="998"/>
    <s v="Unf"/>
    <n v="0"/>
    <n v="177"/>
    <n v="1175"/>
    <s v="GasA"/>
    <s v="Ex"/>
    <s v="Y"/>
    <s v="SBrkr"/>
    <n v="1182"/>
    <n v="1142"/>
    <n v="0"/>
    <x v="11"/>
    <n v="1"/>
    <n v="0"/>
    <n v="3"/>
    <n v="0"/>
    <n v="4"/>
    <n v="1"/>
    <s v="Ex"/>
    <n v="11"/>
    <s v="Typ"/>
    <n v="2"/>
    <s v="Gd"/>
    <s v="BuiltIn"/>
    <n v="2005"/>
    <s v="Fin"/>
    <n v="3"/>
    <n v="736"/>
    <s v="TA"/>
    <s v="TA"/>
    <s v="Y"/>
    <n v="147"/>
    <n v="21"/>
    <n v="0"/>
    <n v="0"/>
    <n v="0"/>
    <n v="0"/>
    <s v="NA"/>
    <s v="NA"/>
    <s v="NA"/>
    <n v="0"/>
    <n v="7"/>
    <n v="2006"/>
    <s v="New"/>
    <s v="Partial"/>
    <n v="345000"/>
  </r>
  <r>
    <n v="13"/>
    <n v="20"/>
    <s v="RL"/>
    <s v="NA"/>
    <n v="12968"/>
    <s v="Pave"/>
    <s v="NA"/>
    <s v="IR2"/>
    <s v="Lvl"/>
    <s v="AllPub"/>
    <s v="Inside"/>
    <s v="Gtl"/>
    <x v="9"/>
    <x v="0"/>
    <s v="Norm"/>
    <x v="0"/>
    <x v="1"/>
    <n v="5"/>
    <n v="6"/>
    <x v="12"/>
    <n v="1962"/>
    <s v="Hip"/>
    <s v="CompShg"/>
    <s v="HdBoard"/>
    <s v="Plywood"/>
    <s v="None"/>
    <n v="0"/>
    <s v="TA"/>
    <s v="TA"/>
    <s v="CBlock"/>
    <s v="TA"/>
    <s v="TA"/>
    <s v="No"/>
    <s v="ALQ"/>
    <n v="737"/>
    <s v="Unf"/>
    <n v="0"/>
    <n v="175"/>
    <n v="912"/>
    <s v="GasA"/>
    <s v="TA"/>
    <s v="Y"/>
    <s v="SBrkr"/>
    <n v="912"/>
    <n v="0"/>
    <n v="0"/>
    <x v="12"/>
    <n v="1"/>
    <n v="0"/>
    <n v="1"/>
    <n v="0"/>
    <n v="2"/>
    <n v="1"/>
    <s v="TA"/>
    <n v="4"/>
    <s v="Typ"/>
    <n v="0"/>
    <s v="NA"/>
    <s v="Detchd"/>
    <n v="1962"/>
    <s v="Unf"/>
    <n v="1"/>
    <n v="352"/>
    <s v="TA"/>
    <s v="TA"/>
    <s v="Y"/>
    <n v="140"/>
    <n v="0"/>
    <n v="0"/>
    <n v="0"/>
    <n v="176"/>
    <n v="0"/>
    <s v="NA"/>
    <s v="NA"/>
    <s v="NA"/>
    <n v="0"/>
    <n v="9"/>
    <n v="2008"/>
    <s v="WD"/>
    <s v="Normal"/>
    <n v="144000"/>
  </r>
  <r>
    <n v="14"/>
    <n v="20"/>
    <s v="RL"/>
    <n v="91"/>
    <n v="10652"/>
    <s v="Pave"/>
    <s v="NA"/>
    <s v="IR1"/>
    <s v="Lvl"/>
    <s v="AllPub"/>
    <s v="Inside"/>
    <s v="Gtl"/>
    <x v="0"/>
    <x v="0"/>
    <s v="Norm"/>
    <x v="0"/>
    <x v="1"/>
    <n v="7"/>
    <n v="5"/>
    <x v="13"/>
    <n v="2007"/>
    <s v="Gable"/>
    <s v="CompShg"/>
    <s v="VinylSd"/>
    <s v="VinylSd"/>
    <s v="Stone"/>
    <n v="306"/>
    <s v="Gd"/>
    <s v="TA"/>
    <s v="PConc"/>
    <s v="Gd"/>
    <s v="TA"/>
    <s v="Av"/>
    <s v="Unf"/>
    <n v="0"/>
    <s v="Unf"/>
    <n v="0"/>
    <n v="1494"/>
    <n v="1494"/>
    <s v="GasA"/>
    <s v="Ex"/>
    <s v="Y"/>
    <s v="SBrkr"/>
    <n v="1494"/>
    <n v="0"/>
    <n v="0"/>
    <x v="13"/>
    <n v="0"/>
    <n v="0"/>
    <n v="2"/>
    <n v="0"/>
    <n v="3"/>
    <n v="1"/>
    <s v="Gd"/>
    <n v="7"/>
    <s v="Typ"/>
    <n v="1"/>
    <s v="Gd"/>
    <s v="Attchd"/>
    <n v="2006"/>
    <s v="RFn"/>
    <n v="3"/>
    <n v="840"/>
    <s v="TA"/>
    <s v="TA"/>
    <s v="Y"/>
    <n v="160"/>
    <n v="33"/>
    <n v="0"/>
    <n v="0"/>
    <n v="0"/>
    <n v="0"/>
    <s v="NA"/>
    <s v="NA"/>
    <s v="NA"/>
    <n v="0"/>
    <n v="8"/>
    <n v="2007"/>
    <s v="New"/>
    <s v="Partial"/>
    <n v="279500"/>
  </r>
  <r>
    <n v="15"/>
    <n v="20"/>
    <s v="RL"/>
    <s v="NA"/>
    <n v="10920"/>
    <s v="Pave"/>
    <s v="NA"/>
    <s v="IR1"/>
    <s v="Lvl"/>
    <s v="AllPub"/>
    <s v="Corner"/>
    <s v="Gtl"/>
    <x v="11"/>
    <x v="0"/>
    <s v="Norm"/>
    <x v="0"/>
    <x v="1"/>
    <n v="6"/>
    <n v="5"/>
    <x v="14"/>
    <n v="1960"/>
    <s v="Hip"/>
    <s v="CompShg"/>
    <s v="MetalSd"/>
    <s v="MetalSd"/>
    <s v="BrkFace"/>
    <n v="212"/>
    <s v="TA"/>
    <s v="TA"/>
    <s v="CBlock"/>
    <s v="TA"/>
    <s v="TA"/>
    <s v="No"/>
    <s v="BLQ"/>
    <n v="733"/>
    <s v="Unf"/>
    <n v="0"/>
    <n v="520"/>
    <n v="1253"/>
    <s v="GasA"/>
    <s v="TA"/>
    <s v="Y"/>
    <s v="SBrkr"/>
    <n v="1253"/>
    <n v="0"/>
    <n v="0"/>
    <x v="14"/>
    <n v="1"/>
    <n v="0"/>
    <n v="1"/>
    <n v="1"/>
    <n v="2"/>
    <n v="1"/>
    <s v="TA"/>
    <n v="5"/>
    <s v="Typ"/>
    <n v="1"/>
    <s v="Fa"/>
    <s v="Attchd"/>
    <n v="1960"/>
    <s v="RFn"/>
    <n v="1"/>
    <n v="352"/>
    <s v="TA"/>
    <s v="TA"/>
    <s v="Y"/>
    <n v="0"/>
    <n v="213"/>
    <n v="176"/>
    <n v="0"/>
    <n v="0"/>
    <n v="0"/>
    <s v="NA"/>
    <s v="GdWo"/>
    <s v="NA"/>
    <n v="0"/>
    <n v="5"/>
    <n v="2008"/>
    <s v="WD"/>
    <s v="Normal"/>
    <n v="157000"/>
  </r>
  <r>
    <n v="16"/>
    <n v="45"/>
    <s v="RM"/>
    <n v="51"/>
    <n v="6120"/>
    <s v="Pave"/>
    <s v="NA"/>
    <s v="Reg"/>
    <s v="Lvl"/>
    <s v="AllPub"/>
    <s v="Corner"/>
    <s v="Gtl"/>
    <x v="8"/>
    <x v="0"/>
    <s v="Norm"/>
    <x v="0"/>
    <x v="3"/>
    <n v="7"/>
    <n v="8"/>
    <x v="15"/>
    <n v="2001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832"/>
    <n v="832"/>
    <s v="GasA"/>
    <s v="Ex"/>
    <s v="Y"/>
    <s v="FuseA"/>
    <n v="854"/>
    <n v="0"/>
    <n v="0"/>
    <x v="15"/>
    <n v="0"/>
    <n v="0"/>
    <n v="1"/>
    <n v="0"/>
    <n v="2"/>
    <n v="1"/>
    <s v="TA"/>
    <n v="5"/>
    <s v="Typ"/>
    <n v="0"/>
    <s v="NA"/>
    <s v="Detchd"/>
    <n v="1991"/>
    <s v="Unf"/>
    <n v="2"/>
    <n v="576"/>
    <s v="TA"/>
    <s v="TA"/>
    <s v="Y"/>
    <n v="48"/>
    <n v="112"/>
    <n v="0"/>
    <n v="0"/>
    <n v="0"/>
    <n v="0"/>
    <s v="NA"/>
    <s v="GdPrv"/>
    <s v="NA"/>
    <n v="0"/>
    <n v="7"/>
    <n v="2007"/>
    <s v="WD"/>
    <s v="Normal"/>
    <n v="132000"/>
  </r>
  <r>
    <n v="17"/>
    <n v="20"/>
    <s v="RL"/>
    <s v="NA"/>
    <n v="11241"/>
    <s v="Pave"/>
    <s v="NA"/>
    <s v="IR1"/>
    <s v="Lvl"/>
    <s v="AllPub"/>
    <s v="CulDSac"/>
    <s v="Gtl"/>
    <x v="11"/>
    <x v="0"/>
    <s v="Norm"/>
    <x v="0"/>
    <x v="1"/>
    <n v="6"/>
    <n v="7"/>
    <x v="16"/>
    <n v="1970"/>
    <s v="Gable"/>
    <s v="CompShg"/>
    <s v="Wd Sdng"/>
    <s v="Wd Sdng"/>
    <s v="BrkFace"/>
    <n v="180"/>
    <s v="TA"/>
    <s v="TA"/>
    <s v="CBlock"/>
    <s v="TA"/>
    <s v="TA"/>
    <s v="No"/>
    <s v="ALQ"/>
    <n v="578"/>
    <s v="Unf"/>
    <n v="0"/>
    <n v="426"/>
    <n v="1004"/>
    <s v="GasA"/>
    <s v="Ex"/>
    <s v="Y"/>
    <s v="SBrkr"/>
    <n v="1004"/>
    <n v="0"/>
    <n v="0"/>
    <x v="16"/>
    <n v="1"/>
    <n v="0"/>
    <n v="1"/>
    <n v="0"/>
    <n v="2"/>
    <n v="1"/>
    <s v="TA"/>
    <n v="5"/>
    <s v="Typ"/>
    <n v="1"/>
    <s v="TA"/>
    <s v="Attchd"/>
    <n v="1970"/>
    <s v="Fin"/>
    <n v="2"/>
    <n v="480"/>
    <s v="TA"/>
    <s v="TA"/>
    <s v="Y"/>
    <n v="0"/>
    <n v="0"/>
    <n v="0"/>
    <n v="0"/>
    <n v="0"/>
    <n v="0"/>
    <s v="NA"/>
    <s v="NA"/>
    <s v="Shed"/>
    <n v="700"/>
    <n v="3"/>
    <n v="2010"/>
    <s v="WD"/>
    <s v="Normal"/>
    <n v="149000"/>
  </r>
  <r>
    <n v="18"/>
    <n v="90"/>
    <s v="RL"/>
    <n v="72"/>
    <n v="10791"/>
    <s v="Pave"/>
    <s v="NA"/>
    <s v="Reg"/>
    <s v="Lvl"/>
    <s v="AllPub"/>
    <s v="Inside"/>
    <s v="Gtl"/>
    <x v="9"/>
    <x v="0"/>
    <s v="Norm"/>
    <x v="2"/>
    <x v="1"/>
    <n v="4"/>
    <n v="5"/>
    <x v="17"/>
    <n v="1967"/>
    <s v="Gable"/>
    <s v="CompShg"/>
    <s v="MetalSd"/>
    <s v="MetalS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296"/>
    <n v="0"/>
    <n v="0"/>
    <x v="17"/>
    <n v="0"/>
    <n v="0"/>
    <n v="2"/>
    <n v="0"/>
    <n v="2"/>
    <n v="2"/>
    <s v="TA"/>
    <n v="6"/>
    <s v="Typ"/>
    <n v="0"/>
    <s v="NA"/>
    <s v="CarPort"/>
    <n v="1967"/>
    <s v="Unf"/>
    <n v="2"/>
    <n v="516"/>
    <s v="TA"/>
    <s v="TA"/>
    <s v="Y"/>
    <n v="0"/>
    <n v="0"/>
    <n v="0"/>
    <n v="0"/>
    <n v="0"/>
    <n v="0"/>
    <s v="NA"/>
    <s v="NA"/>
    <s v="Shed"/>
    <n v="500"/>
    <n v="10"/>
    <n v="2006"/>
    <s v="WD"/>
    <s v="Normal"/>
    <n v="90000"/>
  </r>
  <r>
    <n v="19"/>
    <n v="20"/>
    <s v="RL"/>
    <n v="66"/>
    <n v="13695"/>
    <s v="Pave"/>
    <s v="NA"/>
    <s v="Reg"/>
    <s v="Lvl"/>
    <s v="AllPub"/>
    <s v="Inside"/>
    <s v="Gtl"/>
    <x v="12"/>
    <x v="4"/>
    <s v="Norm"/>
    <x v="0"/>
    <x v="1"/>
    <n v="5"/>
    <n v="5"/>
    <x v="6"/>
    <n v="2004"/>
    <s v="Gable"/>
    <s v="CompShg"/>
    <s v="VinylSd"/>
    <s v="VinylSd"/>
    <s v="None"/>
    <n v="0"/>
    <s v="TA"/>
    <s v="TA"/>
    <s v="PConc"/>
    <s v="TA"/>
    <s v="TA"/>
    <s v="No"/>
    <s v="GLQ"/>
    <n v="646"/>
    <s v="Unf"/>
    <n v="0"/>
    <n v="468"/>
    <n v="1114"/>
    <s v="GasA"/>
    <s v="Ex"/>
    <s v="Y"/>
    <s v="SBrkr"/>
    <n v="1114"/>
    <n v="0"/>
    <n v="0"/>
    <x v="18"/>
    <n v="1"/>
    <n v="0"/>
    <n v="1"/>
    <n v="1"/>
    <n v="3"/>
    <n v="1"/>
    <s v="Gd"/>
    <n v="6"/>
    <s v="Typ"/>
    <n v="0"/>
    <s v="NA"/>
    <s v="Detchd"/>
    <n v="2004"/>
    <s v="Unf"/>
    <n v="2"/>
    <n v="576"/>
    <s v="TA"/>
    <s v="TA"/>
    <s v="Y"/>
    <n v="0"/>
    <n v="102"/>
    <n v="0"/>
    <n v="0"/>
    <n v="0"/>
    <n v="0"/>
    <s v="NA"/>
    <s v="NA"/>
    <s v="NA"/>
    <n v="0"/>
    <n v="6"/>
    <n v="2008"/>
    <s v="WD"/>
    <s v="Normal"/>
    <n v="159000"/>
  </r>
  <r>
    <n v="20"/>
    <n v="20"/>
    <s v="RL"/>
    <n v="70"/>
    <n v="7560"/>
    <s v="Pave"/>
    <s v="NA"/>
    <s v="Reg"/>
    <s v="Lvl"/>
    <s v="AllPub"/>
    <s v="Inside"/>
    <s v="Gtl"/>
    <x v="11"/>
    <x v="0"/>
    <s v="Norm"/>
    <x v="0"/>
    <x v="1"/>
    <n v="5"/>
    <n v="6"/>
    <x v="18"/>
    <n v="1965"/>
    <s v="Hip"/>
    <s v="CompShg"/>
    <s v="BrkFace"/>
    <s v="Plywood"/>
    <s v="None"/>
    <n v="0"/>
    <s v="TA"/>
    <s v="TA"/>
    <s v="CBlock"/>
    <s v="TA"/>
    <s v="TA"/>
    <s v="No"/>
    <s v="LwQ"/>
    <n v="504"/>
    <s v="Unf"/>
    <n v="0"/>
    <n v="525"/>
    <n v="1029"/>
    <s v="GasA"/>
    <s v="TA"/>
    <s v="Y"/>
    <s v="SBrkr"/>
    <n v="1339"/>
    <n v="0"/>
    <n v="0"/>
    <x v="19"/>
    <n v="0"/>
    <n v="0"/>
    <n v="1"/>
    <n v="0"/>
    <n v="3"/>
    <n v="1"/>
    <s v="TA"/>
    <n v="6"/>
    <s v="Min1"/>
    <n v="0"/>
    <s v="NA"/>
    <s v="Attchd"/>
    <n v="1958"/>
    <s v="Unf"/>
    <n v="1"/>
    <n v="294"/>
    <s v="TA"/>
    <s v="TA"/>
    <s v="Y"/>
    <n v="0"/>
    <n v="0"/>
    <n v="0"/>
    <n v="0"/>
    <n v="0"/>
    <n v="0"/>
    <s v="NA"/>
    <s v="MnPrv"/>
    <s v="NA"/>
    <n v="0"/>
    <n v="5"/>
    <n v="2009"/>
    <s v="COD"/>
    <s v="Abnorml"/>
    <n v="139000"/>
  </r>
  <r>
    <n v="21"/>
    <n v="60"/>
    <s v="RL"/>
    <n v="101"/>
    <n v="14215"/>
    <s v="Pave"/>
    <s v="NA"/>
    <s v="IR1"/>
    <s v="Lvl"/>
    <s v="AllPub"/>
    <s v="Corner"/>
    <s v="Gtl"/>
    <x v="10"/>
    <x v="0"/>
    <s v="Norm"/>
    <x v="0"/>
    <x v="0"/>
    <n v="8"/>
    <n v="5"/>
    <x v="11"/>
    <n v="2006"/>
    <s v="Gable"/>
    <s v="CompShg"/>
    <s v="VinylSd"/>
    <s v="VinylSd"/>
    <s v="BrkFace"/>
    <n v="380"/>
    <s v="Gd"/>
    <s v="TA"/>
    <s v="PConc"/>
    <s v="Ex"/>
    <s v="TA"/>
    <s v="Av"/>
    <s v="Unf"/>
    <n v="0"/>
    <s v="Unf"/>
    <n v="0"/>
    <n v="1158"/>
    <n v="1158"/>
    <s v="GasA"/>
    <s v="Ex"/>
    <s v="Y"/>
    <s v="SBrkr"/>
    <n v="1158"/>
    <n v="1218"/>
    <n v="0"/>
    <x v="20"/>
    <n v="0"/>
    <n v="0"/>
    <n v="3"/>
    <n v="1"/>
    <n v="4"/>
    <n v="1"/>
    <s v="Gd"/>
    <n v="9"/>
    <s v="Typ"/>
    <n v="1"/>
    <s v="Gd"/>
    <s v="BuiltIn"/>
    <n v="2005"/>
    <s v="RFn"/>
    <n v="3"/>
    <n v="853"/>
    <s v="TA"/>
    <s v="TA"/>
    <s v="Y"/>
    <n v="240"/>
    <n v="154"/>
    <n v="0"/>
    <n v="0"/>
    <n v="0"/>
    <n v="0"/>
    <s v="NA"/>
    <s v="NA"/>
    <s v="NA"/>
    <n v="0"/>
    <n v="11"/>
    <n v="2006"/>
    <s v="New"/>
    <s v="Partial"/>
    <n v="325300"/>
  </r>
  <r>
    <n v="22"/>
    <n v="45"/>
    <s v="RM"/>
    <n v="57"/>
    <n v="7449"/>
    <s v="Pave"/>
    <s v="Grvl"/>
    <s v="Reg"/>
    <s v="Bnk"/>
    <s v="AllPub"/>
    <s v="Inside"/>
    <s v="Gtl"/>
    <x v="13"/>
    <x v="0"/>
    <s v="Norm"/>
    <x v="0"/>
    <x v="3"/>
    <n v="7"/>
    <n v="7"/>
    <x v="19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37"/>
    <n v="637"/>
    <s v="GasA"/>
    <s v="Ex"/>
    <s v="Y"/>
    <s v="FuseF"/>
    <n v="1108"/>
    <n v="0"/>
    <n v="0"/>
    <x v="21"/>
    <n v="0"/>
    <n v="0"/>
    <n v="1"/>
    <n v="0"/>
    <n v="3"/>
    <n v="1"/>
    <s v="Gd"/>
    <n v="6"/>
    <s v="Typ"/>
    <n v="1"/>
    <s v="Gd"/>
    <s v="Attchd"/>
    <n v="1930"/>
    <s v="Unf"/>
    <n v="1"/>
    <n v="280"/>
    <s v="TA"/>
    <s v="TA"/>
    <s v="N"/>
    <n v="0"/>
    <n v="0"/>
    <n v="205"/>
    <n v="0"/>
    <n v="0"/>
    <n v="0"/>
    <s v="NA"/>
    <s v="GdPrv"/>
    <s v="NA"/>
    <n v="0"/>
    <n v="6"/>
    <n v="2007"/>
    <s v="WD"/>
    <s v="Normal"/>
    <n v="139400"/>
  </r>
  <r>
    <n v="23"/>
    <n v="20"/>
    <s v="RL"/>
    <n v="75"/>
    <n v="9742"/>
    <s v="Pave"/>
    <s v="NA"/>
    <s v="Reg"/>
    <s v="Lvl"/>
    <s v="AllPub"/>
    <s v="Inside"/>
    <s v="Gtl"/>
    <x v="0"/>
    <x v="0"/>
    <s v="Norm"/>
    <x v="0"/>
    <x v="1"/>
    <n v="8"/>
    <n v="5"/>
    <x v="20"/>
    <n v="2002"/>
    <s v="Hip"/>
    <s v="CompShg"/>
    <s v="VinylSd"/>
    <s v="VinylSd"/>
    <s v="BrkFace"/>
    <n v="281"/>
    <s v="Gd"/>
    <s v="TA"/>
    <s v="PConc"/>
    <s v="Gd"/>
    <s v="TA"/>
    <s v="No"/>
    <s v="Unf"/>
    <n v="0"/>
    <s v="Unf"/>
    <n v="0"/>
    <n v="1777"/>
    <n v="1777"/>
    <s v="GasA"/>
    <s v="Ex"/>
    <s v="Y"/>
    <s v="SBrkr"/>
    <n v="1795"/>
    <n v="0"/>
    <n v="0"/>
    <x v="22"/>
    <n v="0"/>
    <n v="0"/>
    <n v="2"/>
    <n v="0"/>
    <n v="3"/>
    <n v="1"/>
    <s v="Gd"/>
    <n v="7"/>
    <s v="Typ"/>
    <n v="1"/>
    <s v="Gd"/>
    <s v="Attchd"/>
    <n v="2002"/>
    <s v="RFn"/>
    <n v="2"/>
    <n v="534"/>
    <s v="TA"/>
    <s v="TA"/>
    <s v="Y"/>
    <n v="171"/>
    <n v="159"/>
    <n v="0"/>
    <n v="0"/>
    <n v="0"/>
    <n v="0"/>
    <s v="NA"/>
    <s v="NA"/>
    <s v="NA"/>
    <n v="0"/>
    <n v="9"/>
    <n v="2008"/>
    <s v="WD"/>
    <s v="Normal"/>
    <n v="230000"/>
  </r>
  <r>
    <n v="24"/>
    <n v="120"/>
    <s v="RM"/>
    <n v="44"/>
    <n v="4224"/>
    <s v="Pave"/>
    <s v="NA"/>
    <s v="Reg"/>
    <s v="Lvl"/>
    <s v="AllPub"/>
    <s v="Inside"/>
    <s v="Gtl"/>
    <x v="14"/>
    <x v="0"/>
    <s v="Norm"/>
    <x v="3"/>
    <x v="1"/>
    <n v="5"/>
    <n v="7"/>
    <x v="1"/>
    <n v="1976"/>
    <s v="Gable"/>
    <s v="CompShg"/>
    <s v="CemntBd"/>
    <s v="CmentBd"/>
    <s v="None"/>
    <n v="0"/>
    <s v="TA"/>
    <s v="TA"/>
    <s v="PConc"/>
    <s v="Gd"/>
    <s v="TA"/>
    <s v="No"/>
    <s v="GLQ"/>
    <n v="840"/>
    <s v="Unf"/>
    <n v="0"/>
    <n v="200"/>
    <n v="1040"/>
    <s v="GasA"/>
    <s v="TA"/>
    <s v="Y"/>
    <s v="SBrkr"/>
    <n v="1060"/>
    <n v="0"/>
    <n v="0"/>
    <x v="23"/>
    <n v="1"/>
    <n v="0"/>
    <n v="1"/>
    <n v="0"/>
    <n v="3"/>
    <n v="1"/>
    <s v="TA"/>
    <n v="6"/>
    <s v="Typ"/>
    <n v="1"/>
    <s v="TA"/>
    <s v="Attchd"/>
    <n v="1976"/>
    <s v="Unf"/>
    <n v="2"/>
    <n v="572"/>
    <s v="TA"/>
    <s v="TA"/>
    <s v="Y"/>
    <n v="100"/>
    <n v="110"/>
    <n v="0"/>
    <n v="0"/>
    <n v="0"/>
    <n v="0"/>
    <s v="NA"/>
    <s v="NA"/>
    <s v="NA"/>
    <n v="0"/>
    <n v="6"/>
    <n v="2007"/>
    <s v="WD"/>
    <s v="Normal"/>
    <n v="129900"/>
  </r>
  <r>
    <n v="25"/>
    <n v="20"/>
    <s v="RL"/>
    <s v="NA"/>
    <n v="8246"/>
    <s v="Pave"/>
    <s v="NA"/>
    <s v="IR1"/>
    <s v="Lvl"/>
    <s v="AllPub"/>
    <s v="Inside"/>
    <s v="Gtl"/>
    <x v="9"/>
    <x v="0"/>
    <s v="Norm"/>
    <x v="0"/>
    <x v="1"/>
    <n v="5"/>
    <n v="8"/>
    <x v="21"/>
    <n v="2001"/>
    <s v="Gable"/>
    <s v="CompShg"/>
    <s v="Plywood"/>
    <s v="Plywood"/>
    <s v="None"/>
    <n v="0"/>
    <s v="TA"/>
    <s v="Gd"/>
    <s v="CBlock"/>
    <s v="TA"/>
    <s v="TA"/>
    <s v="Mn"/>
    <s v="Rec"/>
    <n v="188"/>
    <s v="ALQ"/>
    <n v="668"/>
    <n v="204"/>
    <n v="1060"/>
    <s v="GasA"/>
    <s v="Ex"/>
    <s v="Y"/>
    <s v="SBrkr"/>
    <n v="1060"/>
    <n v="0"/>
    <n v="0"/>
    <x v="23"/>
    <n v="1"/>
    <n v="0"/>
    <n v="1"/>
    <n v="0"/>
    <n v="3"/>
    <n v="1"/>
    <s v="Gd"/>
    <n v="6"/>
    <s v="Typ"/>
    <n v="1"/>
    <s v="TA"/>
    <s v="Attchd"/>
    <n v="1968"/>
    <s v="Unf"/>
    <n v="1"/>
    <n v="270"/>
    <s v="TA"/>
    <s v="TA"/>
    <s v="Y"/>
    <n v="406"/>
    <n v="90"/>
    <n v="0"/>
    <n v="0"/>
    <n v="0"/>
    <n v="0"/>
    <s v="NA"/>
    <s v="MnPrv"/>
    <s v="NA"/>
    <n v="0"/>
    <n v="5"/>
    <n v="2010"/>
    <s v="WD"/>
    <s v="Normal"/>
    <n v="154000"/>
  </r>
  <r>
    <n v="26"/>
    <n v="20"/>
    <s v="RL"/>
    <n v="110"/>
    <n v="14230"/>
    <s v="Pave"/>
    <s v="NA"/>
    <s v="Reg"/>
    <s v="Lvl"/>
    <s v="AllPub"/>
    <s v="Corner"/>
    <s v="Gtl"/>
    <x v="10"/>
    <x v="0"/>
    <s v="Norm"/>
    <x v="0"/>
    <x v="1"/>
    <n v="8"/>
    <n v="5"/>
    <x v="22"/>
    <n v="2007"/>
    <s v="Gable"/>
    <s v="CompShg"/>
    <s v="VinylSd"/>
    <s v="VinylSd"/>
    <s v="Stone"/>
    <n v="640"/>
    <s v="Gd"/>
    <s v="TA"/>
    <s v="PConc"/>
    <s v="Gd"/>
    <s v="TA"/>
    <s v="No"/>
    <s v="Unf"/>
    <n v="0"/>
    <s v="Unf"/>
    <n v="0"/>
    <n v="1566"/>
    <n v="1566"/>
    <s v="GasA"/>
    <s v="Ex"/>
    <s v="Y"/>
    <s v="SBrkr"/>
    <n v="1600"/>
    <n v="0"/>
    <n v="0"/>
    <x v="24"/>
    <n v="0"/>
    <n v="0"/>
    <n v="2"/>
    <n v="0"/>
    <n v="3"/>
    <n v="1"/>
    <s v="Gd"/>
    <n v="7"/>
    <s v="Typ"/>
    <n v="1"/>
    <s v="Gd"/>
    <s v="Attchd"/>
    <n v="2007"/>
    <s v="RFn"/>
    <n v="3"/>
    <n v="890"/>
    <s v="TA"/>
    <s v="TA"/>
    <s v="Y"/>
    <n v="0"/>
    <n v="56"/>
    <n v="0"/>
    <n v="0"/>
    <n v="0"/>
    <n v="0"/>
    <s v="NA"/>
    <s v="NA"/>
    <s v="NA"/>
    <n v="0"/>
    <n v="7"/>
    <n v="2009"/>
    <s v="WD"/>
    <s v="Normal"/>
    <n v="256300"/>
  </r>
  <r>
    <n v="27"/>
    <n v="20"/>
    <s v="RL"/>
    <n v="60"/>
    <n v="7200"/>
    <s v="Pave"/>
    <s v="NA"/>
    <s v="Reg"/>
    <s v="Lvl"/>
    <s v="AllPub"/>
    <s v="Corner"/>
    <s v="Gtl"/>
    <x v="11"/>
    <x v="0"/>
    <s v="Norm"/>
    <x v="0"/>
    <x v="1"/>
    <n v="5"/>
    <n v="7"/>
    <x v="23"/>
    <n v="2000"/>
    <s v="Gable"/>
    <s v="CompShg"/>
    <s v="Wd Sdng"/>
    <s v="Wd Sdng"/>
    <s v="None"/>
    <n v="0"/>
    <s v="TA"/>
    <s v="TA"/>
    <s v="CBlock"/>
    <s v="TA"/>
    <s v="TA"/>
    <s v="Mn"/>
    <s v="BLQ"/>
    <n v="234"/>
    <s v="Rec"/>
    <n v="486"/>
    <n v="180"/>
    <n v="900"/>
    <s v="GasA"/>
    <s v="TA"/>
    <s v="Y"/>
    <s v="SBrkr"/>
    <n v="900"/>
    <n v="0"/>
    <n v="0"/>
    <x v="25"/>
    <n v="0"/>
    <n v="1"/>
    <n v="1"/>
    <n v="0"/>
    <n v="3"/>
    <n v="1"/>
    <s v="Gd"/>
    <n v="5"/>
    <s v="Typ"/>
    <n v="0"/>
    <s v="NA"/>
    <s v="Detchd"/>
    <n v="2005"/>
    <s v="Unf"/>
    <n v="2"/>
    <n v="576"/>
    <s v="TA"/>
    <s v="TA"/>
    <s v="Y"/>
    <n v="222"/>
    <n v="32"/>
    <n v="0"/>
    <n v="0"/>
    <n v="0"/>
    <n v="0"/>
    <s v="NA"/>
    <s v="NA"/>
    <s v="NA"/>
    <n v="0"/>
    <n v="5"/>
    <n v="2010"/>
    <s v="WD"/>
    <s v="Normal"/>
    <n v="134800"/>
  </r>
  <r>
    <n v="28"/>
    <n v="20"/>
    <s v="RL"/>
    <n v="98"/>
    <n v="11478"/>
    <s v="Pave"/>
    <s v="NA"/>
    <s v="Reg"/>
    <s v="Lvl"/>
    <s v="AllPub"/>
    <s v="Inside"/>
    <s v="Gtl"/>
    <x v="10"/>
    <x v="0"/>
    <s v="Norm"/>
    <x v="0"/>
    <x v="1"/>
    <n v="8"/>
    <n v="5"/>
    <x v="22"/>
    <n v="2008"/>
    <s v="Gable"/>
    <s v="CompShg"/>
    <s v="VinylSd"/>
    <s v="VinylSd"/>
    <s v="Stone"/>
    <n v="200"/>
    <s v="Gd"/>
    <s v="TA"/>
    <s v="PConc"/>
    <s v="Ex"/>
    <s v="TA"/>
    <s v="No"/>
    <s v="GLQ"/>
    <n v="1218"/>
    <s v="Unf"/>
    <n v="0"/>
    <n v="486"/>
    <n v="1704"/>
    <s v="GasA"/>
    <s v="Ex"/>
    <s v="Y"/>
    <s v="SBrkr"/>
    <n v="1704"/>
    <n v="0"/>
    <n v="0"/>
    <x v="26"/>
    <n v="1"/>
    <n v="0"/>
    <n v="2"/>
    <n v="0"/>
    <n v="3"/>
    <n v="1"/>
    <s v="Gd"/>
    <n v="7"/>
    <s v="Typ"/>
    <n v="1"/>
    <s v="Gd"/>
    <s v="Attchd"/>
    <n v="2008"/>
    <s v="RFn"/>
    <n v="3"/>
    <n v="772"/>
    <s v="TA"/>
    <s v="TA"/>
    <s v="Y"/>
    <n v="0"/>
    <n v="50"/>
    <n v="0"/>
    <n v="0"/>
    <n v="0"/>
    <n v="0"/>
    <s v="NA"/>
    <s v="NA"/>
    <s v="NA"/>
    <n v="0"/>
    <n v="5"/>
    <n v="2010"/>
    <s v="WD"/>
    <s v="Normal"/>
    <n v="306000"/>
  </r>
  <r>
    <n v="29"/>
    <n v="20"/>
    <s v="RL"/>
    <n v="47"/>
    <n v="16321"/>
    <s v="Pave"/>
    <s v="NA"/>
    <s v="IR1"/>
    <s v="Lvl"/>
    <s v="AllPub"/>
    <s v="CulDSac"/>
    <s v="Gtl"/>
    <x v="11"/>
    <x v="0"/>
    <s v="Norm"/>
    <x v="0"/>
    <x v="1"/>
    <n v="5"/>
    <n v="6"/>
    <x v="24"/>
    <n v="1997"/>
    <s v="Gable"/>
    <s v="CompShg"/>
    <s v="MetalSd"/>
    <s v="MetalSd"/>
    <s v="None"/>
    <n v="0"/>
    <s v="TA"/>
    <s v="TA"/>
    <s v="CBlock"/>
    <s v="TA"/>
    <s v="TA"/>
    <s v="Gd"/>
    <s v="BLQ"/>
    <n v="1277"/>
    <s v="Unf"/>
    <n v="0"/>
    <n v="207"/>
    <n v="1484"/>
    <s v="GasA"/>
    <s v="TA"/>
    <s v="Y"/>
    <s v="SBrkr"/>
    <n v="1600"/>
    <n v="0"/>
    <n v="0"/>
    <x v="24"/>
    <n v="1"/>
    <n v="0"/>
    <n v="1"/>
    <n v="0"/>
    <n v="2"/>
    <n v="1"/>
    <s v="TA"/>
    <n v="6"/>
    <s v="Typ"/>
    <n v="2"/>
    <s v="Gd"/>
    <s v="Attchd"/>
    <n v="1957"/>
    <s v="RFn"/>
    <n v="1"/>
    <n v="319"/>
    <s v="TA"/>
    <s v="TA"/>
    <s v="Y"/>
    <n v="288"/>
    <n v="258"/>
    <n v="0"/>
    <n v="0"/>
    <n v="0"/>
    <n v="0"/>
    <s v="NA"/>
    <s v="NA"/>
    <s v="NA"/>
    <n v="0"/>
    <n v="12"/>
    <n v="2006"/>
    <s v="WD"/>
    <s v="Normal"/>
    <n v="207500"/>
  </r>
  <r>
    <n v="30"/>
    <n v="30"/>
    <s v="RM"/>
    <n v="60"/>
    <n v="6324"/>
    <s v="Pave"/>
    <s v="NA"/>
    <s v="IR1"/>
    <s v="Lvl"/>
    <s v="AllPub"/>
    <s v="Inside"/>
    <s v="Gtl"/>
    <x v="8"/>
    <x v="1"/>
    <s v="RRNn"/>
    <x v="0"/>
    <x v="1"/>
    <n v="4"/>
    <n v="6"/>
    <x v="25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520"/>
    <n v="520"/>
    <s v="GasA"/>
    <s v="Fa"/>
    <s v="N"/>
    <s v="SBrkr"/>
    <n v="520"/>
    <n v="0"/>
    <n v="0"/>
    <x v="27"/>
    <n v="0"/>
    <n v="0"/>
    <n v="1"/>
    <n v="0"/>
    <n v="1"/>
    <n v="1"/>
    <s v="Fa"/>
    <n v="4"/>
    <s v="Typ"/>
    <n v="0"/>
    <s v="NA"/>
    <s v="Detchd"/>
    <n v="1920"/>
    <s v="Unf"/>
    <n v="1"/>
    <n v="240"/>
    <s v="Fa"/>
    <s v="TA"/>
    <s v="Y"/>
    <n v="49"/>
    <n v="0"/>
    <n v="87"/>
    <n v="0"/>
    <n v="0"/>
    <n v="0"/>
    <s v="NA"/>
    <s v="NA"/>
    <s v="NA"/>
    <n v="0"/>
    <n v="5"/>
    <n v="2008"/>
    <s v="WD"/>
    <s v="Normal"/>
    <n v="68500"/>
  </r>
  <r>
    <n v="31"/>
    <n v="70"/>
    <s v="C (all)"/>
    <n v="50"/>
    <n v="8500"/>
    <s v="Pave"/>
    <s v="Pave"/>
    <s v="Reg"/>
    <s v="Lvl"/>
    <s v="AllPub"/>
    <s v="Inside"/>
    <s v="Gtl"/>
    <x v="13"/>
    <x v="1"/>
    <s v="Norm"/>
    <x v="0"/>
    <x v="0"/>
    <n v="4"/>
    <n v="4"/>
    <x v="26"/>
    <n v="1950"/>
    <s v="Gambrel"/>
    <s v="CompShg"/>
    <s v="BrkFace"/>
    <s v="BrkFace"/>
    <s v="None"/>
    <n v="0"/>
    <s v="TA"/>
    <s v="Fa"/>
    <s v="BrkTil"/>
    <s v="TA"/>
    <s v="TA"/>
    <s v="No"/>
    <s v="Unf"/>
    <n v="0"/>
    <s v="Unf"/>
    <n v="0"/>
    <n v="649"/>
    <n v="649"/>
    <s v="GasA"/>
    <s v="TA"/>
    <s v="N"/>
    <s v="SBrkr"/>
    <n v="649"/>
    <n v="668"/>
    <n v="0"/>
    <x v="28"/>
    <n v="0"/>
    <n v="0"/>
    <n v="1"/>
    <n v="0"/>
    <n v="3"/>
    <n v="1"/>
    <s v="TA"/>
    <n v="6"/>
    <s v="Typ"/>
    <n v="0"/>
    <s v="NA"/>
    <s v="Detchd"/>
    <n v="1920"/>
    <s v="Unf"/>
    <n v="1"/>
    <n v="250"/>
    <s v="TA"/>
    <s v="Fa"/>
    <s v="N"/>
    <n v="0"/>
    <n v="54"/>
    <n v="172"/>
    <n v="0"/>
    <n v="0"/>
    <n v="0"/>
    <s v="NA"/>
    <s v="MnPrv"/>
    <s v="NA"/>
    <n v="0"/>
    <n v="7"/>
    <n v="2008"/>
    <s v="WD"/>
    <s v="Normal"/>
    <n v="40000"/>
  </r>
  <r>
    <n v="32"/>
    <n v="20"/>
    <s v="RL"/>
    <s v="NA"/>
    <n v="8544"/>
    <s v="Pave"/>
    <s v="NA"/>
    <s v="IR1"/>
    <s v="Lvl"/>
    <s v="AllPub"/>
    <s v="CulDSac"/>
    <s v="Gtl"/>
    <x v="9"/>
    <x v="0"/>
    <s v="Norm"/>
    <x v="0"/>
    <x v="1"/>
    <n v="5"/>
    <n v="6"/>
    <x v="27"/>
    <n v="2006"/>
    <s v="Gable"/>
    <s v="CompShg"/>
    <s v="HdBoard"/>
    <s v="HdBoard"/>
    <s v="None"/>
    <n v="0"/>
    <s v="TA"/>
    <s v="TA"/>
    <s v="CBlock"/>
    <s v="TA"/>
    <s v="TA"/>
    <s v="No"/>
    <s v="Unf"/>
    <n v="0"/>
    <s v="Unf"/>
    <n v="0"/>
    <n v="1228"/>
    <n v="1228"/>
    <s v="GasA"/>
    <s v="Gd"/>
    <s v="Y"/>
    <s v="SBrkr"/>
    <n v="1228"/>
    <n v="0"/>
    <n v="0"/>
    <x v="29"/>
    <n v="0"/>
    <n v="0"/>
    <n v="1"/>
    <n v="1"/>
    <n v="3"/>
    <n v="1"/>
    <s v="Gd"/>
    <n v="6"/>
    <s v="Typ"/>
    <n v="0"/>
    <s v="NA"/>
    <s v="Attchd"/>
    <n v="1966"/>
    <s v="Unf"/>
    <n v="1"/>
    <n v="271"/>
    <s v="TA"/>
    <s v="TA"/>
    <s v="Y"/>
    <n v="0"/>
    <n v="65"/>
    <n v="0"/>
    <n v="0"/>
    <n v="0"/>
    <n v="0"/>
    <s v="NA"/>
    <s v="MnPrv"/>
    <s v="NA"/>
    <n v="0"/>
    <n v="6"/>
    <n v="2008"/>
    <s v="WD"/>
    <s v="Normal"/>
    <n v="149350"/>
  </r>
  <r>
    <n v="33"/>
    <n v="20"/>
    <s v="RL"/>
    <n v="85"/>
    <n v="11049"/>
    <s v="Pave"/>
    <s v="NA"/>
    <s v="Reg"/>
    <s v="Lvl"/>
    <s v="AllPub"/>
    <s v="Corner"/>
    <s v="Gtl"/>
    <x v="0"/>
    <x v="0"/>
    <s v="Norm"/>
    <x v="0"/>
    <x v="1"/>
    <n v="8"/>
    <n v="5"/>
    <x v="22"/>
    <n v="2007"/>
    <s v="Gable"/>
    <s v="CompShg"/>
    <s v="VinylSd"/>
    <s v="VinylSd"/>
    <s v="None"/>
    <n v="0"/>
    <s v="Gd"/>
    <s v="TA"/>
    <s v="PConc"/>
    <s v="Ex"/>
    <s v="TA"/>
    <s v="Av"/>
    <s v="Unf"/>
    <n v="0"/>
    <s v="Unf"/>
    <n v="0"/>
    <n v="1234"/>
    <n v="1234"/>
    <s v="GasA"/>
    <s v="Ex"/>
    <s v="Y"/>
    <s v="SBrkr"/>
    <n v="1234"/>
    <n v="0"/>
    <n v="0"/>
    <x v="30"/>
    <n v="0"/>
    <n v="0"/>
    <n v="2"/>
    <n v="0"/>
    <n v="3"/>
    <n v="1"/>
    <s v="Gd"/>
    <n v="7"/>
    <s v="Typ"/>
    <n v="0"/>
    <s v="NA"/>
    <s v="Attchd"/>
    <n v="2007"/>
    <s v="RFn"/>
    <n v="2"/>
    <n v="484"/>
    <s v="TA"/>
    <s v="TA"/>
    <s v="Y"/>
    <n v="0"/>
    <n v="30"/>
    <n v="0"/>
    <n v="0"/>
    <n v="0"/>
    <n v="0"/>
    <s v="NA"/>
    <s v="NA"/>
    <s v="NA"/>
    <n v="0"/>
    <n v="1"/>
    <n v="2008"/>
    <s v="WD"/>
    <s v="Normal"/>
    <n v="179900"/>
  </r>
  <r>
    <n v="34"/>
    <n v="20"/>
    <s v="RL"/>
    <n v="70"/>
    <n v="10552"/>
    <s v="Pave"/>
    <s v="NA"/>
    <s v="IR1"/>
    <s v="Lvl"/>
    <s v="AllPub"/>
    <s v="Inside"/>
    <s v="Gtl"/>
    <x v="11"/>
    <x v="0"/>
    <s v="Norm"/>
    <x v="0"/>
    <x v="1"/>
    <n v="5"/>
    <n v="5"/>
    <x v="28"/>
    <n v="1959"/>
    <s v="Hip"/>
    <s v="CompShg"/>
    <s v="BrkFace"/>
    <s v="BrkFace"/>
    <s v="None"/>
    <n v="0"/>
    <s v="TA"/>
    <s v="TA"/>
    <s v="CBlock"/>
    <s v="TA"/>
    <s v="TA"/>
    <s v="No"/>
    <s v="Rec"/>
    <n v="1018"/>
    <s v="Unf"/>
    <n v="0"/>
    <n v="380"/>
    <n v="1398"/>
    <s v="GasA"/>
    <s v="Gd"/>
    <s v="Y"/>
    <s v="SBrkr"/>
    <n v="1700"/>
    <n v="0"/>
    <n v="0"/>
    <x v="31"/>
    <n v="0"/>
    <n v="1"/>
    <n v="1"/>
    <n v="1"/>
    <n v="4"/>
    <n v="1"/>
    <s v="Gd"/>
    <n v="6"/>
    <s v="Typ"/>
    <n v="1"/>
    <s v="Gd"/>
    <s v="Attchd"/>
    <n v="1959"/>
    <s v="RFn"/>
    <n v="2"/>
    <n v="447"/>
    <s v="TA"/>
    <s v="TA"/>
    <s v="Y"/>
    <n v="0"/>
    <n v="38"/>
    <n v="0"/>
    <n v="0"/>
    <n v="0"/>
    <n v="0"/>
    <s v="NA"/>
    <s v="NA"/>
    <s v="NA"/>
    <n v="0"/>
    <n v="4"/>
    <n v="2010"/>
    <s v="WD"/>
    <s v="Normal"/>
    <n v="165500"/>
  </r>
  <r>
    <n v="35"/>
    <n v="120"/>
    <s v="RL"/>
    <n v="60"/>
    <n v="7313"/>
    <s v="Pave"/>
    <s v="NA"/>
    <s v="Reg"/>
    <s v="Lvl"/>
    <s v="AllPub"/>
    <s v="Inside"/>
    <s v="Gtl"/>
    <x v="10"/>
    <x v="0"/>
    <s v="Norm"/>
    <x v="3"/>
    <x v="1"/>
    <n v="9"/>
    <n v="5"/>
    <x v="11"/>
    <n v="2005"/>
    <s v="Hip"/>
    <s v="CompShg"/>
    <s v="MetalSd"/>
    <s v="MetalSd"/>
    <s v="BrkFace"/>
    <n v="246"/>
    <s v="Ex"/>
    <s v="TA"/>
    <s v="PConc"/>
    <s v="Ex"/>
    <s v="TA"/>
    <s v="No"/>
    <s v="GLQ"/>
    <n v="1153"/>
    <s v="Unf"/>
    <n v="0"/>
    <n v="408"/>
    <n v="1561"/>
    <s v="GasA"/>
    <s v="Ex"/>
    <s v="Y"/>
    <s v="SBrkr"/>
    <n v="1561"/>
    <n v="0"/>
    <n v="0"/>
    <x v="32"/>
    <n v="1"/>
    <n v="0"/>
    <n v="2"/>
    <n v="0"/>
    <n v="2"/>
    <n v="1"/>
    <s v="Ex"/>
    <n v="6"/>
    <s v="Typ"/>
    <n v="1"/>
    <s v="Gd"/>
    <s v="Attchd"/>
    <n v="2005"/>
    <s v="Fin"/>
    <n v="2"/>
    <n v="556"/>
    <s v="TA"/>
    <s v="TA"/>
    <s v="Y"/>
    <n v="203"/>
    <n v="47"/>
    <n v="0"/>
    <n v="0"/>
    <n v="0"/>
    <n v="0"/>
    <s v="NA"/>
    <s v="NA"/>
    <s v="NA"/>
    <n v="0"/>
    <n v="8"/>
    <n v="2007"/>
    <s v="WD"/>
    <s v="Normal"/>
    <n v="277500"/>
  </r>
  <r>
    <n v="36"/>
    <n v="60"/>
    <s v="RL"/>
    <n v="108"/>
    <n v="13418"/>
    <s v="Pave"/>
    <s v="NA"/>
    <s v="Reg"/>
    <s v="Lvl"/>
    <s v="AllPub"/>
    <s v="Inside"/>
    <s v="Gtl"/>
    <x v="10"/>
    <x v="0"/>
    <s v="Norm"/>
    <x v="0"/>
    <x v="0"/>
    <n v="8"/>
    <n v="5"/>
    <x v="6"/>
    <n v="2005"/>
    <s v="Gable"/>
    <s v="CompShg"/>
    <s v="VinylSd"/>
    <s v="VinylSd"/>
    <s v="Stone"/>
    <n v="132"/>
    <s v="Gd"/>
    <s v="TA"/>
    <s v="PConc"/>
    <s v="Ex"/>
    <s v="TA"/>
    <s v="Av"/>
    <s v="Unf"/>
    <n v="0"/>
    <s v="Unf"/>
    <n v="0"/>
    <n v="1117"/>
    <n v="1117"/>
    <s v="GasA"/>
    <s v="Ex"/>
    <s v="Y"/>
    <s v="SBrkr"/>
    <n v="1132"/>
    <n v="1320"/>
    <n v="0"/>
    <x v="33"/>
    <n v="0"/>
    <n v="0"/>
    <n v="3"/>
    <n v="1"/>
    <n v="4"/>
    <n v="1"/>
    <s v="Gd"/>
    <n v="9"/>
    <s v="Typ"/>
    <n v="1"/>
    <s v="Gd"/>
    <s v="BuiltIn"/>
    <n v="2004"/>
    <s v="Fin"/>
    <n v="3"/>
    <n v="691"/>
    <s v="TA"/>
    <s v="TA"/>
    <s v="Y"/>
    <n v="113"/>
    <n v="32"/>
    <n v="0"/>
    <n v="0"/>
    <n v="0"/>
    <n v="0"/>
    <s v="NA"/>
    <s v="NA"/>
    <s v="NA"/>
    <n v="0"/>
    <n v="9"/>
    <n v="2006"/>
    <s v="WD"/>
    <s v="Normal"/>
    <n v="309000"/>
  </r>
  <r>
    <n v="37"/>
    <n v="20"/>
    <s v="RL"/>
    <n v="112"/>
    <n v="10859"/>
    <s v="Pave"/>
    <s v="NA"/>
    <s v="Reg"/>
    <s v="Lvl"/>
    <s v="AllPub"/>
    <s v="Corner"/>
    <s v="Gtl"/>
    <x v="0"/>
    <x v="0"/>
    <s v="Norm"/>
    <x v="0"/>
    <x v="1"/>
    <n v="5"/>
    <n v="5"/>
    <x v="29"/>
    <n v="1995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097"/>
    <n v="1097"/>
    <s v="GasA"/>
    <s v="Ex"/>
    <s v="Y"/>
    <s v="SBrkr"/>
    <n v="1097"/>
    <n v="0"/>
    <n v="0"/>
    <x v="34"/>
    <n v="0"/>
    <n v="0"/>
    <n v="1"/>
    <n v="1"/>
    <n v="3"/>
    <n v="1"/>
    <s v="TA"/>
    <n v="6"/>
    <s v="Typ"/>
    <n v="0"/>
    <s v="NA"/>
    <s v="Attchd"/>
    <n v="1995"/>
    <s v="Unf"/>
    <n v="2"/>
    <n v="672"/>
    <s v="TA"/>
    <s v="TA"/>
    <s v="Y"/>
    <n v="392"/>
    <n v="64"/>
    <n v="0"/>
    <n v="0"/>
    <n v="0"/>
    <n v="0"/>
    <s v="NA"/>
    <s v="NA"/>
    <s v="NA"/>
    <n v="0"/>
    <n v="6"/>
    <n v="2009"/>
    <s v="WD"/>
    <s v="Normal"/>
    <n v="145000"/>
  </r>
  <r>
    <n v="38"/>
    <n v="20"/>
    <s v="RL"/>
    <n v="74"/>
    <n v="8532"/>
    <s v="Pave"/>
    <s v="NA"/>
    <s v="Reg"/>
    <s v="Lvl"/>
    <s v="AllPub"/>
    <s v="Inside"/>
    <s v="Gtl"/>
    <x v="11"/>
    <x v="0"/>
    <s v="Norm"/>
    <x v="0"/>
    <x v="1"/>
    <n v="5"/>
    <n v="6"/>
    <x v="30"/>
    <n v="1990"/>
    <s v="Hip"/>
    <s v="CompShg"/>
    <s v="Wd Sdng"/>
    <s v="Wd Sdng"/>
    <s v="BrkFace"/>
    <n v="650"/>
    <s v="TA"/>
    <s v="TA"/>
    <s v="CBlock"/>
    <s v="TA"/>
    <s v="TA"/>
    <s v="No"/>
    <s v="Rec"/>
    <n v="1213"/>
    <s v="Unf"/>
    <n v="0"/>
    <n v="84"/>
    <n v="1297"/>
    <s v="GasA"/>
    <s v="Gd"/>
    <s v="Y"/>
    <s v="SBrkr"/>
    <n v="1297"/>
    <n v="0"/>
    <n v="0"/>
    <x v="35"/>
    <n v="0"/>
    <n v="1"/>
    <n v="1"/>
    <n v="0"/>
    <n v="3"/>
    <n v="1"/>
    <s v="TA"/>
    <n v="5"/>
    <s v="Typ"/>
    <n v="1"/>
    <s v="TA"/>
    <s v="Attchd"/>
    <n v="1954"/>
    <s v="Fin"/>
    <n v="2"/>
    <n v="498"/>
    <s v="TA"/>
    <s v="TA"/>
    <s v="Y"/>
    <n v="0"/>
    <n v="0"/>
    <n v="0"/>
    <n v="0"/>
    <n v="0"/>
    <n v="0"/>
    <s v="NA"/>
    <s v="NA"/>
    <s v="NA"/>
    <n v="0"/>
    <n v="10"/>
    <n v="2009"/>
    <s v="WD"/>
    <s v="Normal"/>
    <n v="153000"/>
  </r>
  <r>
    <n v="39"/>
    <n v="20"/>
    <s v="RL"/>
    <n v="68"/>
    <n v="7922"/>
    <s v="Pave"/>
    <s v="NA"/>
    <s v="Reg"/>
    <s v="Lvl"/>
    <s v="AllPub"/>
    <s v="Inside"/>
    <s v="Gtl"/>
    <x v="11"/>
    <x v="0"/>
    <s v="Norm"/>
    <x v="0"/>
    <x v="1"/>
    <n v="5"/>
    <n v="7"/>
    <x v="31"/>
    <n v="2007"/>
    <s v="Gable"/>
    <s v="CompShg"/>
    <s v="VinylSd"/>
    <s v="VinylSd"/>
    <s v="None"/>
    <n v="0"/>
    <s v="TA"/>
    <s v="Gd"/>
    <s v="CBlock"/>
    <s v="TA"/>
    <s v="TA"/>
    <s v="No"/>
    <s v="GLQ"/>
    <n v="731"/>
    <s v="Unf"/>
    <n v="0"/>
    <n v="326"/>
    <n v="1057"/>
    <s v="GasA"/>
    <s v="TA"/>
    <s v="Y"/>
    <s v="SBrkr"/>
    <n v="1057"/>
    <n v="0"/>
    <n v="0"/>
    <x v="36"/>
    <n v="1"/>
    <n v="0"/>
    <n v="1"/>
    <n v="0"/>
    <n v="3"/>
    <n v="1"/>
    <s v="Gd"/>
    <n v="5"/>
    <s v="Typ"/>
    <n v="0"/>
    <s v="NA"/>
    <s v="Detchd"/>
    <n v="1953"/>
    <s v="Unf"/>
    <n v="1"/>
    <n v="246"/>
    <s v="TA"/>
    <s v="TA"/>
    <s v="Y"/>
    <n v="0"/>
    <n v="52"/>
    <n v="0"/>
    <n v="0"/>
    <n v="0"/>
    <n v="0"/>
    <s v="NA"/>
    <s v="NA"/>
    <s v="NA"/>
    <n v="0"/>
    <n v="1"/>
    <n v="2010"/>
    <s v="WD"/>
    <s v="Abnorml"/>
    <n v="109000"/>
  </r>
  <r>
    <n v="40"/>
    <n v="90"/>
    <s v="RL"/>
    <n v="65"/>
    <n v="6040"/>
    <s v="Pave"/>
    <s v="NA"/>
    <s v="Reg"/>
    <s v="Lvl"/>
    <s v="AllPub"/>
    <s v="Inside"/>
    <s v="Gtl"/>
    <x v="15"/>
    <x v="0"/>
    <s v="Norm"/>
    <x v="2"/>
    <x v="1"/>
    <n v="4"/>
    <n v="5"/>
    <x v="32"/>
    <n v="1955"/>
    <s v="Gable"/>
    <s v="CompShg"/>
    <s v="AsbShng"/>
    <s v="Plywood"/>
    <s v="None"/>
    <n v="0"/>
    <s v="TA"/>
    <s v="TA"/>
    <s v="PConc"/>
    <s v="NA"/>
    <s v="NA"/>
    <s v="NA"/>
    <s v="NA"/>
    <n v="0"/>
    <s v="NA"/>
    <n v="0"/>
    <n v="0"/>
    <n v="0"/>
    <s v="GasA"/>
    <s v="TA"/>
    <s v="N"/>
    <s v="FuseP"/>
    <n v="1152"/>
    <n v="0"/>
    <n v="0"/>
    <x v="37"/>
    <n v="0"/>
    <n v="0"/>
    <n v="2"/>
    <n v="0"/>
    <n v="2"/>
    <n v="2"/>
    <s v="Fa"/>
    <n v="6"/>
    <s v="Typ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6"/>
    <n v="2008"/>
    <s v="WD"/>
    <s v="AdjLand"/>
    <n v="82000"/>
  </r>
  <r>
    <n v="41"/>
    <n v="20"/>
    <s v="RL"/>
    <n v="84"/>
    <n v="8658"/>
    <s v="Pave"/>
    <s v="NA"/>
    <s v="Reg"/>
    <s v="Lvl"/>
    <s v="AllPub"/>
    <s v="Inside"/>
    <s v="Gtl"/>
    <x v="11"/>
    <x v="0"/>
    <s v="Norm"/>
    <x v="0"/>
    <x v="1"/>
    <n v="6"/>
    <n v="5"/>
    <x v="10"/>
    <n v="1965"/>
    <s v="Gable"/>
    <s v="CompShg"/>
    <s v="Wd Sdng"/>
    <s v="Wd Sdng"/>
    <s v="BrkFace"/>
    <n v="101"/>
    <s v="TA"/>
    <s v="TA"/>
    <s v="CBlock"/>
    <s v="TA"/>
    <s v="TA"/>
    <s v="No"/>
    <s v="Rec"/>
    <n v="643"/>
    <s v="Unf"/>
    <n v="0"/>
    <n v="445"/>
    <n v="1088"/>
    <s v="GasA"/>
    <s v="Ex"/>
    <s v="Y"/>
    <s v="SBrkr"/>
    <n v="1324"/>
    <n v="0"/>
    <n v="0"/>
    <x v="38"/>
    <n v="0"/>
    <n v="0"/>
    <n v="2"/>
    <n v="0"/>
    <n v="3"/>
    <n v="1"/>
    <s v="TA"/>
    <n v="6"/>
    <s v="Typ"/>
    <n v="1"/>
    <s v="TA"/>
    <s v="Attchd"/>
    <n v="1965"/>
    <s v="RFn"/>
    <n v="2"/>
    <n v="440"/>
    <s v="TA"/>
    <s v="TA"/>
    <s v="Y"/>
    <n v="0"/>
    <n v="138"/>
    <n v="0"/>
    <n v="0"/>
    <n v="0"/>
    <n v="0"/>
    <s v="NA"/>
    <s v="GdWo"/>
    <s v="NA"/>
    <n v="0"/>
    <n v="12"/>
    <n v="2006"/>
    <s v="WD"/>
    <s v="Abnorml"/>
    <n v="160000"/>
  </r>
  <r>
    <n v="42"/>
    <n v="20"/>
    <s v="RL"/>
    <n v="115"/>
    <n v="16905"/>
    <s v="Pave"/>
    <s v="NA"/>
    <s v="Reg"/>
    <s v="Lvl"/>
    <s v="AllPub"/>
    <s v="Inside"/>
    <s v="Gtl"/>
    <x v="16"/>
    <x v="0"/>
    <s v="Norm"/>
    <x v="0"/>
    <x v="1"/>
    <n v="5"/>
    <n v="6"/>
    <x v="28"/>
    <n v="1959"/>
    <s v="Gable"/>
    <s v="CompShg"/>
    <s v="VinylSd"/>
    <s v="VinylSd"/>
    <s v="None"/>
    <n v="0"/>
    <s v="TA"/>
    <s v="Gd"/>
    <s v="CBlock"/>
    <s v="TA"/>
    <s v="TA"/>
    <s v="Gd"/>
    <s v="BLQ"/>
    <n v="967"/>
    <s v="Unf"/>
    <n v="0"/>
    <n v="383"/>
    <n v="1350"/>
    <s v="GasA"/>
    <s v="Gd"/>
    <s v="Y"/>
    <s v="SBrkr"/>
    <n v="1328"/>
    <n v="0"/>
    <n v="0"/>
    <x v="39"/>
    <n v="0"/>
    <n v="1"/>
    <n v="1"/>
    <n v="1"/>
    <n v="2"/>
    <n v="1"/>
    <s v="TA"/>
    <n v="5"/>
    <s v="Typ"/>
    <n v="2"/>
    <s v="Gd"/>
    <s v="Attchd"/>
    <n v="1959"/>
    <s v="RFn"/>
    <n v="1"/>
    <n v="308"/>
    <s v="TA"/>
    <s v="TA"/>
    <s v="P"/>
    <n v="0"/>
    <n v="104"/>
    <n v="0"/>
    <n v="0"/>
    <n v="0"/>
    <n v="0"/>
    <s v="NA"/>
    <s v="NA"/>
    <s v="NA"/>
    <n v="0"/>
    <n v="7"/>
    <n v="2007"/>
    <s v="WD"/>
    <s v="Normal"/>
    <n v="170000"/>
  </r>
  <r>
    <n v="43"/>
    <n v="85"/>
    <s v="RL"/>
    <s v="NA"/>
    <n v="9180"/>
    <s v="Pave"/>
    <s v="NA"/>
    <s v="IR1"/>
    <s v="Lvl"/>
    <s v="AllPub"/>
    <s v="CulDSac"/>
    <s v="Gtl"/>
    <x v="12"/>
    <x v="0"/>
    <s v="Norm"/>
    <x v="0"/>
    <x v="4"/>
    <n v="5"/>
    <n v="7"/>
    <x v="33"/>
    <n v="1983"/>
    <s v="Gable"/>
    <s v="CompShg"/>
    <s v="HdBoard"/>
    <s v="HdBoard"/>
    <s v="None"/>
    <n v="0"/>
    <s v="TA"/>
    <s v="TA"/>
    <s v="CBlock"/>
    <s v="Gd"/>
    <s v="TA"/>
    <s v="Av"/>
    <s v="ALQ"/>
    <n v="747"/>
    <s v="LwQ"/>
    <n v="93"/>
    <n v="0"/>
    <n v="840"/>
    <s v="GasA"/>
    <s v="Gd"/>
    <s v="Y"/>
    <s v="SBrkr"/>
    <n v="884"/>
    <n v="0"/>
    <n v="0"/>
    <x v="40"/>
    <n v="1"/>
    <n v="0"/>
    <n v="1"/>
    <n v="0"/>
    <n v="2"/>
    <n v="1"/>
    <s v="Gd"/>
    <n v="5"/>
    <s v="Typ"/>
    <n v="0"/>
    <s v="NA"/>
    <s v="Attchd"/>
    <n v="1983"/>
    <s v="RFn"/>
    <n v="2"/>
    <n v="504"/>
    <s v="TA"/>
    <s v="Gd"/>
    <s v="Y"/>
    <n v="240"/>
    <n v="0"/>
    <n v="0"/>
    <n v="0"/>
    <n v="0"/>
    <n v="0"/>
    <s v="NA"/>
    <s v="MnPrv"/>
    <s v="NA"/>
    <n v="0"/>
    <n v="12"/>
    <n v="2007"/>
    <s v="WD"/>
    <s v="Normal"/>
    <n v="144000"/>
  </r>
  <r>
    <n v="44"/>
    <n v="20"/>
    <s v="RL"/>
    <s v="NA"/>
    <n v="9200"/>
    <s v="Pave"/>
    <s v="NA"/>
    <s v="IR1"/>
    <s v="Lvl"/>
    <s v="AllPub"/>
    <s v="CulDSac"/>
    <s v="Gtl"/>
    <x v="0"/>
    <x v="0"/>
    <s v="Norm"/>
    <x v="0"/>
    <x v="1"/>
    <n v="5"/>
    <n v="6"/>
    <x v="34"/>
    <n v="1980"/>
    <s v="Hip"/>
    <s v="CompShg"/>
    <s v="VinylSd"/>
    <s v="VinylSd"/>
    <s v="None"/>
    <n v="0"/>
    <s v="TA"/>
    <s v="TA"/>
    <s v="CBlock"/>
    <s v="Gd"/>
    <s v="TA"/>
    <s v="Av"/>
    <s v="LwQ"/>
    <n v="280"/>
    <s v="BLQ"/>
    <n v="491"/>
    <n v="167"/>
    <n v="938"/>
    <s v="GasA"/>
    <s v="TA"/>
    <s v="Y"/>
    <s v="SBrkr"/>
    <n v="938"/>
    <n v="0"/>
    <n v="0"/>
    <x v="41"/>
    <n v="1"/>
    <n v="0"/>
    <n v="1"/>
    <n v="0"/>
    <n v="3"/>
    <n v="1"/>
    <s v="TA"/>
    <n v="5"/>
    <s v="Typ"/>
    <n v="0"/>
    <s v="NA"/>
    <s v="Detchd"/>
    <n v="1977"/>
    <s v="Unf"/>
    <n v="1"/>
    <n v="308"/>
    <s v="TA"/>
    <s v="TA"/>
    <s v="Y"/>
    <n v="145"/>
    <n v="0"/>
    <n v="0"/>
    <n v="0"/>
    <n v="0"/>
    <n v="0"/>
    <s v="NA"/>
    <s v="MnPrv"/>
    <s v="NA"/>
    <n v="0"/>
    <n v="7"/>
    <n v="2008"/>
    <s v="WD"/>
    <s v="Normal"/>
    <n v="130250"/>
  </r>
  <r>
    <n v="45"/>
    <n v="20"/>
    <s v="RL"/>
    <n v="70"/>
    <n v="7945"/>
    <s v="Pave"/>
    <s v="NA"/>
    <s v="Reg"/>
    <s v="Lvl"/>
    <s v="AllPub"/>
    <s v="Inside"/>
    <s v="Gtl"/>
    <x v="11"/>
    <x v="0"/>
    <s v="Norm"/>
    <x v="0"/>
    <x v="1"/>
    <n v="5"/>
    <n v="6"/>
    <x v="28"/>
    <n v="1959"/>
    <s v="Gable"/>
    <s v="CompShg"/>
    <s v="BrkFace"/>
    <s v="Wd Sdng"/>
    <s v="None"/>
    <n v="0"/>
    <s v="TA"/>
    <s v="TA"/>
    <s v="CBlock"/>
    <s v="TA"/>
    <s v="TA"/>
    <s v="No"/>
    <s v="ALQ"/>
    <n v="179"/>
    <s v="BLQ"/>
    <n v="506"/>
    <n v="465"/>
    <n v="1150"/>
    <s v="GasA"/>
    <s v="Ex"/>
    <s v="Y"/>
    <s v="FuseA"/>
    <n v="1150"/>
    <n v="0"/>
    <n v="0"/>
    <x v="42"/>
    <n v="1"/>
    <n v="0"/>
    <n v="1"/>
    <n v="0"/>
    <n v="3"/>
    <n v="1"/>
    <s v="TA"/>
    <n v="6"/>
    <s v="Typ"/>
    <n v="0"/>
    <s v="NA"/>
    <s v="Attchd"/>
    <n v="1959"/>
    <s v="RFn"/>
    <n v="1"/>
    <n v="300"/>
    <s v="TA"/>
    <s v="TA"/>
    <s v="Y"/>
    <n v="0"/>
    <n v="0"/>
    <n v="0"/>
    <n v="0"/>
    <n v="0"/>
    <n v="0"/>
    <s v="NA"/>
    <s v="NA"/>
    <s v="NA"/>
    <n v="0"/>
    <n v="5"/>
    <n v="2006"/>
    <s v="WD"/>
    <s v="Normal"/>
    <n v="141000"/>
  </r>
  <r>
    <n v="46"/>
    <n v="120"/>
    <s v="RL"/>
    <n v="61"/>
    <n v="7658"/>
    <s v="Pave"/>
    <s v="NA"/>
    <s v="Reg"/>
    <s v="Lvl"/>
    <s v="AllPub"/>
    <s v="Inside"/>
    <s v="Gtl"/>
    <x v="10"/>
    <x v="0"/>
    <s v="Norm"/>
    <x v="3"/>
    <x v="1"/>
    <n v="9"/>
    <n v="5"/>
    <x v="11"/>
    <n v="2005"/>
    <s v="Hip"/>
    <s v="CompShg"/>
    <s v="MetalSd"/>
    <s v="MetalSd"/>
    <s v="BrkFace"/>
    <n v="412"/>
    <s v="Ex"/>
    <s v="TA"/>
    <s v="PConc"/>
    <s v="Ex"/>
    <s v="TA"/>
    <s v="No"/>
    <s v="GLQ"/>
    <n v="456"/>
    <s v="Unf"/>
    <n v="0"/>
    <n v="1296"/>
    <n v="1752"/>
    <s v="GasA"/>
    <s v="Ex"/>
    <s v="Y"/>
    <s v="SBrkr"/>
    <n v="1752"/>
    <n v="0"/>
    <n v="0"/>
    <x v="43"/>
    <n v="1"/>
    <n v="0"/>
    <n v="2"/>
    <n v="0"/>
    <n v="2"/>
    <n v="1"/>
    <s v="Ex"/>
    <n v="6"/>
    <s v="Typ"/>
    <n v="1"/>
    <s v="Gd"/>
    <s v="Attchd"/>
    <n v="2005"/>
    <s v="RFn"/>
    <n v="2"/>
    <n v="576"/>
    <s v="TA"/>
    <s v="TA"/>
    <s v="Y"/>
    <n v="196"/>
    <n v="82"/>
    <n v="0"/>
    <n v="0"/>
    <n v="0"/>
    <n v="0"/>
    <s v="NA"/>
    <s v="NA"/>
    <s v="NA"/>
    <n v="0"/>
    <n v="2"/>
    <n v="2010"/>
    <s v="WD"/>
    <s v="Normal"/>
    <n v="319900"/>
  </r>
  <r>
    <n v="47"/>
    <n v="50"/>
    <s v="RL"/>
    <n v="48"/>
    <n v="12822"/>
    <s v="Pave"/>
    <s v="NA"/>
    <s v="IR1"/>
    <s v="Lvl"/>
    <s v="AllPub"/>
    <s v="CulDSac"/>
    <s v="Gtl"/>
    <x v="4"/>
    <x v="0"/>
    <s v="Norm"/>
    <x v="0"/>
    <x v="2"/>
    <n v="7"/>
    <n v="5"/>
    <x v="0"/>
    <n v="2003"/>
    <s v="Gable"/>
    <s v="CompShg"/>
    <s v="VinylSd"/>
    <s v="VinylSd"/>
    <s v="None"/>
    <n v="0"/>
    <s v="Gd"/>
    <s v="TA"/>
    <s v="PConc"/>
    <s v="Ex"/>
    <s v="TA"/>
    <s v="No"/>
    <s v="GLQ"/>
    <n v="1351"/>
    <s v="Unf"/>
    <n v="0"/>
    <n v="83"/>
    <n v="1434"/>
    <s v="GasA"/>
    <s v="Ex"/>
    <s v="Y"/>
    <s v="SBrkr"/>
    <n v="1518"/>
    <n v="631"/>
    <n v="0"/>
    <x v="44"/>
    <n v="1"/>
    <n v="0"/>
    <n v="1"/>
    <n v="1"/>
    <n v="1"/>
    <n v="1"/>
    <s v="Gd"/>
    <n v="6"/>
    <s v="Typ"/>
    <n v="1"/>
    <s v="Ex"/>
    <s v="Attchd"/>
    <n v="2003"/>
    <s v="RFn"/>
    <n v="2"/>
    <n v="670"/>
    <s v="TA"/>
    <s v="TA"/>
    <s v="Y"/>
    <n v="168"/>
    <n v="43"/>
    <n v="0"/>
    <n v="0"/>
    <n v="198"/>
    <n v="0"/>
    <s v="NA"/>
    <s v="NA"/>
    <s v="NA"/>
    <n v="0"/>
    <n v="8"/>
    <n v="2009"/>
    <s v="WD"/>
    <s v="Abnorml"/>
    <n v="239686"/>
  </r>
  <r>
    <n v="48"/>
    <n v="20"/>
    <s v="FV"/>
    <n v="84"/>
    <n v="11096"/>
    <s v="Pave"/>
    <s v="NA"/>
    <s v="Reg"/>
    <s v="Lvl"/>
    <s v="AllPub"/>
    <s v="Inside"/>
    <s v="Gtl"/>
    <x v="5"/>
    <x v="0"/>
    <s v="Norm"/>
    <x v="0"/>
    <x v="1"/>
    <n v="8"/>
    <n v="5"/>
    <x v="13"/>
    <n v="2006"/>
    <s v="Gable"/>
    <s v="CompShg"/>
    <s v="VinylSd"/>
    <s v="VinylSd"/>
    <s v="None"/>
    <n v="0"/>
    <s v="Gd"/>
    <s v="TA"/>
    <s v="PConc"/>
    <s v="Gd"/>
    <s v="TA"/>
    <s v="Av"/>
    <s v="GLQ"/>
    <n v="24"/>
    <s v="Unf"/>
    <n v="0"/>
    <n v="1632"/>
    <n v="1656"/>
    <s v="GasA"/>
    <s v="Ex"/>
    <s v="Y"/>
    <s v="SBrkr"/>
    <n v="1656"/>
    <n v="0"/>
    <n v="0"/>
    <x v="45"/>
    <n v="0"/>
    <n v="0"/>
    <n v="2"/>
    <n v="0"/>
    <n v="3"/>
    <n v="1"/>
    <s v="Gd"/>
    <n v="7"/>
    <s v="Typ"/>
    <n v="0"/>
    <s v="NA"/>
    <s v="Attchd"/>
    <n v="2006"/>
    <s v="RFn"/>
    <n v="3"/>
    <n v="826"/>
    <s v="TA"/>
    <s v="TA"/>
    <s v="Y"/>
    <n v="0"/>
    <n v="146"/>
    <n v="0"/>
    <n v="0"/>
    <n v="0"/>
    <n v="0"/>
    <s v="NA"/>
    <s v="NA"/>
    <s v="NA"/>
    <n v="0"/>
    <n v="7"/>
    <n v="2007"/>
    <s v="WD"/>
    <s v="Normal"/>
    <n v="249700"/>
  </r>
  <r>
    <n v="49"/>
    <n v="190"/>
    <s v="RM"/>
    <n v="33"/>
    <n v="4456"/>
    <s v="Pave"/>
    <s v="NA"/>
    <s v="Reg"/>
    <s v="Lvl"/>
    <s v="AllPub"/>
    <s v="Inside"/>
    <s v="Gtl"/>
    <x v="7"/>
    <x v="0"/>
    <s v="Norm"/>
    <x v="1"/>
    <x v="0"/>
    <n v="4"/>
    <n v="5"/>
    <x v="26"/>
    <n v="2008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736"/>
    <n v="736"/>
    <s v="GasA"/>
    <s v="Gd"/>
    <s v="Y"/>
    <s v="SBrkr"/>
    <n v="736"/>
    <n v="716"/>
    <n v="0"/>
    <x v="46"/>
    <n v="0"/>
    <n v="0"/>
    <n v="2"/>
    <n v="0"/>
    <n v="2"/>
    <n v="3"/>
    <s v="TA"/>
    <n v="8"/>
    <s v="Typ"/>
    <n v="0"/>
    <s v="NA"/>
    <s v="NA"/>
    <s v="NA"/>
    <s v="NA"/>
    <n v="0"/>
    <n v="0"/>
    <s v="NA"/>
    <s v="NA"/>
    <s v="N"/>
    <n v="0"/>
    <n v="0"/>
    <n v="102"/>
    <n v="0"/>
    <n v="0"/>
    <n v="0"/>
    <s v="NA"/>
    <s v="NA"/>
    <s v="NA"/>
    <n v="0"/>
    <n v="6"/>
    <n v="2009"/>
    <s v="New"/>
    <s v="Partial"/>
    <n v="113000"/>
  </r>
  <r>
    <n v="50"/>
    <n v="20"/>
    <s v="RL"/>
    <n v="66"/>
    <n v="7742"/>
    <s v="Pave"/>
    <s v="NA"/>
    <s v="Reg"/>
    <s v="Lvl"/>
    <s v="AllPub"/>
    <s v="Inside"/>
    <s v="Gtl"/>
    <x v="9"/>
    <x v="0"/>
    <s v="Norm"/>
    <x v="0"/>
    <x v="1"/>
    <n v="5"/>
    <n v="7"/>
    <x v="27"/>
    <n v="1966"/>
    <s v="Gable"/>
    <s v="CompShg"/>
    <s v="HdBoard"/>
    <s v="HdBoard"/>
    <s v="None"/>
    <n v="0"/>
    <s v="TA"/>
    <s v="TA"/>
    <s v="CBlock"/>
    <s v="TA"/>
    <s v="TA"/>
    <s v="No"/>
    <s v="BLQ"/>
    <n v="763"/>
    <s v="Unf"/>
    <n v="0"/>
    <n v="192"/>
    <n v="955"/>
    <s v="GasA"/>
    <s v="Ex"/>
    <s v="Y"/>
    <s v="SBrkr"/>
    <n v="955"/>
    <n v="0"/>
    <n v="0"/>
    <x v="47"/>
    <n v="1"/>
    <n v="0"/>
    <n v="1"/>
    <n v="0"/>
    <n v="3"/>
    <n v="1"/>
    <s v="TA"/>
    <n v="6"/>
    <s v="Typ"/>
    <n v="0"/>
    <s v="NA"/>
    <s v="Attchd"/>
    <n v="1966"/>
    <s v="Unf"/>
    <n v="1"/>
    <n v="386"/>
    <s v="TA"/>
    <s v="TA"/>
    <s v="Y"/>
    <n v="0"/>
    <n v="0"/>
    <n v="0"/>
    <n v="0"/>
    <n v="0"/>
    <n v="0"/>
    <s v="NA"/>
    <s v="MnPrv"/>
    <s v="NA"/>
    <n v="0"/>
    <n v="1"/>
    <n v="2007"/>
    <s v="WD"/>
    <s v="Normal"/>
    <n v="127000"/>
  </r>
  <r>
    <n v="51"/>
    <n v="60"/>
    <s v="RL"/>
    <s v="NA"/>
    <n v="13869"/>
    <s v="Pave"/>
    <s v="NA"/>
    <s v="IR2"/>
    <s v="Lvl"/>
    <s v="AllPub"/>
    <s v="Corner"/>
    <s v="Gtl"/>
    <x v="17"/>
    <x v="0"/>
    <s v="Norm"/>
    <x v="0"/>
    <x v="0"/>
    <n v="6"/>
    <n v="6"/>
    <x v="35"/>
    <n v="1997"/>
    <s v="Gable"/>
    <s v="CompShg"/>
    <s v="VinylSd"/>
    <s v="VinylSd"/>
    <s v="None"/>
    <n v="0"/>
    <s v="TA"/>
    <s v="TA"/>
    <s v="PConc"/>
    <s v="Gd"/>
    <s v="TA"/>
    <s v="Av"/>
    <s v="GLQ"/>
    <n v="182"/>
    <s v="Unf"/>
    <n v="0"/>
    <n v="612"/>
    <n v="794"/>
    <s v="GasA"/>
    <s v="Gd"/>
    <s v="Y"/>
    <s v="SBrkr"/>
    <n v="794"/>
    <n v="676"/>
    <n v="0"/>
    <x v="48"/>
    <n v="0"/>
    <n v="1"/>
    <n v="2"/>
    <n v="0"/>
    <n v="3"/>
    <n v="1"/>
    <s v="TA"/>
    <n v="6"/>
    <s v="Typ"/>
    <n v="0"/>
    <s v="NA"/>
    <s v="Attchd"/>
    <n v="1997"/>
    <s v="Fin"/>
    <n v="2"/>
    <n v="388"/>
    <s v="TA"/>
    <s v="TA"/>
    <s v="Y"/>
    <n v="0"/>
    <n v="75"/>
    <n v="0"/>
    <n v="0"/>
    <n v="0"/>
    <n v="0"/>
    <s v="NA"/>
    <s v="NA"/>
    <s v="NA"/>
    <n v="0"/>
    <n v="7"/>
    <n v="2007"/>
    <s v="WD"/>
    <s v="Normal"/>
    <n v="177000"/>
  </r>
  <r>
    <n v="52"/>
    <n v="50"/>
    <s v="RM"/>
    <n v="52"/>
    <n v="6240"/>
    <s v="Pave"/>
    <s v="NA"/>
    <s v="Reg"/>
    <s v="Lvl"/>
    <s v="AllPub"/>
    <s v="Inside"/>
    <s v="Gtl"/>
    <x v="8"/>
    <x v="0"/>
    <s v="Norm"/>
    <x v="0"/>
    <x v="2"/>
    <n v="6"/>
    <n v="6"/>
    <x v="36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816"/>
    <n v="816"/>
    <s v="GasA"/>
    <s v="TA"/>
    <s v="Y"/>
    <s v="SBrkr"/>
    <n v="816"/>
    <n v="0"/>
    <n v="360"/>
    <x v="49"/>
    <n v="0"/>
    <n v="0"/>
    <n v="1"/>
    <n v="0"/>
    <n v="3"/>
    <n v="1"/>
    <s v="TA"/>
    <n v="6"/>
    <s v="Typ"/>
    <n v="1"/>
    <s v="Gd"/>
    <s v="Detchd"/>
    <n v="1985"/>
    <s v="Unf"/>
    <n v="2"/>
    <n v="528"/>
    <s v="TA"/>
    <s v="TA"/>
    <s v="Y"/>
    <n v="112"/>
    <n v="0"/>
    <n v="0"/>
    <n v="0"/>
    <n v="0"/>
    <n v="0"/>
    <s v="NA"/>
    <s v="MnPrv"/>
    <s v="Shed"/>
    <n v="400"/>
    <n v="9"/>
    <n v="2006"/>
    <s v="WD"/>
    <s v="Normal"/>
    <n v="114500"/>
  </r>
  <r>
    <n v="53"/>
    <n v="90"/>
    <s v="RM"/>
    <n v="110"/>
    <n v="8472"/>
    <s v="Grvl"/>
    <s v="NA"/>
    <s v="IR2"/>
    <s v="Bnk"/>
    <s v="AllPub"/>
    <s v="Corner"/>
    <s v="Mod"/>
    <x v="13"/>
    <x v="5"/>
    <s v="Norm"/>
    <x v="2"/>
    <x v="1"/>
    <n v="5"/>
    <n v="5"/>
    <x v="37"/>
    <n v="1963"/>
    <s v="Gable"/>
    <s v="CompShg"/>
    <s v="Wd Sdng"/>
    <s v="Wd Sdng"/>
    <s v="None"/>
    <n v="0"/>
    <s v="Fa"/>
    <s v="TA"/>
    <s v="CBlock"/>
    <s v="Gd"/>
    <s v="TA"/>
    <s v="Gd"/>
    <s v="LwQ"/>
    <n v="104"/>
    <s v="GLQ"/>
    <n v="712"/>
    <n v="0"/>
    <n v="816"/>
    <s v="GasA"/>
    <s v="TA"/>
    <s v="N"/>
    <s v="SBrkr"/>
    <n v="816"/>
    <n v="0"/>
    <n v="0"/>
    <x v="50"/>
    <n v="1"/>
    <n v="0"/>
    <n v="1"/>
    <n v="0"/>
    <n v="2"/>
    <n v="1"/>
    <s v="TA"/>
    <n v="5"/>
    <s v="Typ"/>
    <n v="0"/>
    <s v="NA"/>
    <s v="CarPort"/>
    <n v="1963"/>
    <s v="Unf"/>
    <n v="2"/>
    <n v="516"/>
    <s v="TA"/>
    <s v="TA"/>
    <s v="Y"/>
    <n v="106"/>
    <n v="0"/>
    <n v="0"/>
    <n v="0"/>
    <n v="0"/>
    <n v="0"/>
    <s v="NA"/>
    <s v="NA"/>
    <s v="NA"/>
    <n v="0"/>
    <n v="5"/>
    <n v="2010"/>
    <s v="WD"/>
    <s v="Normal"/>
    <n v="110000"/>
  </r>
  <r>
    <n v="54"/>
    <n v="20"/>
    <s v="RL"/>
    <n v="68"/>
    <n v="50271"/>
    <s v="Pave"/>
    <s v="NA"/>
    <s v="IR1"/>
    <s v="Low"/>
    <s v="AllPub"/>
    <s v="Inside"/>
    <s v="Gtl"/>
    <x v="1"/>
    <x v="0"/>
    <s v="Norm"/>
    <x v="0"/>
    <x v="1"/>
    <n v="9"/>
    <n v="5"/>
    <x v="38"/>
    <n v="1987"/>
    <s v="Gable"/>
    <s v="WdShngl"/>
    <s v="WdShing"/>
    <s v="Wd Shng"/>
    <s v="None"/>
    <n v="0"/>
    <s v="Gd"/>
    <s v="TA"/>
    <s v="CBlock"/>
    <s v="Ex"/>
    <s v="TA"/>
    <s v="Gd"/>
    <s v="GLQ"/>
    <n v="1810"/>
    <s v="Unf"/>
    <n v="0"/>
    <n v="32"/>
    <n v="1842"/>
    <s v="GasA"/>
    <s v="Gd"/>
    <s v="Y"/>
    <s v="SBrkr"/>
    <n v="1842"/>
    <n v="0"/>
    <n v="0"/>
    <x v="51"/>
    <n v="2"/>
    <n v="0"/>
    <n v="0"/>
    <n v="1"/>
    <n v="0"/>
    <n v="1"/>
    <s v="Gd"/>
    <n v="5"/>
    <s v="Typ"/>
    <n v="1"/>
    <s v="Gd"/>
    <s v="Attchd"/>
    <n v="1981"/>
    <s v="Fin"/>
    <n v="3"/>
    <n v="894"/>
    <s v="TA"/>
    <s v="TA"/>
    <s v="Y"/>
    <n v="857"/>
    <n v="72"/>
    <n v="0"/>
    <n v="0"/>
    <n v="0"/>
    <n v="0"/>
    <s v="NA"/>
    <s v="NA"/>
    <s v="NA"/>
    <n v="0"/>
    <n v="11"/>
    <n v="2006"/>
    <s v="WD"/>
    <s v="Normal"/>
    <n v="385000"/>
  </r>
  <r>
    <n v="55"/>
    <n v="80"/>
    <s v="RL"/>
    <n v="60"/>
    <n v="7134"/>
    <s v="Pave"/>
    <s v="NA"/>
    <s v="Reg"/>
    <s v="Bnk"/>
    <s v="AllPub"/>
    <s v="Inside"/>
    <s v="Mod"/>
    <x v="11"/>
    <x v="0"/>
    <s v="Norm"/>
    <x v="0"/>
    <x v="5"/>
    <n v="5"/>
    <n v="5"/>
    <x v="32"/>
    <n v="1955"/>
    <s v="Gable"/>
    <s v="CompShg"/>
    <s v="MetalSd"/>
    <s v="MetalSd"/>
    <s v="None"/>
    <n v="0"/>
    <s v="TA"/>
    <s v="TA"/>
    <s v="CBlock"/>
    <s v="TA"/>
    <s v="TA"/>
    <s v="No"/>
    <s v="ALQ"/>
    <n v="384"/>
    <s v="Unf"/>
    <n v="0"/>
    <n v="0"/>
    <n v="384"/>
    <s v="GasA"/>
    <s v="TA"/>
    <s v="Y"/>
    <s v="SBrkr"/>
    <n v="1360"/>
    <n v="0"/>
    <n v="0"/>
    <x v="52"/>
    <n v="0"/>
    <n v="0"/>
    <n v="1"/>
    <n v="0"/>
    <n v="3"/>
    <n v="1"/>
    <s v="TA"/>
    <n v="6"/>
    <s v="Min1"/>
    <n v="1"/>
    <s v="TA"/>
    <s v="Detchd"/>
    <n v="1962"/>
    <s v="Unf"/>
    <n v="2"/>
    <n v="572"/>
    <s v="TA"/>
    <s v="TA"/>
    <s v="Y"/>
    <n v="0"/>
    <n v="50"/>
    <n v="0"/>
    <n v="0"/>
    <n v="0"/>
    <n v="0"/>
    <s v="NA"/>
    <s v="MnPrv"/>
    <s v="NA"/>
    <n v="0"/>
    <n v="2"/>
    <n v="2007"/>
    <s v="WD"/>
    <s v="Normal"/>
    <n v="130000"/>
  </r>
  <r>
    <n v="56"/>
    <n v="20"/>
    <s v="RL"/>
    <n v="100"/>
    <n v="10175"/>
    <s v="Pave"/>
    <s v="NA"/>
    <s v="IR1"/>
    <s v="Lvl"/>
    <s v="AllPub"/>
    <s v="Inside"/>
    <s v="Gtl"/>
    <x v="11"/>
    <x v="0"/>
    <s v="Norm"/>
    <x v="0"/>
    <x v="1"/>
    <n v="6"/>
    <n v="5"/>
    <x v="39"/>
    <n v="1964"/>
    <s v="Gable"/>
    <s v="CompShg"/>
    <s v="HdBoard"/>
    <s v="Plywood"/>
    <s v="BrkFace"/>
    <n v="272"/>
    <s v="TA"/>
    <s v="TA"/>
    <s v="CBlock"/>
    <s v="TA"/>
    <s v="TA"/>
    <s v="No"/>
    <s v="BLQ"/>
    <n v="490"/>
    <s v="Unf"/>
    <n v="0"/>
    <n v="935"/>
    <n v="1425"/>
    <s v="GasA"/>
    <s v="Gd"/>
    <s v="Y"/>
    <s v="SBrkr"/>
    <n v="1425"/>
    <n v="0"/>
    <n v="0"/>
    <x v="53"/>
    <n v="0"/>
    <n v="0"/>
    <n v="2"/>
    <n v="0"/>
    <n v="3"/>
    <n v="1"/>
    <s v="TA"/>
    <n v="7"/>
    <s v="Typ"/>
    <n v="1"/>
    <s v="Gd"/>
    <s v="Attchd"/>
    <n v="1964"/>
    <s v="RFn"/>
    <n v="2"/>
    <n v="576"/>
    <s v="TA"/>
    <s v="TA"/>
    <s v="Y"/>
    <n v="0"/>
    <n v="0"/>
    <n v="0"/>
    <n v="407"/>
    <n v="0"/>
    <n v="0"/>
    <s v="NA"/>
    <s v="NA"/>
    <s v="NA"/>
    <n v="0"/>
    <n v="7"/>
    <n v="2008"/>
    <s v="WD"/>
    <s v="Normal"/>
    <n v="180500"/>
  </r>
  <r>
    <n v="57"/>
    <n v="160"/>
    <s v="FV"/>
    <n v="24"/>
    <n v="2645"/>
    <s v="Pave"/>
    <s v="Pave"/>
    <s v="Reg"/>
    <s v="Lvl"/>
    <s v="AllPub"/>
    <s v="Inside"/>
    <s v="Gtl"/>
    <x v="5"/>
    <x v="0"/>
    <s v="Norm"/>
    <x v="4"/>
    <x v="0"/>
    <n v="8"/>
    <n v="5"/>
    <x v="40"/>
    <n v="2000"/>
    <s v="Gable"/>
    <s v="CompShg"/>
    <s v="MetalSd"/>
    <s v="MetalSd"/>
    <s v="BrkFace"/>
    <n v="456"/>
    <s v="Gd"/>
    <s v="TA"/>
    <s v="PConc"/>
    <s v="Gd"/>
    <s v="TA"/>
    <s v="No"/>
    <s v="GLQ"/>
    <n v="649"/>
    <s v="Unf"/>
    <n v="0"/>
    <n v="321"/>
    <n v="970"/>
    <s v="GasA"/>
    <s v="Ex"/>
    <s v="Y"/>
    <s v="SBrkr"/>
    <n v="983"/>
    <n v="756"/>
    <n v="0"/>
    <x v="54"/>
    <n v="1"/>
    <n v="0"/>
    <n v="2"/>
    <n v="1"/>
    <n v="3"/>
    <n v="1"/>
    <s v="Gd"/>
    <n v="7"/>
    <s v="Typ"/>
    <n v="0"/>
    <s v="NA"/>
    <s v="Attchd"/>
    <n v="1999"/>
    <s v="Fin"/>
    <n v="2"/>
    <n v="480"/>
    <s v="TA"/>
    <s v="TA"/>
    <s v="Y"/>
    <n v="115"/>
    <n v="0"/>
    <n v="0"/>
    <n v="0"/>
    <n v="0"/>
    <n v="0"/>
    <s v="NA"/>
    <s v="NA"/>
    <s v="NA"/>
    <n v="0"/>
    <n v="8"/>
    <n v="2009"/>
    <s v="WD"/>
    <s v="Abnorml"/>
    <n v="172500"/>
  </r>
  <r>
    <n v="58"/>
    <n v="60"/>
    <s v="RL"/>
    <n v="89"/>
    <n v="11645"/>
    <s v="Pave"/>
    <s v="NA"/>
    <s v="IR1"/>
    <s v="Lvl"/>
    <s v="AllPub"/>
    <s v="Corner"/>
    <s v="Gtl"/>
    <x v="0"/>
    <x v="0"/>
    <s v="Norm"/>
    <x v="0"/>
    <x v="0"/>
    <n v="7"/>
    <n v="5"/>
    <x v="6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60"/>
    <n v="860"/>
    <s v="GasA"/>
    <s v="Ex"/>
    <s v="Y"/>
    <s v="SBrkr"/>
    <n v="860"/>
    <n v="860"/>
    <n v="0"/>
    <x v="55"/>
    <n v="0"/>
    <n v="0"/>
    <n v="2"/>
    <n v="1"/>
    <n v="3"/>
    <n v="1"/>
    <s v="Gd"/>
    <n v="7"/>
    <s v="Typ"/>
    <n v="0"/>
    <s v="NA"/>
    <s v="Attchd"/>
    <n v="2004"/>
    <s v="RFn"/>
    <n v="2"/>
    <n v="565"/>
    <s v="TA"/>
    <s v="TA"/>
    <s v="Y"/>
    <n v="0"/>
    <n v="70"/>
    <n v="0"/>
    <n v="0"/>
    <n v="0"/>
    <n v="0"/>
    <s v="NA"/>
    <s v="NA"/>
    <s v="NA"/>
    <n v="0"/>
    <n v="8"/>
    <n v="2006"/>
    <s v="WD"/>
    <s v="Normal"/>
    <n v="196500"/>
  </r>
  <r>
    <n v="59"/>
    <n v="60"/>
    <s v="RL"/>
    <n v="66"/>
    <n v="13682"/>
    <s v="Pave"/>
    <s v="NA"/>
    <s v="IR2"/>
    <s v="HLS"/>
    <s v="AllPub"/>
    <s v="CulDSac"/>
    <s v="Gtl"/>
    <x v="18"/>
    <x v="0"/>
    <s v="Norm"/>
    <x v="0"/>
    <x v="0"/>
    <n v="10"/>
    <n v="5"/>
    <x v="13"/>
    <n v="2006"/>
    <s v="Hip"/>
    <s v="CompShg"/>
    <s v="VinylSd"/>
    <s v="VinylSd"/>
    <s v="BrkFace"/>
    <n v="1031"/>
    <s v="Ex"/>
    <s v="TA"/>
    <s v="PConc"/>
    <s v="Ex"/>
    <s v="TA"/>
    <s v="Gd"/>
    <s v="Unf"/>
    <n v="0"/>
    <s v="Unf"/>
    <n v="0"/>
    <n v="1410"/>
    <n v="1410"/>
    <s v="GasA"/>
    <s v="Ex"/>
    <s v="Y"/>
    <s v="SBrkr"/>
    <n v="1426"/>
    <n v="1519"/>
    <n v="0"/>
    <x v="56"/>
    <n v="0"/>
    <n v="0"/>
    <n v="3"/>
    <n v="1"/>
    <n v="3"/>
    <n v="1"/>
    <s v="Gd"/>
    <n v="10"/>
    <s v="Typ"/>
    <n v="1"/>
    <s v="Gd"/>
    <s v="BuiltIn"/>
    <n v="2006"/>
    <s v="Fin"/>
    <n v="3"/>
    <n v="641"/>
    <s v="TA"/>
    <s v="TA"/>
    <s v="Y"/>
    <n v="192"/>
    <n v="0"/>
    <n v="37"/>
    <n v="0"/>
    <n v="0"/>
    <n v="0"/>
    <s v="NA"/>
    <s v="NA"/>
    <s v="NA"/>
    <n v="0"/>
    <n v="10"/>
    <n v="2006"/>
    <s v="New"/>
    <s v="Partial"/>
    <n v="438780"/>
  </r>
  <r>
    <n v="60"/>
    <n v="20"/>
    <s v="RL"/>
    <n v="60"/>
    <n v="7200"/>
    <s v="Pave"/>
    <s v="NA"/>
    <s v="Reg"/>
    <s v="Bnk"/>
    <s v="AllPub"/>
    <s v="Inside"/>
    <s v="Gtl"/>
    <x v="0"/>
    <x v="0"/>
    <s v="Norm"/>
    <x v="0"/>
    <x v="1"/>
    <n v="5"/>
    <n v="7"/>
    <x v="41"/>
    <n v="1972"/>
    <s v="Gable"/>
    <s v="CompShg"/>
    <s v="HdBoard"/>
    <s v="HdBoard"/>
    <s v="None"/>
    <n v="0"/>
    <s v="TA"/>
    <s v="TA"/>
    <s v="CBlock"/>
    <s v="TA"/>
    <s v="TA"/>
    <s v="Av"/>
    <s v="ALQ"/>
    <n v="632"/>
    <s v="Unf"/>
    <n v="0"/>
    <n v="148"/>
    <n v="780"/>
    <s v="GasA"/>
    <s v="Ex"/>
    <s v="Y"/>
    <s v="SBrkr"/>
    <n v="780"/>
    <n v="0"/>
    <n v="0"/>
    <x v="57"/>
    <n v="0"/>
    <n v="0"/>
    <n v="1"/>
    <n v="0"/>
    <n v="2"/>
    <n v="1"/>
    <s v="TA"/>
    <n v="4"/>
    <s v="Typ"/>
    <n v="0"/>
    <s v="NA"/>
    <s v="Detchd"/>
    <n v="1973"/>
    <s v="Unf"/>
    <n v="1"/>
    <n v="352"/>
    <s v="TA"/>
    <s v="TA"/>
    <s v="Y"/>
    <n v="196"/>
    <n v="0"/>
    <n v="0"/>
    <n v="0"/>
    <n v="0"/>
    <n v="0"/>
    <s v="NA"/>
    <s v="MnPrv"/>
    <s v="NA"/>
    <n v="0"/>
    <n v="1"/>
    <n v="2008"/>
    <s v="WD"/>
    <s v="Normal"/>
    <n v="124900"/>
  </r>
  <r>
    <n v="61"/>
    <n v="20"/>
    <s v="RL"/>
    <n v="63"/>
    <n v="13072"/>
    <s v="Pave"/>
    <s v="NA"/>
    <s v="Reg"/>
    <s v="Lvl"/>
    <s v="AllPub"/>
    <s v="Inside"/>
    <s v="Gtl"/>
    <x v="12"/>
    <x v="4"/>
    <s v="Norm"/>
    <x v="0"/>
    <x v="1"/>
    <n v="6"/>
    <n v="5"/>
    <x v="6"/>
    <n v="2004"/>
    <s v="Gable"/>
    <s v="CompShg"/>
    <s v="VinylSd"/>
    <s v="VinylSd"/>
    <s v="None"/>
    <n v="0"/>
    <s v="TA"/>
    <s v="TA"/>
    <s v="PConc"/>
    <s v="Gd"/>
    <s v="TA"/>
    <s v="No"/>
    <s v="ALQ"/>
    <n v="941"/>
    <s v="Unf"/>
    <n v="0"/>
    <n v="217"/>
    <n v="1158"/>
    <s v="GasA"/>
    <s v="Ex"/>
    <s v="Y"/>
    <s v="SBrkr"/>
    <n v="1158"/>
    <n v="0"/>
    <n v="0"/>
    <x v="58"/>
    <n v="1"/>
    <n v="0"/>
    <n v="1"/>
    <n v="1"/>
    <n v="3"/>
    <n v="1"/>
    <s v="Gd"/>
    <n v="5"/>
    <s v="Typ"/>
    <n v="0"/>
    <s v="NA"/>
    <s v="Detchd"/>
    <n v="2006"/>
    <s v="Unf"/>
    <n v="2"/>
    <n v="576"/>
    <s v="TA"/>
    <s v="TA"/>
    <s v="Y"/>
    <n v="0"/>
    <n v="50"/>
    <n v="0"/>
    <n v="0"/>
    <n v="0"/>
    <n v="0"/>
    <s v="NA"/>
    <s v="NA"/>
    <s v="NA"/>
    <n v="0"/>
    <n v="5"/>
    <n v="2006"/>
    <s v="New"/>
    <s v="Partial"/>
    <n v="158000"/>
  </r>
  <r>
    <n v="62"/>
    <n v="75"/>
    <s v="RM"/>
    <n v="60"/>
    <n v="7200"/>
    <s v="Pave"/>
    <s v="NA"/>
    <s v="Reg"/>
    <s v="Lvl"/>
    <s v="AllPub"/>
    <s v="Inside"/>
    <s v="Gtl"/>
    <x v="13"/>
    <x v="0"/>
    <s v="Norm"/>
    <x v="0"/>
    <x v="6"/>
    <n v="5"/>
    <n v="7"/>
    <x v="26"/>
    <n v="1996"/>
    <s v="Gable"/>
    <s v="CompShg"/>
    <s v="MetalSd"/>
    <s v="MetalSd"/>
    <s v="None"/>
    <n v="0"/>
    <s v="TA"/>
    <s v="TA"/>
    <s v="BrkTil"/>
    <s v="TA"/>
    <s v="Fa"/>
    <s v="No"/>
    <s v="Unf"/>
    <n v="0"/>
    <s v="Unf"/>
    <n v="0"/>
    <n v="530"/>
    <n v="530"/>
    <s v="GasA"/>
    <s v="TA"/>
    <s v="N"/>
    <s v="SBrkr"/>
    <n v="581"/>
    <n v="530"/>
    <n v="0"/>
    <x v="59"/>
    <n v="0"/>
    <n v="0"/>
    <n v="1"/>
    <n v="0"/>
    <n v="3"/>
    <n v="1"/>
    <s v="Fa"/>
    <n v="6"/>
    <s v="Typ"/>
    <n v="0"/>
    <s v="NA"/>
    <s v="Detchd"/>
    <n v="1935"/>
    <s v="Unf"/>
    <n v="1"/>
    <n v="288"/>
    <s v="TA"/>
    <s v="TA"/>
    <s v="N"/>
    <n v="0"/>
    <n v="0"/>
    <n v="144"/>
    <n v="0"/>
    <n v="0"/>
    <n v="0"/>
    <s v="NA"/>
    <s v="NA"/>
    <s v="NA"/>
    <n v="0"/>
    <n v="3"/>
    <n v="2007"/>
    <s v="WD"/>
    <s v="Normal"/>
    <n v="101000"/>
  </r>
  <r>
    <n v="63"/>
    <n v="120"/>
    <s v="RL"/>
    <n v="44"/>
    <n v="6442"/>
    <s v="Pave"/>
    <s v="NA"/>
    <s v="IR1"/>
    <s v="Lvl"/>
    <s v="AllPub"/>
    <s v="Inside"/>
    <s v="Gtl"/>
    <x v="10"/>
    <x v="0"/>
    <s v="Norm"/>
    <x v="3"/>
    <x v="1"/>
    <n v="8"/>
    <n v="5"/>
    <x v="13"/>
    <n v="2006"/>
    <s v="Gable"/>
    <s v="CompShg"/>
    <s v="VinylSd"/>
    <s v="VinylSd"/>
    <s v="Stone"/>
    <n v="178"/>
    <s v="Gd"/>
    <s v="TA"/>
    <s v="PConc"/>
    <s v="Gd"/>
    <s v="Gd"/>
    <s v="Mn"/>
    <s v="GLQ"/>
    <n v="24"/>
    <s v="Unf"/>
    <n v="0"/>
    <n v="1346"/>
    <n v="1370"/>
    <s v="GasA"/>
    <s v="Ex"/>
    <s v="Y"/>
    <s v="SBrkr"/>
    <n v="1370"/>
    <n v="0"/>
    <n v="0"/>
    <x v="60"/>
    <n v="0"/>
    <n v="0"/>
    <n v="2"/>
    <n v="0"/>
    <n v="2"/>
    <n v="1"/>
    <s v="Gd"/>
    <n v="6"/>
    <s v="Typ"/>
    <n v="1"/>
    <s v="Gd"/>
    <s v="Attchd"/>
    <n v="2006"/>
    <s v="RFn"/>
    <n v="2"/>
    <n v="484"/>
    <s v="TA"/>
    <s v="TA"/>
    <s v="Y"/>
    <n v="120"/>
    <n v="49"/>
    <n v="0"/>
    <n v="0"/>
    <n v="0"/>
    <n v="0"/>
    <s v="NA"/>
    <s v="NA"/>
    <s v="NA"/>
    <n v="0"/>
    <n v="10"/>
    <n v="2007"/>
    <s v="WD"/>
    <s v="Normal"/>
    <n v="202500"/>
  </r>
  <r>
    <n v="64"/>
    <n v="70"/>
    <s v="RM"/>
    <n v="50"/>
    <n v="10300"/>
    <s v="Pave"/>
    <s v="NA"/>
    <s v="IR1"/>
    <s v="Bnk"/>
    <s v="AllPub"/>
    <s v="Inside"/>
    <s v="Gtl"/>
    <x v="7"/>
    <x v="6"/>
    <s v="Feedr"/>
    <x v="0"/>
    <x v="0"/>
    <n v="7"/>
    <n v="6"/>
    <x v="42"/>
    <n v="1950"/>
    <s v="Gable"/>
    <s v="CompShg"/>
    <s v="Stucco"/>
    <s v="Stucco"/>
    <s v="None"/>
    <n v="0"/>
    <s v="TA"/>
    <s v="TA"/>
    <s v="BrkTil"/>
    <s v="TA"/>
    <s v="TA"/>
    <s v="No"/>
    <s v="Unf"/>
    <n v="0"/>
    <s v="Unf"/>
    <n v="0"/>
    <n v="576"/>
    <n v="576"/>
    <s v="GasA"/>
    <s v="Gd"/>
    <s v="Y"/>
    <s v="SBrkr"/>
    <n v="902"/>
    <n v="808"/>
    <n v="0"/>
    <x v="0"/>
    <n v="0"/>
    <n v="0"/>
    <n v="2"/>
    <n v="0"/>
    <n v="3"/>
    <n v="1"/>
    <s v="TA"/>
    <n v="9"/>
    <s v="Typ"/>
    <n v="0"/>
    <s v="NA"/>
    <s v="Detchd"/>
    <n v="1990"/>
    <s v="Unf"/>
    <n v="2"/>
    <n v="480"/>
    <s v="TA"/>
    <s v="TA"/>
    <s v="Y"/>
    <n v="12"/>
    <n v="11"/>
    <n v="64"/>
    <n v="0"/>
    <n v="0"/>
    <n v="0"/>
    <s v="NA"/>
    <s v="GdPrv"/>
    <s v="NA"/>
    <n v="0"/>
    <n v="4"/>
    <n v="2010"/>
    <s v="WD"/>
    <s v="Normal"/>
    <n v="140000"/>
  </r>
  <r>
    <n v="65"/>
    <n v="60"/>
    <s v="RL"/>
    <s v="NA"/>
    <n v="9375"/>
    <s v="Pave"/>
    <s v="NA"/>
    <s v="Reg"/>
    <s v="Lvl"/>
    <s v="AllPub"/>
    <s v="Inside"/>
    <s v="Gtl"/>
    <x v="0"/>
    <x v="0"/>
    <s v="Norm"/>
    <x v="0"/>
    <x v="0"/>
    <n v="7"/>
    <n v="5"/>
    <x v="35"/>
    <n v="1998"/>
    <s v="Gable"/>
    <s v="CompShg"/>
    <s v="VinylSd"/>
    <s v="VinylSd"/>
    <s v="BrkFace"/>
    <n v="573"/>
    <s v="TA"/>
    <s v="TA"/>
    <s v="PConc"/>
    <s v="Gd"/>
    <s v="TA"/>
    <s v="No"/>
    <s v="GLQ"/>
    <n v="739"/>
    <s v="Unf"/>
    <n v="0"/>
    <n v="318"/>
    <n v="1057"/>
    <s v="GasA"/>
    <s v="Ex"/>
    <s v="Y"/>
    <s v="SBrkr"/>
    <n v="1057"/>
    <n v="977"/>
    <n v="0"/>
    <x v="61"/>
    <n v="1"/>
    <n v="0"/>
    <n v="2"/>
    <n v="1"/>
    <n v="3"/>
    <n v="1"/>
    <s v="Gd"/>
    <n v="8"/>
    <s v="Typ"/>
    <n v="0"/>
    <s v="NA"/>
    <s v="Attchd"/>
    <n v="1998"/>
    <s v="RFn"/>
    <n v="2"/>
    <n v="645"/>
    <s v="TA"/>
    <s v="TA"/>
    <s v="Y"/>
    <n v="576"/>
    <n v="36"/>
    <n v="0"/>
    <n v="0"/>
    <n v="0"/>
    <n v="0"/>
    <s v="NA"/>
    <s v="GdPrv"/>
    <s v="NA"/>
    <n v="0"/>
    <n v="2"/>
    <n v="2009"/>
    <s v="WD"/>
    <s v="Normal"/>
    <n v="219500"/>
  </r>
  <r>
    <n v="66"/>
    <n v="60"/>
    <s v="RL"/>
    <n v="76"/>
    <n v="9591"/>
    <s v="Pave"/>
    <s v="NA"/>
    <s v="Reg"/>
    <s v="Lvl"/>
    <s v="AllPub"/>
    <s v="Inside"/>
    <s v="Gtl"/>
    <x v="10"/>
    <x v="0"/>
    <s v="Norm"/>
    <x v="0"/>
    <x v="0"/>
    <n v="8"/>
    <n v="5"/>
    <x v="6"/>
    <n v="2005"/>
    <s v="Gable"/>
    <s v="CompShg"/>
    <s v="VinylSd"/>
    <s v="VinylSd"/>
    <s v="BrkFace"/>
    <n v="344"/>
    <s v="Gd"/>
    <s v="TA"/>
    <s v="PConc"/>
    <s v="Ex"/>
    <s v="TA"/>
    <s v="Av"/>
    <s v="Unf"/>
    <n v="0"/>
    <s v="Unf"/>
    <n v="0"/>
    <n v="1143"/>
    <n v="1143"/>
    <s v="GasA"/>
    <s v="Ex"/>
    <s v="Y"/>
    <s v="SBrkr"/>
    <n v="1143"/>
    <n v="1330"/>
    <n v="0"/>
    <x v="62"/>
    <n v="0"/>
    <n v="0"/>
    <n v="2"/>
    <n v="1"/>
    <n v="4"/>
    <n v="1"/>
    <s v="Gd"/>
    <n v="9"/>
    <s v="Typ"/>
    <n v="1"/>
    <s v="Gd"/>
    <s v="BuiltIn"/>
    <n v="2004"/>
    <s v="RFn"/>
    <n v="3"/>
    <n v="852"/>
    <s v="TA"/>
    <s v="TA"/>
    <s v="Y"/>
    <n v="192"/>
    <n v="151"/>
    <n v="0"/>
    <n v="0"/>
    <n v="0"/>
    <n v="0"/>
    <s v="NA"/>
    <s v="NA"/>
    <s v="NA"/>
    <n v="0"/>
    <n v="10"/>
    <n v="2007"/>
    <s v="WD"/>
    <s v="Normal"/>
    <n v="317000"/>
  </r>
  <r>
    <n v="67"/>
    <n v="20"/>
    <s v="RL"/>
    <s v="NA"/>
    <n v="19900"/>
    <s v="Pave"/>
    <s v="NA"/>
    <s v="Reg"/>
    <s v="Lvl"/>
    <s v="AllPub"/>
    <s v="Inside"/>
    <s v="Gtl"/>
    <x v="11"/>
    <x v="7"/>
    <s v="Norm"/>
    <x v="0"/>
    <x v="1"/>
    <n v="7"/>
    <n v="5"/>
    <x v="16"/>
    <n v="1989"/>
    <s v="Gable"/>
    <s v="CompShg"/>
    <s v="Plywood"/>
    <s v="Plywood"/>
    <s v="BrkFace"/>
    <n v="287"/>
    <s v="TA"/>
    <s v="TA"/>
    <s v="CBlock"/>
    <s v="Gd"/>
    <s v="TA"/>
    <s v="Gd"/>
    <s v="GLQ"/>
    <n v="912"/>
    <s v="Unf"/>
    <n v="0"/>
    <n v="1035"/>
    <n v="1947"/>
    <s v="GasA"/>
    <s v="TA"/>
    <s v="Y"/>
    <s v="SBrkr"/>
    <n v="2207"/>
    <n v="0"/>
    <n v="0"/>
    <x v="63"/>
    <n v="1"/>
    <n v="0"/>
    <n v="2"/>
    <n v="0"/>
    <n v="3"/>
    <n v="1"/>
    <s v="TA"/>
    <n v="7"/>
    <s v="Min1"/>
    <n v="1"/>
    <s v="Gd"/>
    <s v="Attchd"/>
    <n v="1970"/>
    <s v="RFn"/>
    <n v="2"/>
    <n v="576"/>
    <s v="TA"/>
    <s v="TA"/>
    <s v="Y"/>
    <n v="301"/>
    <n v="0"/>
    <n v="0"/>
    <n v="0"/>
    <n v="0"/>
    <n v="0"/>
    <s v="NA"/>
    <s v="NA"/>
    <s v="NA"/>
    <n v="0"/>
    <n v="7"/>
    <n v="2010"/>
    <s v="WD"/>
    <s v="Normal"/>
    <n v="180000"/>
  </r>
  <r>
    <n v="68"/>
    <n v="20"/>
    <s v="RL"/>
    <n v="72"/>
    <n v="10665"/>
    <s v="Pave"/>
    <s v="NA"/>
    <s v="IR1"/>
    <s v="Lvl"/>
    <s v="AllPub"/>
    <s v="Inside"/>
    <s v="Gtl"/>
    <x v="0"/>
    <x v="0"/>
    <s v="Norm"/>
    <x v="0"/>
    <x v="1"/>
    <n v="7"/>
    <n v="5"/>
    <x v="0"/>
    <n v="2003"/>
    <s v="Gable"/>
    <s v="CompShg"/>
    <s v="VinylSd"/>
    <s v="VinylSd"/>
    <s v="BrkFace"/>
    <n v="167"/>
    <s v="Gd"/>
    <s v="TA"/>
    <s v="PConc"/>
    <s v="Gd"/>
    <s v="TA"/>
    <s v="Av"/>
    <s v="GLQ"/>
    <n v="1013"/>
    <s v="Unf"/>
    <n v="0"/>
    <n v="440"/>
    <n v="1453"/>
    <s v="GasA"/>
    <s v="Ex"/>
    <s v="Y"/>
    <s v="SBrkr"/>
    <n v="1479"/>
    <n v="0"/>
    <n v="0"/>
    <x v="64"/>
    <n v="1"/>
    <n v="0"/>
    <n v="2"/>
    <n v="0"/>
    <n v="3"/>
    <n v="1"/>
    <s v="Gd"/>
    <n v="7"/>
    <s v="Typ"/>
    <n v="0"/>
    <s v="NA"/>
    <s v="Attchd"/>
    <n v="2003"/>
    <s v="RFn"/>
    <n v="2"/>
    <n v="558"/>
    <s v="TA"/>
    <s v="TA"/>
    <s v="Y"/>
    <n v="144"/>
    <n v="29"/>
    <n v="0"/>
    <n v="0"/>
    <n v="0"/>
    <n v="0"/>
    <s v="NA"/>
    <s v="NA"/>
    <s v="NA"/>
    <n v="0"/>
    <n v="6"/>
    <n v="2007"/>
    <s v="WD"/>
    <s v="Normal"/>
    <n v="226000"/>
  </r>
  <r>
    <n v="69"/>
    <n v="30"/>
    <s v="RM"/>
    <n v="47"/>
    <n v="4608"/>
    <s v="Pave"/>
    <s v="NA"/>
    <s v="Reg"/>
    <s v="Lvl"/>
    <s v="AllPub"/>
    <s v="Corner"/>
    <s v="Gtl"/>
    <x v="7"/>
    <x v="3"/>
    <s v="Norm"/>
    <x v="0"/>
    <x v="1"/>
    <n v="4"/>
    <n v="6"/>
    <x v="43"/>
    <n v="1950"/>
    <s v="Gable"/>
    <s v="CompShg"/>
    <s v="MetalSd"/>
    <s v="MetalSd"/>
    <s v="None"/>
    <n v="0"/>
    <s v="TA"/>
    <s v="Gd"/>
    <s v="CBlock"/>
    <s v="TA"/>
    <s v="TA"/>
    <s v="No"/>
    <s v="Unf"/>
    <n v="0"/>
    <s v="Unf"/>
    <n v="0"/>
    <n v="747"/>
    <n v="747"/>
    <s v="GasA"/>
    <s v="TA"/>
    <s v="Y"/>
    <s v="SBrkr"/>
    <n v="747"/>
    <n v="0"/>
    <n v="0"/>
    <x v="65"/>
    <n v="0"/>
    <n v="0"/>
    <n v="1"/>
    <n v="0"/>
    <n v="2"/>
    <n v="1"/>
    <s v="TA"/>
    <n v="4"/>
    <s v="Typ"/>
    <n v="0"/>
    <s v="NA"/>
    <s v="Attchd"/>
    <n v="1945"/>
    <s v="Unf"/>
    <n v="1"/>
    <n v="220"/>
    <s v="TA"/>
    <s v="TA"/>
    <s v="Y"/>
    <n v="0"/>
    <n v="0"/>
    <n v="0"/>
    <n v="0"/>
    <n v="0"/>
    <n v="0"/>
    <s v="NA"/>
    <s v="NA"/>
    <s v="NA"/>
    <n v="0"/>
    <n v="6"/>
    <n v="2010"/>
    <s v="WD"/>
    <s v="Normal"/>
    <n v="80000"/>
  </r>
  <r>
    <n v="70"/>
    <n v="50"/>
    <s v="RL"/>
    <n v="81"/>
    <n v="15593"/>
    <s v="Pave"/>
    <s v="NA"/>
    <s v="Reg"/>
    <s v="Lvl"/>
    <s v="AllPub"/>
    <s v="Corner"/>
    <s v="Gtl"/>
    <x v="19"/>
    <x v="0"/>
    <s v="Norm"/>
    <x v="0"/>
    <x v="2"/>
    <n v="7"/>
    <n v="4"/>
    <x v="31"/>
    <n v="1953"/>
    <s v="Gable"/>
    <s v="CompShg"/>
    <s v="BrkFace"/>
    <s v="AsbShng"/>
    <s v="None"/>
    <n v="0"/>
    <s v="Gd"/>
    <s v="TA"/>
    <s v="CBlock"/>
    <s v="TA"/>
    <s v="TA"/>
    <s v="No"/>
    <s v="BLQ"/>
    <n v="603"/>
    <s v="Unf"/>
    <n v="0"/>
    <n v="701"/>
    <n v="1304"/>
    <s v="GasW"/>
    <s v="TA"/>
    <s v="Y"/>
    <s v="SBrkr"/>
    <n v="1304"/>
    <n v="983"/>
    <n v="0"/>
    <x v="66"/>
    <n v="0"/>
    <n v="0"/>
    <n v="2"/>
    <n v="0"/>
    <n v="3"/>
    <n v="1"/>
    <s v="TA"/>
    <n v="7"/>
    <s v="Typ"/>
    <n v="1"/>
    <s v="TA"/>
    <s v="Attchd"/>
    <n v="1953"/>
    <s v="Fin"/>
    <n v="2"/>
    <n v="667"/>
    <s v="TA"/>
    <s v="TA"/>
    <s v="Y"/>
    <n v="0"/>
    <n v="21"/>
    <n v="114"/>
    <n v="0"/>
    <n v="0"/>
    <n v="0"/>
    <s v="NA"/>
    <s v="NA"/>
    <s v="NA"/>
    <n v="0"/>
    <n v="7"/>
    <n v="2006"/>
    <s v="WD"/>
    <s v="Normal"/>
    <n v="225000"/>
  </r>
  <r>
    <n v="71"/>
    <n v="20"/>
    <s v="RL"/>
    <n v="95"/>
    <n v="13651"/>
    <s v="Pave"/>
    <s v="NA"/>
    <s v="IR1"/>
    <s v="Lvl"/>
    <s v="AllPub"/>
    <s v="Inside"/>
    <s v="Gtl"/>
    <x v="11"/>
    <x v="0"/>
    <s v="Norm"/>
    <x v="0"/>
    <x v="1"/>
    <n v="7"/>
    <n v="6"/>
    <x v="7"/>
    <n v="1973"/>
    <s v="Gable"/>
    <s v="CompShg"/>
    <s v="Plywood"/>
    <s v="Plywood"/>
    <s v="BrkFace"/>
    <n v="1115"/>
    <s v="TA"/>
    <s v="Gd"/>
    <s v="CBlock"/>
    <s v="Gd"/>
    <s v="TA"/>
    <s v="Gd"/>
    <s v="ALQ"/>
    <n v="1880"/>
    <s v="Unf"/>
    <n v="0"/>
    <n v="343"/>
    <n v="2223"/>
    <s v="GasA"/>
    <s v="Ex"/>
    <s v="Y"/>
    <s v="SBrkr"/>
    <n v="2223"/>
    <n v="0"/>
    <n v="0"/>
    <x v="67"/>
    <n v="1"/>
    <n v="0"/>
    <n v="2"/>
    <n v="0"/>
    <n v="3"/>
    <n v="1"/>
    <s v="TA"/>
    <n v="8"/>
    <s v="Typ"/>
    <n v="2"/>
    <s v="Gd"/>
    <s v="Attchd"/>
    <n v="1973"/>
    <s v="Fin"/>
    <n v="2"/>
    <n v="516"/>
    <s v="TA"/>
    <s v="TA"/>
    <s v="Y"/>
    <n v="300"/>
    <n v="0"/>
    <n v="0"/>
    <n v="0"/>
    <n v="0"/>
    <n v="0"/>
    <s v="NA"/>
    <s v="NA"/>
    <s v="NA"/>
    <n v="0"/>
    <n v="2"/>
    <n v="2007"/>
    <s v="WD"/>
    <s v="Normal"/>
    <n v="244000"/>
  </r>
  <r>
    <n v="72"/>
    <n v="20"/>
    <s v="RL"/>
    <n v="69"/>
    <n v="7599"/>
    <s v="Pave"/>
    <s v="NA"/>
    <s v="Reg"/>
    <s v="Lvl"/>
    <s v="AllPub"/>
    <s v="Corner"/>
    <s v="Gtl"/>
    <x v="4"/>
    <x v="0"/>
    <s v="Norm"/>
    <x v="0"/>
    <x v="1"/>
    <n v="4"/>
    <n v="6"/>
    <x v="44"/>
    <n v="2006"/>
    <s v="Gable"/>
    <s v="CompShg"/>
    <s v="HdBoard"/>
    <s v="Plywood"/>
    <s v="None"/>
    <n v="0"/>
    <s v="TA"/>
    <s v="TA"/>
    <s v="CBlock"/>
    <s v="TA"/>
    <s v="TA"/>
    <s v="No"/>
    <s v="ALQ"/>
    <n v="565"/>
    <s v="Unf"/>
    <n v="0"/>
    <n v="280"/>
    <n v="845"/>
    <s v="GasA"/>
    <s v="TA"/>
    <s v="Y"/>
    <s v="SBrkr"/>
    <n v="845"/>
    <n v="0"/>
    <n v="0"/>
    <x v="68"/>
    <n v="1"/>
    <n v="0"/>
    <n v="1"/>
    <n v="0"/>
    <n v="2"/>
    <n v="1"/>
    <s v="TA"/>
    <n v="4"/>
    <s v="Typ"/>
    <n v="0"/>
    <s v="NA"/>
    <s v="Detchd"/>
    <n v="1987"/>
    <s v="Unf"/>
    <n v="2"/>
    <n v="360"/>
    <s v="TA"/>
    <s v="TA"/>
    <s v="Y"/>
    <n v="0"/>
    <n v="0"/>
    <n v="0"/>
    <n v="0"/>
    <n v="0"/>
    <n v="0"/>
    <s v="NA"/>
    <s v="NA"/>
    <s v="NA"/>
    <n v="0"/>
    <n v="6"/>
    <n v="2007"/>
    <s v="WD"/>
    <s v="Normal"/>
    <n v="129500"/>
  </r>
  <r>
    <n v="73"/>
    <n v="60"/>
    <s v="RL"/>
    <n v="74"/>
    <n v="10141"/>
    <s v="Pave"/>
    <s v="NA"/>
    <s v="IR1"/>
    <s v="Lvl"/>
    <s v="AllPub"/>
    <s v="Corner"/>
    <s v="Gtl"/>
    <x v="17"/>
    <x v="0"/>
    <s v="Norm"/>
    <x v="0"/>
    <x v="0"/>
    <n v="7"/>
    <n v="5"/>
    <x v="45"/>
    <n v="1998"/>
    <s v="Gable"/>
    <s v="CompShg"/>
    <s v="VinylSd"/>
    <s v="VinylSd"/>
    <s v="BrkFace"/>
    <n v="40"/>
    <s v="TA"/>
    <s v="TA"/>
    <s v="PConc"/>
    <s v="Gd"/>
    <s v="TA"/>
    <s v="No"/>
    <s v="Unf"/>
    <n v="0"/>
    <s v="Unf"/>
    <n v="0"/>
    <n v="832"/>
    <n v="832"/>
    <s v="GasA"/>
    <s v="Gd"/>
    <s v="Y"/>
    <s v="SBrkr"/>
    <n v="885"/>
    <n v="833"/>
    <n v="0"/>
    <x v="69"/>
    <n v="0"/>
    <n v="0"/>
    <n v="2"/>
    <n v="1"/>
    <n v="3"/>
    <n v="1"/>
    <s v="TA"/>
    <n v="7"/>
    <s v="Typ"/>
    <n v="1"/>
    <s v="TA"/>
    <s v="Attchd"/>
    <n v="1998"/>
    <s v="Fin"/>
    <n v="2"/>
    <n v="427"/>
    <s v="TA"/>
    <s v="TA"/>
    <s v="Y"/>
    <n v="0"/>
    <n v="94"/>
    <n v="0"/>
    <n v="0"/>
    <n v="291"/>
    <n v="0"/>
    <s v="NA"/>
    <s v="NA"/>
    <s v="NA"/>
    <n v="0"/>
    <n v="12"/>
    <n v="2009"/>
    <s v="WD"/>
    <s v="Normal"/>
    <n v="185000"/>
  </r>
  <r>
    <n v="74"/>
    <n v="20"/>
    <s v="RL"/>
    <n v="85"/>
    <n v="10200"/>
    <s v="Pave"/>
    <s v="NA"/>
    <s v="Reg"/>
    <s v="Lvl"/>
    <s v="AllPub"/>
    <s v="Inside"/>
    <s v="Gtl"/>
    <x v="11"/>
    <x v="0"/>
    <s v="Norm"/>
    <x v="0"/>
    <x v="1"/>
    <n v="5"/>
    <n v="7"/>
    <x v="30"/>
    <n v="2003"/>
    <s v="Gable"/>
    <s v="CompShg"/>
    <s v="Wd Sdng"/>
    <s v="Wd Sdng"/>
    <s v="BrkFace"/>
    <n v="104"/>
    <s v="TA"/>
    <s v="TA"/>
    <s v="CBlock"/>
    <s v="TA"/>
    <s v="TA"/>
    <s v="No"/>
    <s v="ALQ"/>
    <n v="320"/>
    <s v="BLQ"/>
    <n v="362"/>
    <n v="404"/>
    <n v="1086"/>
    <s v="GasA"/>
    <s v="Gd"/>
    <s v="Y"/>
    <s v="SBrkr"/>
    <n v="1086"/>
    <n v="0"/>
    <n v="0"/>
    <x v="70"/>
    <n v="1"/>
    <n v="0"/>
    <n v="1"/>
    <n v="0"/>
    <n v="3"/>
    <n v="1"/>
    <s v="TA"/>
    <n v="6"/>
    <s v="Typ"/>
    <n v="0"/>
    <s v="NA"/>
    <s v="Attchd"/>
    <n v="1989"/>
    <s v="Unf"/>
    <n v="2"/>
    <n v="490"/>
    <s v="TA"/>
    <s v="TA"/>
    <s v="Y"/>
    <n v="0"/>
    <n v="0"/>
    <n v="0"/>
    <n v="0"/>
    <n v="0"/>
    <n v="0"/>
    <s v="NA"/>
    <s v="GdWo"/>
    <s v="NA"/>
    <n v="0"/>
    <n v="5"/>
    <n v="2010"/>
    <s v="WD"/>
    <s v="Normal"/>
    <n v="144900"/>
  </r>
  <r>
    <n v="75"/>
    <n v="50"/>
    <s v="RM"/>
    <n v="60"/>
    <n v="5790"/>
    <s v="Pave"/>
    <s v="NA"/>
    <s v="Reg"/>
    <s v="Lvl"/>
    <s v="AllPub"/>
    <s v="Corner"/>
    <s v="Gtl"/>
    <x v="7"/>
    <x v="0"/>
    <s v="Norm"/>
    <x v="0"/>
    <x v="0"/>
    <n v="3"/>
    <n v="6"/>
    <x v="3"/>
    <n v="1950"/>
    <s v="Gambrel"/>
    <s v="CompShg"/>
    <s v="VinylSd"/>
    <s v="VinylSd"/>
    <s v="None"/>
    <n v="0"/>
    <s v="Gd"/>
    <s v="Gd"/>
    <s v="CBlock"/>
    <s v="Fa"/>
    <s v="TA"/>
    <s v="No"/>
    <s v="Unf"/>
    <n v="0"/>
    <s v="Unf"/>
    <n v="0"/>
    <n v="840"/>
    <n v="840"/>
    <s v="GasA"/>
    <s v="Gd"/>
    <s v="N"/>
    <s v="SBrkr"/>
    <n v="840"/>
    <n v="765"/>
    <n v="0"/>
    <x v="71"/>
    <n v="0"/>
    <n v="0"/>
    <n v="2"/>
    <n v="0"/>
    <n v="3"/>
    <n v="2"/>
    <s v="TA"/>
    <n v="8"/>
    <s v="Typ"/>
    <n v="0"/>
    <s v="NA"/>
    <s v="Detchd"/>
    <n v="1915"/>
    <s v="Unf"/>
    <n v="1"/>
    <n v="379"/>
    <s v="TA"/>
    <s v="TA"/>
    <s v="Y"/>
    <n v="0"/>
    <n v="0"/>
    <n v="202"/>
    <n v="0"/>
    <n v="0"/>
    <n v="0"/>
    <s v="NA"/>
    <s v="NA"/>
    <s v="NA"/>
    <n v="0"/>
    <n v="5"/>
    <n v="2010"/>
    <s v="WD"/>
    <s v="Normal"/>
    <n v="107400"/>
  </r>
  <r>
    <n v="76"/>
    <n v="180"/>
    <s v="RM"/>
    <n v="21"/>
    <n v="1596"/>
    <s v="Pave"/>
    <s v="NA"/>
    <s v="Reg"/>
    <s v="Lvl"/>
    <s v="AllPub"/>
    <s v="Inside"/>
    <s v="Gtl"/>
    <x v="14"/>
    <x v="0"/>
    <s v="Norm"/>
    <x v="4"/>
    <x v="5"/>
    <n v="4"/>
    <n v="5"/>
    <x v="7"/>
    <n v="1973"/>
    <s v="Gable"/>
    <s v="CompShg"/>
    <s v="CemntBd"/>
    <s v="CmentBd"/>
    <s v="None"/>
    <n v="0"/>
    <s v="TA"/>
    <s v="TA"/>
    <s v="CBlock"/>
    <s v="Gd"/>
    <s v="TA"/>
    <s v="Gd"/>
    <s v="GLQ"/>
    <n v="462"/>
    <s v="Unf"/>
    <n v="0"/>
    <n v="0"/>
    <n v="462"/>
    <s v="GasA"/>
    <s v="TA"/>
    <s v="Y"/>
    <s v="SBrkr"/>
    <n v="526"/>
    <n v="462"/>
    <n v="0"/>
    <x v="72"/>
    <n v="1"/>
    <n v="0"/>
    <n v="1"/>
    <n v="0"/>
    <n v="2"/>
    <n v="1"/>
    <s v="TA"/>
    <n v="5"/>
    <s v="Typ"/>
    <n v="0"/>
    <s v="NA"/>
    <s v="BuiltIn"/>
    <n v="1973"/>
    <s v="Unf"/>
    <n v="1"/>
    <n v="297"/>
    <s v="TA"/>
    <s v="TA"/>
    <s v="Y"/>
    <n v="120"/>
    <n v="101"/>
    <n v="0"/>
    <n v="0"/>
    <n v="0"/>
    <n v="0"/>
    <s v="NA"/>
    <s v="GdWo"/>
    <s v="NA"/>
    <n v="0"/>
    <n v="11"/>
    <n v="2009"/>
    <s v="WD"/>
    <s v="Normal"/>
    <n v="91000"/>
  </r>
  <r>
    <n v="77"/>
    <n v="20"/>
    <s v="RL"/>
    <s v="NA"/>
    <n v="8475"/>
    <s v="Pave"/>
    <s v="NA"/>
    <s v="IR1"/>
    <s v="Lvl"/>
    <s v="AllPub"/>
    <s v="Inside"/>
    <s v="Gtl"/>
    <x v="11"/>
    <x v="0"/>
    <s v="Norm"/>
    <x v="0"/>
    <x v="1"/>
    <n v="4"/>
    <n v="7"/>
    <x v="46"/>
    <n v="1956"/>
    <s v="Gable"/>
    <s v="CompShg"/>
    <s v="VinylSd"/>
    <s v="VinylSd"/>
    <s v="None"/>
    <n v="0"/>
    <s v="TA"/>
    <s v="TA"/>
    <s v="CBlock"/>
    <s v="TA"/>
    <s v="TA"/>
    <s v="No"/>
    <s v="ALQ"/>
    <n v="228"/>
    <s v="Unf"/>
    <n v="0"/>
    <n v="724"/>
    <n v="952"/>
    <s v="GasA"/>
    <s v="Ex"/>
    <s v="Y"/>
    <s v="FuseA"/>
    <n v="952"/>
    <n v="0"/>
    <n v="0"/>
    <x v="73"/>
    <n v="0"/>
    <n v="0"/>
    <n v="1"/>
    <n v="0"/>
    <n v="2"/>
    <n v="1"/>
    <s v="TA"/>
    <n v="4"/>
    <s v="Typ"/>
    <n v="0"/>
    <s v="NA"/>
    <s v="Detchd"/>
    <n v="1956"/>
    <s v="Unf"/>
    <n v="1"/>
    <n v="283"/>
    <s v="TA"/>
    <s v="TA"/>
    <s v="Y"/>
    <n v="0"/>
    <n v="0"/>
    <n v="0"/>
    <n v="0"/>
    <n v="0"/>
    <n v="0"/>
    <s v="NA"/>
    <s v="NA"/>
    <s v="NA"/>
    <n v="0"/>
    <n v="4"/>
    <n v="2008"/>
    <s v="WD"/>
    <s v="Normal"/>
    <n v="135750"/>
  </r>
  <r>
    <n v="78"/>
    <n v="50"/>
    <s v="RM"/>
    <n v="50"/>
    <n v="8635"/>
    <s v="Pave"/>
    <s v="NA"/>
    <s v="Reg"/>
    <s v="Lvl"/>
    <s v="AllPub"/>
    <s v="Inside"/>
    <s v="Gtl"/>
    <x v="8"/>
    <x v="0"/>
    <s v="Norm"/>
    <x v="0"/>
    <x v="2"/>
    <n v="5"/>
    <n v="5"/>
    <x v="47"/>
    <n v="2001"/>
    <s v="Gable"/>
    <s v="CompShg"/>
    <s v="Wd Sdng"/>
    <s v="Wd Sdng"/>
    <s v="None"/>
    <n v="0"/>
    <s v="TA"/>
    <s v="TA"/>
    <s v="CBlock"/>
    <s v="TA"/>
    <s v="TA"/>
    <s v="No"/>
    <s v="BLQ"/>
    <n v="336"/>
    <s v="GLQ"/>
    <n v="41"/>
    <n v="295"/>
    <n v="672"/>
    <s v="GasA"/>
    <s v="TA"/>
    <s v="Y"/>
    <s v="SBrkr"/>
    <n v="1072"/>
    <n v="213"/>
    <n v="0"/>
    <x v="74"/>
    <n v="1"/>
    <n v="0"/>
    <n v="1"/>
    <n v="0"/>
    <n v="2"/>
    <n v="1"/>
    <s v="TA"/>
    <n v="6"/>
    <s v="Min1"/>
    <n v="0"/>
    <s v="NA"/>
    <s v="Detchd"/>
    <n v="1948"/>
    <s v="Unf"/>
    <n v="1"/>
    <n v="240"/>
    <s v="TA"/>
    <s v="TA"/>
    <s v="Y"/>
    <n v="0"/>
    <n v="0"/>
    <n v="0"/>
    <n v="0"/>
    <n v="0"/>
    <n v="0"/>
    <s v="NA"/>
    <s v="MnPrv"/>
    <s v="NA"/>
    <n v="0"/>
    <n v="1"/>
    <n v="2008"/>
    <s v="WD"/>
    <s v="Normal"/>
    <n v="127000"/>
  </r>
  <r>
    <n v="79"/>
    <n v="90"/>
    <s v="RL"/>
    <n v="72"/>
    <n v="10778"/>
    <s v="Pave"/>
    <s v="NA"/>
    <s v="Reg"/>
    <s v="Lvl"/>
    <s v="AllPub"/>
    <s v="Inside"/>
    <s v="Gtl"/>
    <x v="9"/>
    <x v="0"/>
    <s v="Norm"/>
    <x v="2"/>
    <x v="1"/>
    <n v="4"/>
    <n v="5"/>
    <x v="21"/>
    <n v="1968"/>
    <s v="Hip"/>
    <s v="CompShg"/>
    <s v="HdBoard"/>
    <s v="HdBoard"/>
    <s v="None"/>
    <n v="0"/>
    <s v="TA"/>
    <s v="TA"/>
    <s v="CBlock"/>
    <s v="TA"/>
    <s v="TA"/>
    <s v="No"/>
    <s v="Unf"/>
    <n v="0"/>
    <s v="Unf"/>
    <n v="0"/>
    <n v="1768"/>
    <n v="1768"/>
    <s v="GasA"/>
    <s v="TA"/>
    <s v="N"/>
    <s v="SBrkr"/>
    <n v="1768"/>
    <n v="0"/>
    <n v="0"/>
    <x v="75"/>
    <n v="0"/>
    <n v="0"/>
    <n v="2"/>
    <n v="0"/>
    <n v="4"/>
    <n v="2"/>
    <s v="TA"/>
    <n v="8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4"/>
    <n v="2010"/>
    <s v="WD"/>
    <s v="Normal"/>
    <n v="136500"/>
  </r>
  <r>
    <n v="80"/>
    <n v="50"/>
    <s v="RM"/>
    <n v="60"/>
    <n v="10440"/>
    <s v="Pave"/>
    <s v="Grvl"/>
    <s v="Reg"/>
    <s v="Lvl"/>
    <s v="AllPub"/>
    <s v="Corner"/>
    <s v="Gtl"/>
    <x v="7"/>
    <x v="0"/>
    <s v="Norm"/>
    <x v="0"/>
    <x v="0"/>
    <n v="5"/>
    <n v="6"/>
    <x v="48"/>
    <n v="1981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440"/>
    <n v="440"/>
    <s v="GasA"/>
    <s v="Gd"/>
    <s v="Y"/>
    <s v="SBrkr"/>
    <n v="682"/>
    <n v="548"/>
    <n v="0"/>
    <x v="76"/>
    <n v="0"/>
    <n v="0"/>
    <n v="1"/>
    <n v="1"/>
    <n v="2"/>
    <n v="1"/>
    <s v="TA"/>
    <n v="5"/>
    <s v="Typ"/>
    <n v="0"/>
    <s v="NA"/>
    <s v="Detchd"/>
    <n v="1966"/>
    <s v="Unf"/>
    <n v="2"/>
    <n v="440"/>
    <s v="TA"/>
    <s v="TA"/>
    <s v="Y"/>
    <n v="74"/>
    <n v="0"/>
    <n v="128"/>
    <n v="0"/>
    <n v="0"/>
    <n v="0"/>
    <s v="NA"/>
    <s v="MnPrv"/>
    <s v="NA"/>
    <n v="0"/>
    <n v="5"/>
    <n v="2009"/>
    <s v="WD"/>
    <s v="Normal"/>
    <n v="110000"/>
  </r>
  <r>
    <n v="81"/>
    <n v="60"/>
    <s v="RL"/>
    <n v="100"/>
    <n v="13000"/>
    <s v="Pave"/>
    <s v="NA"/>
    <s v="Reg"/>
    <s v="Lvl"/>
    <s v="AllPub"/>
    <s v="Corner"/>
    <s v="Gtl"/>
    <x v="11"/>
    <x v="0"/>
    <s v="Norm"/>
    <x v="0"/>
    <x v="0"/>
    <n v="6"/>
    <n v="6"/>
    <x v="21"/>
    <n v="1968"/>
    <s v="Gable"/>
    <s v="CompShg"/>
    <s v="VinylSd"/>
    <s v="VinylSd"/>
    <s v="BrkFace"/>
    <n v="576"/>
    <s v="TA"/>
    <s v="Gd"/>
    <s v="CBlock"/>
    <s v="Gd"/>
    <s v="TA"/>
    <s v="No"/>
    <s v="Rec"/>
    <n v="448"/>
    <s v="Unf"/>
    <n v="0"/>
    <n v="448"/>
    <n v="896"/>
    <s v="GasA"/>
    <s v="TA"/>
    <s v="Y"/>
    <s v="SBrkr"/>
    <n v="1182"/>
    <n v="960"/>
    <n v="0"/>
    <x v="77"/>
    <n v="0"/>
    <n v="0"/>
    <n v="2"/>
    <n v="1"/>
    <n v="4"/>
    <n v="1"/>
    <s v="Gd"/>
    <n v="8"/>
    <s v="Typ"/>
    <n v="1"/>
    <s v="Gd"/>
    <s v="Attchd"/>
    <n v="1968"/>
    <s v="Fin"/>
    <n v="1"/>
    <n v="509"/>
    <s v="TA"/>
    <s v="TA"/>
    <s v="Y"/>
    <n v="0"/>
    <n v="72"/>
    <n v="0"/>
    <n v="0"/>
    <n v="252"/>
    <n v="0"/>
    <s v="NA"/>
    <s v="NA"/>
    <s v="NA"/>
    <n v="0"/>
    <n v="6"/>
    <n v="2009"/>
    <s v="WD"/>
    <s v="Normal"/>
    <n v="193500"/>
  </r>
  <r>
    <n v="82"/>
    <n v="120"/>
    <s v="RM"/>
    <n v="32"/>
    <n v="4500"/>
    <s v="Pave"/>
    <s v="NA"/>
    <s v="Reg"/>
    <s v="Lvl"/>
    <s v="AllPub"/>
    <s v="FR2"/>
    <s v="Gtl"/>
    <x v="4"/>
    <x v="0"/>
    <s v="Norm"/>
    <x v="3"/>
    <x v="1"/>
    <n v="6"/>
    <n v="5"/>
    <x v="45"/>
    <n v="1998"/>
    <s v="Hip"/>
    <s v="CompShg"/>
    <s v="VinylSd"/>
    <s v="VinylSd"/>
    <s v="BrkFace"/>
    <n v="443"/>
    <s v="TA"/>
    <s v="Gd"/>
    <s v="PConc"/>
    <s v="Ex"/>
    <s v="Gd"/>
    <s v="No"/>
    <s v="GLQ"/>
    <n v="1201"/>
    <s v="Unf"/>
    <n v="0"/>
    <n v="36"/>
    <n v="1237"/>
    <s v="GasA"/>
    <s v="Ex"/>
    <s v="Y"/>
    <s v="SBrkr"/>
    <n v="1337"/>
    <n v="0"/>
    <n v="0"/>
    <x v="78"/>
    <n v="1"/>
    <n v="0"/>
    <n v="2"/>
    <n v="0"/>
    <n v="2"/>
    <n v="1"/>
    <s v="TA"/>
    <n v="5"/>
    <s v="Typ"/>
    <n v="0"/>
    <s v="NA"/>
    <s v="Attchd"/>
    <n v="1998"/>
    <s v="Fin"/>
    <n v="2"/>
    <n v="405"/>
    <s v="TA"/>
    <s v="TA"/>
    <s v="Y"/>
    <n v="0"/>
    <n v="199"/>
    <n v="0"/>
    <n v="0"/>
    <n v="0"/>
    <n v="0"/>
    <s v="NA"/>
    <s v="NA"/>
    <s v="NA"/>
    <n v="0"/>
    <n v="3"/>
    <n v="2006"/>
    <s v="WD"/>
    <s v="Normal"/>
    <n v="153500"/>
  </r>
  <r>
    <n v="83"/>
    <n v="20"/>
    <s v="RL"/>
    <n v="78"/>
    <n v="10206"/>
    <s v="Pave"/>
    <s v="NA"/>
    <s v="Reg"/>
    <s v="Lvl"/>
    <s v="AllPub"/>
    <s v="Inside"/>
    <s v="Gtl"/>
    <x v="5"/>
    <x v="0"/>
    <s v="Norm"/>
    <x v="0"/>
    <x v="1"/>
    <n v="8"/>
    <n v="5"/>
    <x v="22"/>
    <n v="2007"/>
    <s v="Gable"/>
    <s v="CompShg"/>
    <s v="VinylSd"/>
    <s v="VinylSd"/>
    <s v="Stone"/>
    <n v="468"/>
    <s v="TA"/>
    <s v="TA"/>
    <s v="PConc"/>
    <s v="Gd"/>
    <s v="TA"/>
    <s v="No"/>
    <s v="GLQ"/>
    <n v="33"/>
    <s v="Unf"/>
    <n v="0"/>
    <n v="1530"/>
    <n v="1563"/>
    <s v="GasA"/>
    <s v="Ex"/>
    <s v="Y"/>
    <s v="SBrkr"/>
    <n v="1563"/>
    <n v="0"/>
    <n v="0"/>
    <x v="79"/>
    <n v="0"/>
    <n v="0"/>
    <n v="2"/>
    <n v="0"/>
    <n v="3"/>
    <n v="1"/>
    <s v="Gd"/>
    <n v="6"/>
    <s v="Typ"/>
    <n v="1"/>
    <s v="Gd"/>
    <s v="Attchd"/>
    <n v="2007"/>
    <s v="RFn"/>
    <n v="3"/>
    <n v="758"/>
    <s v="TA"/>
    <s v="TA"/>
    <s v="Y"/>
    <n v="144"/>
    <n v="99"/>
    <n v="0"/>
    <n v="0"/>
    <n v="0"/>
    <n v="0"/>
    <s v="NA"/>
    <s v="NA"/>
    <s v="NA"/>
    <n v="0"/>
    <n v="10"/>
    <n v="2008"/>
    <s v="WD"/>
    <s v="Normal"/>
    <n v="245000"/>
  </r>
  <r>
    <n v="84"/>
    <n v="20"/>
    <s v="RL"/>
    <n v="80"/>
    <n v="8892"/>
    <s v="Pave"/>
    <s v="NA"/>
    <s v="IR1"/>
    <s v="Lvl"/>
    <s v="AllPub"/>
    <s v="Inside"/>
    <s v="Gtl"/>
    <x v="11"/>
    <x v="0"/>
    <s v="Norm"/>
    <x v="0"/>
    <x v="1"/>
    <n v="5"/>
    <n v="5"/>
    <x v="14"/>
    <n v="1960"/>
    <s v="Gable"/>
    <s v="CompShg"/>
    <s v="MetalSd"/>
    <s v="MetalSd"/>
    <s v="BrkCmn"/>
    <n v="66"/>
    <s v="TA"/>
    <s v="TA"/>
    <s v="CBlock"/>
    <s v="TA"/>
    <s v="TA"/>
    <s v="No"/>
    <s v="Unf"/>
    <n v="0"/>
    <s v="Unf"/>
    <n v="0"/>
    <n v="1065"/>
    <n v="1065"/>
    <s v="GasA"/>
    <s v="Gd"/>
    <s v="Y"/>
    <s v="SBrkr"/>
    <n v="1065"/>
    <n v="0"/>
    <n v="0"/>
    <x v="80"/>
    <n v="0"/>
    <n v="0"/>
    <n v="1"/>
    <n v="1"/>
    <n v="3"/>
    <n v="1"/>
    <s v="TA"/>
    <n v="6"/>
    <s v="Typ"/>
    <n v="0"/>
    <s v="NA"/>
    <s v="Detchd"/>
    <n v="1974"/>
    <s v="Unf"/>
    <n v="2"/>
    <n v="461"/>
    <s v="TA"/>
    <s v="TA"/>
    <s v="Y"/>
    <n v="74"/>
    <n v="0"/>
    <n v="0"/>
    <n v="0"/>
    <n v="0"/>
    <n v="0"/>
    <s v="NA"/>
    <s v="NA"/>
    <s v="NA"/>
    <n v="0"/>
    <n v="7"/>
    <n v="2007"/>
    <s v="COD"/>
    <s v="Normal"/>
    <n v="126500"/>
  </r>
  <r>
    <n v="85"/>
    <n v="80"/>
    <s v="RL"/>
    <s v="NA"/>
    <n v="8530"/>
    <s v="Pave"/>
    <s v="NA"/>
    <s v="IR1"/>
    <s v="Lvl"/>
    <s v="AllPub"/>
    <s v="Inside"/>
    <s v="Gtl"/>
    <x v="17"/>
    <x v="0"/>
    <s v="Norm"/>
    <x v="0"/>
    <x v="5"/>
    <n v="7"/>
    <n v="5"/>
    <x v="49"/>
    <n v="1996"/>
    <s v="Gable"/>
    <s v="CompShg"/>
    <s v="HdBoard"/>
    <s v="HdBoard"/>
    <s v="BrkFace"/>
    <n v="22"/>
    <s v="TA"/>
    <s v="TA"/>
    <s v="PConc"/>
    <s v="Gd"/>
    <s v="TA"/>
    <s v="No"/>
    <s v="Unf"/>
    <n v="0"/>
    <s v="Unf"/>
    <n v="0"/>
    <n v="384"/>
    <n v="384"/>
    <s v="GasA"/>
    <s v="Gd"/>
    <s v="Y"/>
    <s v="SBrkr"/>
    <n v="804"/>
    <n v="670"/>
    <n v="0"/>
    <x v="81"/>
    <n v="0"/>
    <n v="0"/>
    <n v="2"/>
    <n v="1"/>
    <n v="3"/>
    <n v="1"/>
    <s v="TA"/>
    <n v="7"/>
    <s v="Typ"/>
    <n v="1"/>
    <s v="TA"/>
    <s v="BuiltIn"/>
    <n v="1995"/>
    <s v="Fin"/>
    <n v="2"/>
    <n v="400"/>
    <s v="TA"/>
    <s v="TA"/>
    <s v="Y"/>
    <n v="120"/>
    <n v="72"/>
    <n v="0"/>
    <n v="0"/>
    <n v="0"/>
    <n v="0"/>
    <s v="NA"/>
    <s v="NA"/>
    <s v="Shed"/>
    <n v="700"/>
    <n v="5"/>
    <n v="2009"/>
    <s v="WD"/>
    <s v="Normal"/>
    <n v="168500"/>
  </r>
  <r>
    <n v="86"/>
    <n v="60"/>
    <s v="RL"/>
    <n v="121"/>
    <n v="16059"/>
    <s v="Pave"/>
    <s v="NA"/>
    <s v="Reg"/>
    <s v="Lvl"/>
    <s v="AllPub"/>
    <s v="Corner"/>
    <s v="Gtl"/>
    <x v="3"/>
    <x v="0"/>
    <s v="Norm"/>
    <x v="0"/>
    <x v="0"/>
    <n v="8"/>
    <n v="5"/>
    <x v="50"/>
    <n v="1992"/>
    <s v="Hip"/>
    <s v="CompShg"/>
    <s v="HdBoard"/>
    <s v="HdBoard"/>
    <s v="BrkFace"/>
    <n v="284"/>
    <s v="Gd"/>
    <s v="TA"/>
    <s v="CBlock"/>
    <s v="Gd"/>
    <s v="TA"/>
    <s v="No"/>
    <s v="Unf"/>
    <n v="0"/>
    <s v="Unf"/>
    <n v="0"/>
    <n v="1288"/>
    <n v="1288"/>
    <s v="GasA"/>
    <s v="Ex"/>
    <s v="Y"/>
    <s v="SBrkr"/>
    <n v="1301"/>
    <n v="1116"/>
    <n v="0"/>
    <x v="82"/>
    <n v="0"/>
    <n v="0"/>
    <n v="2"/>
    <n v="1"/>
    <n v="4"/>
    <n v="1"/>
    <s v="Gd"/>
    <n v="9"/>
    <s v="Typ"/>
    <n v="1"/>
    <s v="TA"/>
    <s v="Attchd"/>
    <n v="1991"/>
    <s v="Unf"/>
    <n v="2"/>
    <n v="462"/>
    <s v="TA"/>
    <s v="TA"/>
    <s v="Y"/>
    <n v="127"/>
    <n v="82"/>
    <n v="0"/>
    <n v="0"/>
    <n v="0"/>
    <n v="0"/>
    <s v="NA"/>
    <s v="NA"/>
    <s v="NA"/>
    <n v="0"/>
    <n v="4"/>
    <n v="2006"/>
    <s v="WD"/>
    <s v="Normal"/>
    <n v="260000"/>
  </r>
  <r>
    <n v="87"/>
    <n v="60"/>
    <s v="RL"/>
    <n v="122"/>
    <n v="11911"/>
    <s v="Pave"/>
    <s v="NA"/>
    <s v="IR2"/>
    <s v="Lvl"/>
    <s v="AllPub"/>
    <s v="Inside"/>
    <s v="Gtl"/>
    <x v="17"/>
    <x v="0"/>
    <s v="Norm"/>
    <x v="0"/>
    <x v="0"/>
    <n v="6"/>
    <n v="5"/>
    <x v="11"/>
    <n v="2005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684"/>
    <n v="684"/>
    <s v="GasA"/>
    <s v="Ex"/>
    <s v="Y"/>
    <s v="SBrkr"/>
    <n v="684"/>
    <n v="876"/>
    <n v="0"/>
    <x v="83"/>
    <n v="0"/>
    <n v="0"/>
    <n v="2"/>
    <n v="1"/>
    <n v="3"/>
    <n v="1"/>
    <s v="Gd"/>
    <n v="6"/>
    <s v="Typ"/>
    <n v="1"/>
    <s v="Gd"/>
    <s v="BuiltIn"/>
    <n v="2005"/>
    <s v="Fin"/>
    <n v="2"/>
    <n v="400"/>
    <s v="TA"/>
    <s v="TA"/>
    <s v="Y"/>
    <n v="100"/>
    <n v="38"/>
    <n v="0"/>
    <n v="0"/>
    <n v="0"/>
    <n v="0"/>
    <s v="NA"/>
    <s v="NA"/>
    <s v="NA"/>
    <n v="0"/>
    <n v="3"/>
    <n v="2009"/>
    <s v="WD"/>
    <s v="Normal"/>
    <n v="174000"/>
  </r>
  <r>
    <n v="88"/>
    <n v="160"/>
    <s v="FV"/>
    <n v="40"/>
    <n v="3951"/>
    <s v="Pave"/>
    <s v="Pave"/>
    <s v="Reg"/>
    <s v="Lvl"/>
    <s v="AllPub"/>
    <s v="Corner"/>
    <s v="Gtl"/>
    <x v="5"/>
    <x v="0"/>
    <s v="Norm"/>
    <x v="3"/>
    <x v="0"/>
    <n v="6"/>
    <n v="5"/>
    <x v="51"/>
    <n v="2009"/>
    <s v="Gable"/>
    <s v="CompShg"/>
    <s v="VinylSd"/>
    <s v="VinylSd"/>
    <s v="Stone"/>
    <n v="76"/>
    <s v="Gd"/>
    <s v="TA"/>
    <s v="PConc"/>
    <s v="Gd"/>
    <s v="TA"/>
    <s v="Av"/>
    <s v="Unf"/>
    <n v="0"/>
    <s v="Unf"/>
    <n v="0"/>
    <n v="612"/>
    <n v="612"/>
    <s v="GasA"/>
    <s v="Ex"/>
    <s v="Y"/>
    <s v="SBrkr"/>
    <n v="612"/>
    <n v="612"/>
    <n v="0"/>
    <x v="84"/>
    <n v="0"/>
    <n v="0"/>
    <n v="2"/>
    <n v="1"/>
    <n v="2"/>
    <n v="1"/>
    <s v="Gd"/>
    <n v="4"/>
    <s v="Typ"/>
    <n v="0"/>
    <s v="NA"/>
    <s v="Detchd"/>
    <n v="2009"/>
    <s v="RFn"/>
    <n v="2"/>
    <n v="528"/>
    <s v="TA"/>
    <s v="TA"/>
    <s v="Y"/>
    <n v="0"/>
    <n v="234"/>
    <n v="0"/>
    <n v="0"/>
    <n v="0"/>
    <n v="0"/>
    <s v="NA"/>
    <s v="NA"/>
    <s v="NA"/>
    <n v="0"/>
    <n v="6"/>
    <n v="2009"/>
    <s v="New"/>
    <s v="Partial"/>
    <n v="164500"/>
  </r>
  <r>
    <n v="89"/>
    <n v="50"/>
    <s v="C (all)"/>
    <n v="105"/>
    <n v="8470"/>
    <s v="Pave"/>
    <s v="NA"/>
    <s v="IR1"/>
    <s v="Lvl"/>
    <s v="AllPub"/>
    <s v="Corner"/>
    <s v="Gtl"/>
    <x v="13"/>
    <x v="1"/>
    <s v="Feedr"/>
    <x v="0"/>
    <x v="2"/>
    <n v="3"/>
    <n v="2"/>
    <x v="3"/>
    <n v="1982"/>
    <s v="Hip"/>
    <s v="CompShg"/>
    <s v="Plywood"/>
    <s v="Plywood"/>
    <s v="None"/>
    <n v="0"/>
    <s v="Fa"/>
    <s v="Fa"/>
    <s v="CBlock"/>
    <s v="TA"/>
    <s v="Fa"/>
    <s v="No"/>
    <s v="Unf"/>
    <n v="0"/>
    <s v="Unf"/>
    <n v="0"/>
    <n v="1013"/>
    <n v="1013"/>
    <s v="GasA"/>
    <s v="TA"/>
    <s v="N"/>
    <s v="SBrkr"/>
    <n v="1013"/>
    <n v="0"/>
    <n v="513"/>
    <x v="85"/>
    <n v="0"/>
    <n v="0"/>
    <n v="1"/>
    <n v="0"/>
    <n v="2"/>
    <n v="1"/>
    <s v="Fa"/>
    <n v="6"/>
    <s v="Typ"/>
    <n v="0"/>
    <s v="NA"/>
    <s v="NA"/>
    <s v="NA"/>
    <s v="NA"/>
    <n v="0"/>
    <n v="0"/>
    <s v="NA"/>
    <s v="NA"/>
    <s v="N"/>
    <n v="0"/>
    <n v="0"/>
    <n v="156"/>
    <n v="0"/>
    <n v="0"/>
    <n v="0"/>
    <s v="NA"/>
    <s v="MnPrv"/>
    <s v="NA"/>
    <n v="0"/>
    <n v="10"/>
    <n v="2009"/>
    <s v="ConLD"/>
    <s v="Abnorml"/>
    <n v="85000"/>
  </r>
  <r>
    <n v="90"/>
    <n v="20"/>
    <s v="RL"/>
    <n v="60"/>
    <n v="8070"/>
    <s v="Pave"/>
    <s v="NA"/>
    <s v="Reg"/>
    <s v="Lvl"/>
    <s v="AllPub"/>
    <s v="Inside"/>
    <s v="Gtl"/>
    <x v="0"/>
    <x v="0"/>
    <s v="Norm"/>
    <x v="0"/>
    <x v="1"/>
    <n v="4"/>
    <n v="5"/>
    <x v="29"/>
    <n v="1995"/>
    <s v="Gable"/>
    <s v="CompShg"/>
    <s v="VinylSd"/>
    <s v="VinylSd"/>
    <s v="None"/>
    <n v="0"/>
    <s v="TA"/>
    <s v="TA"/>
    <s v="PConc"/>
    <s v="Gd"/>
    <s v="TA"/>
    <s v="No"/>
    <s v="GLQ"/>
    <n v="588"/>
    <s v="Unf"/>
    <n v="0"/>
    <n v="402"/>
    <n v="990"/>
    <s v="GasA"/>
    <s v="Ex"/>
    <s v="Y"/>
    <s v="SBrkr"/>
    <n v="990"/>
    <n v="0"/>
    <n v="0"/>
    <x v="86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n v="2007"/>
    <s v="WD"/>
    <s v="Normal"/>
    <n v="123600"/>
  </r>
  <r>
    <n v="91"/>
    <n v="20"/>
    <s v="RL"/>
    <n v="60"/>
    <n v="7200"/>
    <s v="Pave"/>
    <s v="NA"/>
    <s v="Reg"/>
    <s v="Lvl"/>
    <s v="AllPub"/>
    <s v="Inside"/>
    <s v="Gtl"/>
    <x v="11"/>
    <x v="0"/>
    <s v="Norm"/>
    <x v="0"/>
    <x v="1"/>
    <n v="4"/>
    <n v="5"/>
    <x v="52"/>
    <n v="1950"/>
    <s v="Gable"/>
    <s v="CompShg"/>
    <s v="BrkFace"/>
    <s v="Wd Sdng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FuseA"/>
    <n v="1040"/>
    <n v="0"/>
    <n v="0"/>
    <x v="10"/>
    <n v="0"/>
    <n v="0"/>
    <n v="1"/>
    <n v="0"/>
    <n v="2"/>
    <n v="1"/>
    <s v="TA"/>
    <n v="4"/>
    <s v="Typ"/>
    <n v="0"/>
    <s v="NA"/>
    <s v="Detchd"/>
    <n v="1950"/>
    <s v="Unf"/>
    <n v="2"/>
    <n v="420"/>
    <s v="TA"/>
    <s v="TA"/>
    <s v="Y"/>
    <n v="0"/>
    <n v="29"/>
    <n v="0"/>
    <n v="0"/>
    <n v="0"/>
    <n v="0"/>
    <s v="NA"/>
    <s v="NA"/>
    <s v="NA"/>
    <n v="0"/>
    <n v="7"/>
    <n v="2006"/>
    <s v="WD"/>
    <s v="Normal"/>
    <n v="109900"/>
  </r>
  <r>
    <n v="92"/>
    <n v="20"/>
    <s v="RL"/>
    <n v="85"/>
    <n v="8500"/>
    <s v="Pave"/>
    <s v="NA"/>
    <s v="Reg"/>
    <s v="Lvl"/>
    <s v="AllPub"/>
    <s v="Inside"/>
    <s v="Gtl"/>
    <x v="11"/>
    <x v="0"/>
    <s v="Norm"/>
    <x v="0"/>
    <x v="1"/>
    <n v="5"/>
    <n v="3"/>
    <x v="53"/>
    <n v="1961"/>
    <s v="Hip"/>
    <s v="CompShg"/>
    <s v="HdBoard"/>
    <s v="HdBoard"/>
    <s v="BrkCmn"/>
    <n v="203"/>
    <s v="TA"/>
    <s v="TA"/>
    <s v="CBlock"/>
    <s v="TA"/>
    <s v="TA"/>
    <s v="No"/>
    <s v="Rec"/>
    <n v="600"/>
    <s v="Unf"/>
    <n v="0"/>
    <n v="635"/>
    <n v="1235"/>
    <s v="GasA"/>
    <s v="TA"/>
    <s v="Y"/>
    <s v="SBrkr"/>
    <n v="1235"/>
    <n v="0"/>
    <n v="0"/>
    <x v="87"/>
    <n v="0"/>
    <n v="0"/>
    <n v="1"/>
    <n v="0"/>
    <n v="2"/>
    <n v="1"/>
    <s v="TA"/>
    <n v="6"/>
    <s v="Typ"/>
    <n v="0"/>
    <s v="NA"/>
    <s v="Attchd"/>
    <n v="1961"/>
    <s v="Unf"/>
    <n v="2"/>
    <n v="480"/>
    <s v="TA"/>
    <s v="TA"/>
    <s v="Y"/>
    <n v="0"/>
    <n v="0"/>
    <n v="0"/>
    <n v="0"/>
    <n v="0"/>
    <n v="0"/>
    <s v="NA"/>
    <s v="GdWo"/>
    <s v="NA"/>
    <n v="0"/>
    <n v="12"/>
    <n v="2006"/>
    <s v="WD"/>
    <s v="Abnorml"/>
    <n v="98600"/>
  </r>
  <r>
    <n v="93"/>
    <n v="30"/>
    <s v="RL"/>
    <n v="80"/>
    <n v="13360"/>
    <s v="Pave"/>
    <s v="Grvl"/>
    <s v="IR1"/>
    <s v="HLS"/>
    <s v="AllPub"/>
    <s v="Inside"/>
    <s v="Gtl"/>
    <x v="2"/>
    <x v="0"/>
    <s v="Norm"/>
    <x v="0"/>
    <x v="1"/>
    <n v="5"/>
    <n v="7"/>
    <x v="42"/>
    <n v="2006"/>
    <s v="Gable"/>
    <s v="CompShg"/>
    <s v="Wd Sdng"/>
    <s v="Wd Sdng"/>
    <s v="None"/>
    <n v="0"/>
    <s v="TA"/>
    <s v="Gd"/>
    <s v="BrkTil"/>
    <s v="Gd"/>
    <s v="TA"/>
    <s v="No"/>
    <s v="ALQ"/>
    <n v="713"/>
    <s v="Unf"/>
    <n v="0"/>
    <n v="163"/>
    <n v="876"/>
    <s v="GasA"/>
    <s v="Ex"/>
    <s v="Y"/>
    <s v="SBrkr"/>
    <n v="964"/>
    <n v="0"/>
    <n v="0"/>
    <x v="88"/>
    <n v="1"/>
    <n v="0"/>
    <n v="1"/>
    <n v="0"/>
    <n v="2"/>
    <n v="1"/>
    <s v="TA"/>
    <n v="5"/>
    <s v="Typ"/>
    <n v="0"/>
    <s v="NA"/>
    <s v="Detchd"/>
    <n v="1921"/>
    <s v="Unf"/>
    <n v="2"/>
    <n v="432"/>
    <s v="TA"/>
    <s v="TA"/>
    <s v="Y"/>
    <n v="0"/>
    <n v="0"/>
    <n v="44"/>
    <n v="0"/>
    <n v="0"/>
    <n v="0"/>
    <s v="NA"/>
    <s v="NA"/>
    <s v="NA"/>
    <n v="0"/>
    <n v="8"/>
    <n v="2009"/>
    <s v="WD"/>
    <s v="Normal"/>
    <n v="163500"/>
  </r>
  <r>
    <n v="94"/>
    <n v="190"/>
    <s v="C (all)"/>
    <n v="60"/>
    <n v="7200"/>
    <s v="Pave"/>
    <s v="NA"/>
    <s v="Reg"/>
    <s v="Lvl"/>
    <s v="AllPub"/>
    <s v="Corner"/>
    <s v="Gtl"/>
    <x v="7"/>
    <x v="0"/>
    <s v="Norm"/>
    <x v="1"/>
    <x v="6"/>
    <n v="6"/>
    <n v="6"/>
    <x v="48"/>
    <n v="1998"/>
    <s v="Hip"/>
    <s v="CompShg"/>
    <s v="MetalSd"/>
    <s v="MetalSd"/>
    <s v="None"/>
    <n v="0"/>
    <s v="TA"/>
    <s v="TA"/>
    <s v="BrkTil"/>
    <s v="TA"/>
    <s v="Fa"/>
    <s v="Mn"/>
    <s v="Rec"/>
    <n v="1046"/>
    <s v="Unf"/>
    <n v="0"/>
    <n v="168"/>
    <n v="1214"/>
    <s v="GasW"/>
    <s v="Ex"/>
    <s v="N"/>
    <s v="SBrkr"/>
    <n v="1260"/>
    <n v="1031"/>
    <n v="0"/>
    <x v="89"/>
    <n v="0"/>
    <n v="1"/>
    <n v="2"/>
    <n v="0"/>
    <n v="4"/>
    <n v="2"/>
    <s v="TA"/>
    <n v="9"/>
    <s v="Typ"/>
    <n v="1"/>
    <s v="Gd"/>
    <s v="Detchd"/>
    <n v="1900"/>
    <s v="Unf"/>
    <n v="2"/>
    <n v="506"/>
    <s v="TA"/>
    <s v="TA"/>
    <s v="Y"/>
    <n v="0"/>
    <n v="0"/>
    <n v="0"/>
    <n v="0"/>
    <n v="99"/>
    <n v="0"/>
    <s v="NA"/>
    <s v="NA"/>
    <s v="NA"/>
    <n v="0"/>
    <n v="11"/>
    <n v="2007"/>
    <s v="WD"/>
    <s v="Normal"/>
    <n v="133900"/>
  </r>
  <r>
    <n v="95"/>
    <n v="60"/>
    <s v="RL"/>
    <n v="69"/>
    <n v="9337"/>
    <s v="Pave"/>
    <s v="NA"/>
    <s v="IR1"/>
    <s v="Lvl"/>
    <s v="AllPub"/>
    <s v="Inside"/>
    <s v="Gtl"/>
    <x v="0"/>
    <x v="0"/>
    <s v="Norm"/>
    <x v="0"/>
    <x v="0"/>
    <n v="6"/>
    <n v="5"/>
    <x v="35"/>
    <n v="1997"/>
    <s v="Gable"/>
    <s v="CompShg"/>
    <s v="VinylSd"/>
    <s v="VinylSd"/>
    <s v="None"/>
    <n v="0"/>
    <s v="TA"/>
    <s v="Gd"/>
    <s v="PConc"/>
    <s v="Gd"/>
    <s v="TA"/>
    <s v="No"/>
    <s v="GLQ"/>
    <n v="648"/>
    <s v="Unf"/>
    <n v="0"/>
    <n v="176"/>
    <n v="824"/>
    <s v="GasA"/>
    <s v="Ex"/>
    <s v="Y"/>
    <s v="SBrkr"/>
    <n v="905"/>
    <n v="881"/>
    <n v="0"/>
    <x v="2"/>
    <n v="1"/>
    <n v="0"/>
    <n v="2"/>
    <n v="1"/>
    <n v="3"/>
    <n v="1"/>
    <s v="Gd"/>
    <n v="7"/>
    <s v="Typ"/>
    <n v="0"/>
    <s v="NA"/>
    <s v="Attchd"/>
    <n v="1997"/>
    <s v="RFn"/>
    <n v="2"/>
    <n v="684"/>
    <s v="TA"/>
    <s v="TA"/>
    <s v="Y"/>
    <n v="0"/>
    <n v="162"/>
    <n v="0"/>
    <n v="0"/>
    <n v="0"/>
    <n v="0"/>
    <s v="NA"/>
    <s v="NA"/>
    <s v="NA"/>
    <n v="0"/>
    <n v="5"/>
    <n v="2007"/>
    <s v="WD"/>
    <s v="Normal"/>
    <n v="204750"/>
  </r>
  <r>
    <n v="96"/>
    <n v="60"/>
    <s v="RL"/>
    <s v="NA"/>
    <n v="9765"/>
    <s v="Pave"/>
    <s v="NA"/>
    <s v="IR2"/>
    <s v="Lvl"/>
    <s v="AllPub"/>
    <s v="Corner"/>
    <s v="Gtl"/>
    <x v="17"/>
    <x v="0"/>
    <s v="Norm"/>
    <x v="0"/>
    <x v="0"/>
    <n v="6"/>
    <n v="8"/>
    <x v="5"/>
    <n v="1993"/>
    <s v="Gable"/>
    <s v="CompShg"/>
    <s v="VinylSd"/>
    <s v="VinylSd"/>
    <s v="BrkFace"/>
    <n v="68"/>
    <s v="Ex"/>
    <s v="Gd"/>
    <s v="PConc"/>
    <s v="Gd"/>
    <s v="Gd"/>
    <s v="No"/>
    <s v="ALQ"/>
    <n v="310"/>
    <s v="Unf"/>
    <n v="0"/>
    <n v="370"/>
    <n v="680"/>
    <s v="GasA"/>
    <s v="Gd"/>
    <s v="Y"/>
    <s v="SBrkr"/>
    <n v="680"/>
    <n v="790"/>
    <n v="0"/>
    <x v="48"/>
    <n v="0"/>
    <n v="0"/>
    <n v="2"/>
    <n v="1"/>
    <n v="3"/>
    <n v="1"/>
    <s v="TA"/>
    <n v="6"/>
    <s v="Typ"/>
    <n v="1"/>
    <s v="TA"/>
    <s v="BuiltIn"/>
    <n v="1993"/>
    <s v="Fin"/>
    <n v="2"/>
    <n v="420"/>
    <s v="TA"/>
    <s v="TA"/>
    <s v="Y"/>
    <n v="232"/>
    <n v="63"/>
    <n v="0"/>
    <n v="0"/>
    <n v="0"/>
    <n v="0"/>
    <s v="NA"/>
    <s v="NA"/>
    <s v="Shed"/>
    <n v="480"/>
    <n v="4"/>
    <n v="2009"/>
    <s v="WD"/>
    <s v="Normal"/>
    <n v="185000"/>
  </r>
  <r>
    <n v="97"/>
    <n v="20"/>
    <s v="RL"/>
    <n v="78"/>
    <n v="10264"/>
    <s v="Pave"/>
    <s v="NA"/>
    <s v="IR1"/>
    <s v="Lvl"/>
    <s v="AllPub"/>
    <s v="Inside"/>
    <s v="Gtl"/>
    <x v="0"/>
    <x v="0"/>
    <s v="Norm"/>
    <x v="0"/>
    <x v="1"/>
    <n v="7"/>
    <n v="5"/>
    <x v="40"/>
    <n v="1999"/>
    <s v="Gable"/>
    <s v="CompShg"/>
    <s v="VinylSd"/>
    <s v="VinylSd"/>
    <s v="BrkFace"/>
    <n v="183"/>
    <s v="Gd"/>
    <s v="TA"/>
    <s v="PConc"/>
    <s v="Gd"/>
    <s v="TA"/>
    <s v="Av"/>
    <s v="ALQ"/>
    <n v="1162"/>
    <s v="Unf"/>
    <n v="0"/>
    <n v="426"/>
    <n v="1588"/>
    <s v="GasA"/>
    <s v="Ex"/>
    <s v="Y"/>
    <s v="SBrkr"/>
    <n v="1588"/>
    <n v="0"/>
    <n v="0"/>
    <x v="90"/>
    <n v="0"/>
    <n v="0"/>
    <n v="2"/>
    <n v="0"/>
    <n v="3"/>
    <n v="1"/>
    <s v="Gd"/>
    <n v="6"/>
    <s v="Typ"/>
    <n v="0"/>
    <s v="NA"/>
    <s v="Attchd"/>
    <n v="1999"/>
    <s v="RFn"/>
    <n v="2"/>
    <n v="472"/>
    <s v="TA"/>
    <s v="TA"/>
    <s v="Y"/>
    <n v="158"/>
    <n v="29"/>
    <n v="0"/>
    <n v="0"/>
    <n v="0"/>
    <n v="0"/>
    <s v="NA"/>
    <s v="NA"/>
    <s v="NA"/>
    <n v="0"/>
    <n v="8"/>
    <n v="2006"/>
    <s v="WD"/>
    <s v="Normal"/>
    <n v="214000"/>
  </r>
  <r>
    <n v="98"/>
    <n v="20"/>
    <s v="RL"/>
    <n v="73"/>
    <n v="10921"/>
    <s v="Pave"/>
    <s v="NA"/>
    <s v="Reg"/>
    <s v="HLS"/>
    <s v="AllPub"/>
    <s v="Inside"/>
    <s v="Gtl"/>
    <x v="15"/>
    <x v="0"/>
    <s v="Norm"/>
    <x v="0"/>
    <x v="1"/>
    <n v="4"/>
    <n v="5"/>
    <x v="10"/>
    <n v="1965"/>
    <s v="Hip"/>
    <s v="CompShg"/>
    <s v="HdBoard"/>
    <s v="HdBoard"/>
    <s v="BrkFace"/>
    <n v="48"/>
    <s v="TA"/>
    <s v="TA"/>
    <s v="CBlock"/>
    <s v="TA"/>
    <s v="TA"/>
    <s v="No"/>
    <s v="Rec"/>
    <n v="520"/>
    <s v="Unf"/>
    <n v="0"/>
    <n v="440"/>
    <n v="960"/>
    <s v="GasA"/>
    <s v="TA"/>
    <s v="Y"/>
    <s v="FuseF"/>
    <n v="960"/>
    <n v="0"/>
    <n v="0"/>
    <x v="91"/>
    <n v="1"/>
    <n v="0"/>
    <n v="1"/>
    <n v="0"/>
    <n v="3"/>
    <n v="1"/>
    <s v="TA"/>
    <n v="6"/>
    <s v="Typ"/>
    <n v="0"/>
    <s v="NA"/>
    <s v="Attchd"/>
    <n v="1965"/>
    <s v="Fin"/>
    <n v="1"/>
    <n v="432"/>
    <s v="TA"/>
    <s v="TA"/>
    <s v="P"/>
    <n v="120"/>
    <n v="0"/>
    <n v="0"/>
    <n v="0"/>
    <n v="0"/>
    <n v="0"/>
    <s v="NA"/>
    <s v="NA"/>
    <s v="NA"/>
    <n v="0"/>
    <n v="5"/>
    <n v="2007"/>
    <s v="WD"/>
    <s v="Normal"/>
    <n v="94750"/>
  </r>
  <r>
    <n v="99"/>
    <n v="30"/>
    <s v="RL"/>
    <n v="85"/>
    <n v="10625"/>
    <s v="Pave"/>
    <s v="NA"/>
    <s v="Reg"/>
    <s v="Lvl"/>
    <s v="AllPub"/>
    <s v="Corner"/>
    <s v="Gtl"/>
    <x v="15"/>
    <x v="0"/>
    <s v="Norm"/>
    <x v="0"/>
    <x v="1"/>
    <n v="5"/>
    <n v="5"/>
    <x v="26"/>
    <n v="1950"/>
    <s v="Gable"/>
    <s v="CompShg"/>
    <s v="Wd Sdng"/>
    <s v="Wd Sdng"/>
    <s v="None"/>
    <n v="0"/>
    <s v="TA"/>
    <s v="TA"/>
    <s v="BrkTil"/>
    <s v="TA"/>
    <s v="TA"/>
    <s v="No"/>
    <s v="ALQ"/>
    <n v="108"/>
    <s v="Unf"/>
    <n v="0"/>
    <n v="350"/>
    <n v="458"/>
    <s v="GasA"/>
    <s v="Fa"/>
    <s v="N"/>
    <s v="SBrkr"/>
    <n v="835"/>
    <n v="0"/>
    <n v="0"/>
    <x v="92"/>
    <n v="0"/>
    <n v="0"/>
    <n v="1"/>
    <n v="0"/>
    <n v="2"/>
    <n v="1"/>
    <s v="TA"/>
    <n v="5"/>
    <s v="Typ"/>
    <n v="0"/>
    <s v="NA"/>
    <s v="Basment"/>
    <n v="1920"/>
    <s v="Unf"/>
    <n v="1"/>
    <n v="366"/>
    <s v="Fa"/>
    <s v="TA"/>
    <s v="Y"/>
    <n v="0"/>
    <n v="0"/>
    <n v="77"/>
    <n v="0"/>
    <n v="0"/>
    <n v="0"/>
    <s v="NA"/>
    <s v="NA"/>
    <s v="Shed"/>
    <n v="400"/>
    <n v="5"/>
    <n v="2010"/>
    <s v="COD"/>
    <s v="Abnorml"/>
    <n v="83000"/>
  </r>
  <r>
    <n v="100"/>
    <n v="20"/>
    <s v="RL"/>
    <n v="77"/>
    <n v="9320"/>
    <s v="Pave"/>
    <s v="NA"/>
    <s v="IR1"/>
    <s v="Lvl"/>
    <s v="AllPub"/>
    <s v="Inside"/>
    <s v="Gtl"/>
    <x v="11"/>
    <x v="0"/>
    <s v="Norm"/>
    <x v="0"/>
    <x v="1"/>
    <n v="4"/>
    <n v="5"/>
    <x v="28"/>
    <n v="1959"/>
    <s v="Gable"/>
    <s v="CompShg"/>
    <s v="Plywood"/>
    <s v="Plywood"/>
    <s v="None"/>
    <n v="0"/>
    <s v="TA"/>
    <s v="TA"/>
    <s v="CBlock"/>
    <s v="TA"/>
    <s v="TA"/>
    <s v="No"/>
    <s v="ALQ"/>
    <n v="569"/>
    <s v="Unf"/>
    <n v="0"/>
    <n v="381"/>
    <n v="950"/>
    <s v="GasA"/>
    <s v="Fa"/>
    <s v="Y"/>
    <s v="SBrkr"/>
    <n v="1225"/>
    <n v="0"/>
    <n v="0"/>
    <x v="93"/>
    <n v="1"/>
    <n v="0"/>
    <n v="1"/>
    <n v="1"/>
    <n v="3"/>
    <n v="1"/>
    <s v="TA"/>
    <n v="6"/>
    <s v="Typ"/>
    <n v="0"/>
    <s v="NA"/>
    <s v="NA"/>
    <s v="NA"/>
    <s v="NA"/>
    <n v="0"/>
    <n v="0"/>
    <s v="NA"/>
    <s v="NA"/>
    <s v="Y"/>
    <n v="352"/>
    <n v="0"/>
    <n v="0"/>
    <n v="0"/>
    <n v="0"/>
    <n v="0"/>
    <s v="NA"/>
    <s v="NA"/>
    <s v="Shed"/>
    <n v="400"/>
    <n v="1"/>
    <n v="2010"/>
    <s v="WD"/>
    <s v="Normal"/>
    <n v="128950"/>
  </r>
  <r>
    <n v="101"/>
    <n v="20"/>
    <s v="RL"/>
    <s v="NA"/>
    <n v="10603"/>
    <s v="Pave"/>
    <s v="NA"/>
    <s v="IR1"/>
    <s v="Lvl"/>
    <s v="AllPub"/>
    <s v="Inside"/>
    <s v="Gtl"/>
    <x v="6"/>
    <x v="0"/>
    <s v="Norm"/>
    <x v="0"/>
    <x v="1"/>
    <n v="6"/>
    <n v="7"/>
    <x v="54"/>
    <n v="2001"/>
    <s v="Gable"/>
    <s v="CompShg"/>
    <s v="Plywood"/>
    <s v="Plywood"/>
    <s v="BrkFace"/>
    <n v="28"/>
    <s v="TA"/>
    <s v="TA"/>
    <s v="PConc"/>
    <s v="TA"/>
    <s v="TA"/>
    <s v="Mn"/>
    <s v="ALQ"/>
    <n v="1200"/>
    <s v="Unf"/>
    <n v="0"/>
    <n v="410"/>
    <n v="1610"/>
    <s v="GasA"/>
    <s v="Gd"/>
    <s v="Y"/>
    <s v="SBrkr"/>
    <n v="1610"/>
    <n v="0"/>
    <n v="0"/>
    <x v="94"/>
    <n v="1"/>
    <n v="0"/>
    <n v="2"/>
    <n v="0"/>
    <n v="3"/>
    <n v="1"/>
    <s v="Gd"/>
    <n v="6"/>
    <s v="Typ"/>
    <n v="2"/>
    <s v="TA"/>
    <s v="Attchd"/>
    <n v="1977"/>
    <s v="RFn"/>
    <n v="2"/>
    <n v="480"/>
    <s v="TA"/>
    <s v="TA"/>
    <s v="Y"/>
    <n v="168"/>
    <n v="68"/>
    <n v="0"/>
    <n v="0"/>
    <n v="0"/>
    <n v="0"/>
    <s v="NA"/>
    <s v="NA"/>
    <s v="NA"/>
    <n v="0"/>
    <n v="2"/>
    <n v="2010"/>
    <s v="WD"/>
    <s v="Normal"/>
    <n v="205000"/>
  </r>
  <r>
    <n v="102"/>
    <n v="60"/>
    <s v="RL"/>
    <n v="77"/>
    <n v="9206"/>
    <s v="Pave"/>
    <s v="NA"/>
    <s v="Reg"/>
    <s v="Lvl"/>
    <s v="AllPub"/>
    <s v="Inside"/>
    <s v="Gtl"/>
    <x v="12"/>
    <x v="0"/>
    <s v="Norm"/>
    <x v="0"/>
    <x v="0"/>
    <n v="6"/>
    <n v="5"/>
    <x v="55"/>
    <n v="1985"/>
    <s v="Gable"/>
    <s v="CompShg"/>
    <s v="HdBoard"/>
    <s v="HdBoard"/>
    <s v="BrkFace"/>
    <n v="336"/>
    <s v="Gd"/>
    <s v="TA"/>
    <s v="CBlock"/>
    <s v="Gd"/>
    <s v="TA"/>
    <s v="No"/>
    <s v="Unf"/>
    <n v="0"/>
    <s v="Unf"/>
    <n v="0"/>
    <n v="741"/>
    <n v="741"/>
    <s v="GasA"/>
    <s v="TA"/>
    <s v="Y"/>
    <s v="SBrkr"/>
    <n v="977"/>
    <n v="755"/>
    <n v="0"/>
    <x v="95"/>
    <n v="0"/>
    <n v="0"/>
    <n v="2"/>
    <n v="1"/>
    <n v="3"/>
    <n v="1"/>
    <s v="Gd"/>
    <n v="7"/>
    <s v="Typ"/>
    <n v="1"/>
    <s v="TA"/>
    <s v="Attchd"/>
    <n v="1985"/>
    <s v="Fin"/>
    <n v="2"/>
    <n v="476"/>
    <s v="TA"/>
    <s v="TA"/>
    <s v="Y"/>
    <n v="192"/>
    <n v="46"/>
    <n v="0"/>
    <n v="0"/>
    <n v="0"/>
    <n v="0"/>
    <s v="NA"/>
    <s v="NA"/>
    <s v="NA"/>
    <n v="0"/>
    <n v="6"/>
    <n v="2010"/>
    <s v="WD"/>
    <s v="Normal"/>
    <n v="178000"/>
  </r>
  <r>
    <n v="103"/>
    <n v="90"/>
    <s v="RL"/>
    <n v="64"/>
    <n v="7018"/>
    <s v="Pave"/>
    <s v="NA"/>
    <s v="Reg"/>
    <s v="Bnk"/>
    <s v="AllPub"/>
    <s v="Inside"/>
    <s v="Gtl"/>
    <x v="12"/>
    <x v="0"/>
    <s v="Norm"/>
    <x v="2"/>
    <x v="1"/>
    <n v="5"/>
    <n v="5"/>
    <x v="56"/>
    <n v="1979"/>
    <s v="Gable"/>
    <s v="CompShg"/>
    <s v="HdBoard"/>
    <s v="HdBoard"/>
    <s v="None"/>
    <n v="0"/>
    <s v="TA"/>
    <s v="Fa"/>
    <s v="Slab"/>
    <s v="NA"/>
    <s v="NA"/>
    <s v="NA"/>
    <s v="NA"/>
    <n v="0"/>
    <s v="NA"/>
    <n v="0"/>
    <n v="0"/>
    <n v="0"/>
    <s v="GasA"/>
    <s v="TA"/>
    <s v="Y"/>
    <s v="SBrkr"/>
    <n v="1535"/>
    <n v="0"/>
    <n v="0"/>
    <x v="96"/>
    <n v="0"/>
    <n v="0"/>
    <n v="2"/>
    <n v="0"/>
    <n v="4"/>
    <n v="2"/>
    <s v="TA"/>
    <n v="8"/>
    <s v="Typ"/>
    <n v="0"/>
    <s v="NA"/>
    <s v="Attchd"/>
    <n v="1979"/>
    <s v="Unf"/>
    <n v="2"/>
    <n v="410"/>
    <s v="TA"/>
    <s v="TA"/>
    <s v="Y"/>
    <n v="0"/>
    <n v="0"/>
    <n v="0"/>
    <n v="0"/>
    <n v="0"/>
    <n v="0"/>
    <s v="NA"/>
    <s v="NA"/>
    <s v="NA"/>
    <n v="0"/>
    <n v="6"/>
    <n v="2009"/>
    <s v="WD"/>
    <s v="Alloca"/>
    <n v="118964"/>
  </r>
  <r>
    <n v="104"/>
    <n v="20"/>
    <s v="RL"/>
    <n v="94"/>
    <n v="10402"/>
    <s v="Pave"/>
    <s v="NA"/>
    <s v="IR1"/>
    <s v="Lvl"/>
    <s v="AllPub"/>
    <s v="Corner"/>
    <s v="Gtl"/>
    <x v="0"/>
    <x v="0"/>
    <s v="Norm"/>
    <x v="0"/>
    <x v="1"/>
    <n v="7"/>
    <n v="5"/>
    <x v="51"/>
    <n v="2009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226"/>
    <n v="1226"/>
    <s v="GasA"/>
    <s v="Ex"/>
    <s v="Y"/>
    <s v="SBrkr"/>
    <n v="1226"/>
    <n v="0"/>
    <n v="0"/>
    <x v="97"/>
    <n v="0"/>
    <n v="0"/>
    <n v="2"/>
    <n v="0"/>
    <n v="3"/>
    <n v="1"/>
    <s v="Gd"/>
    <n v="6"/>
    <s v="Typ"/>
    <n v="0"/>
    <s v="NA"/>
    <s v="Attchd"/>
    <n v="2009"/>
    <s v="RFn"/>
    <n v="3"/>
    <n v="740"/>
    <s v="TA"/>
    <s v="TA"/>
    <s v="Y"/>
    <n v="0"/>
    <n v="36"/>
    <n v="0"/>
    <n v="0"/>
    <n v="0"/>
    <n v="0"/>
    <s v="NA"/>
    <s v="NA"/>
    <s v="NA"/>
    <n v="0"/>
    <n v="5"/>
    <n v="2010"/>
    <s v="WD"/>
    <s v="Normal"/>
    <n v="198900"/>
  </r>
  <r>
    <n v="105"/>
    <n v="50"/>
    <s v="RM"/>
    <s v="NA"/>
    <n v="7758"/>
    <s v="Pave"/>
    <s v="NA"/>
    <s v="Reg"/>
    <s v="Lvl"/>
    <s v="AllPub"/>
    <s v="Corner"/>
    <s v="Gtl"/>
    <x v="13"/>
    <x v="0"/>
    <s v="Norm"/>
    <x v="0"/>
    <x v="2"/>
    <n v="7"/>
    <n v="4"/>
    <x v="8"/>
    <n v="1950"/>
    <s v="Gable"/>
    <s v="CompShg"/>
    <s v="Stucco"/>
    <s v="Stucco"/>
    <s v="BrkFace"/>
    <n v="600"/>
    <s v="TA"/>
    <s v="Fa"/>
    <s v="PConc"/>
    <s v="TA"/>
    <s v="TA"/>
    <s v="No"/>
    <s v="LwQ"/>
    <n v="224"/>
    <s v="Unf"/>
    <n v="0"/>
    <n v="816"/>
    <n v="1040"/>
    <s v="GasA"/>
    <s v="Ex"/>
    <s v="Y"/>
    <s v="FuseF"/>
    <n v="1226"/>
    <n v="592"/>
    <n v="0"/>
    <x v="98"/>
    <n v="0"/>
    <n v="0"/>
    <n v="1"/>
    <n v="1"/>
    <n v="4"/>
    <n v="1"/>
    <s v="TA"/>
    <n v="7"/>
    <s v="Typ"/>
    <n v="2"/>
    <s v="TA"/>
    <s v="Detchd"/>
    <n v="1951"/>
    <s v="Unf"/>
    <n v="1"/>
    <n v="240"/>
    <s v="TA"/>
    <s v="TA"/>
    <s v="Y"/>
    <n v="0"/>
    <n v="0"/>
    <n v="0"/>
    <n v="0"/>
    <n v="184"/>
    <n v="0"/>
    <s v="NA"/>
    <s v="NA"/>
    <s v="NA"/>
    <n v="0"/>
    <n v="6"/>
    <n v="2007"/>
    <s v="WD"/>
    <s v="Normal"/>
    <n v="169500"/>
  </r>
  <r>
    <n v="106"/>
    <n v="60"/>
    <s v="FV"/>
    <n v="75"/>
    <n v="9375"/>
    <s v="Pave"/>
    <s v="NA"/>
    <s v="Reg"/>
    <s v="Lvl"/>
    <s v="AllPub"/>
    <s v="Inside"/>
    <s v="Gtl"/>
    <x v="5"/>
    <x v="0"/>
    <s v="Norm"/>
    <x v="0"/>
    <x v="0"/>
    <n v="8"/>
    <n v="5"/>
    <x v="0"/>
    <n v="2004"/>
    <s v="Hip"/>
    <s v="CompShg"/>
    <s v="VinylSd"/>
    <s v="VinylSd"/>
    <s v="BrkFace"/>
    <n v="768"/>
    <s v="Gd"/>
    <s v="TA"/>
    <s v="PConc"/>
    <s v="Ex"/>
    <s v="TA"/>
    <s v="No"/>
    <s v="Unf"/>
    <n v="0"/>
    <s v="Unf"/>
    <n v="0"/>
    <n v="1053"/>
    <n v="1053"/>
    <s v="GasA"/>
    <s v="Ex"/>
    <s v="Y"/>
    <s v="SBrkr"/>
    <n v="1053"/>
    <n v="939"/>
    <n v="0"/>
    <x v="99"/>
    <n v="0"/>
    <n v="0"/>
    <n v="2"/>
    <n v="1"/>
    <n v="3"/>
    <n v="1"/>
    <s v="Gd"/>
    <n v="9"/>
    <s v="Typ"/>
    <n v="1"/>
    <s v="Gd"/>
    <s v="Attchd"/>
    <n v="2003"/>
    <s v="RFn"/>
    <n v="2"/>
    <n v="648"/>
    <s v="TA"/>
    <s v="TA"/>
    <s v="Y"/>
    <n v="140"/>
    <n v="45"/>
    <n v="0"/>
    <n v="0"/>
    <n v="0"/>
    <n v="0"/>
    <s v="NA"/>
    <s v="NA"/>
    <s v="NA"/>
    <n v="0"/>
    <n v="8"/>
    <n v="2008"/>
    <s v="WD"/>
    <s v="Normal"/>
    <n v="250000"/>
  </r>
  <r>
    <n v="107"/>
    <n v="30"/>
    <s v="RM"/>
    <n v="60"/>
    <n v="10800"/>
    <s v="Pave"/>
    <s v="Grvl"/>
    <s v="Reg"/>
    <s v="Lvl"/>
    <s v="AllPub"/>
    <s v="Inside"/>
    <s v="Gtl"/>
    <x v="7"/>
    <x v="0"/>
    <s v="Norm"/>
    <x v="0"/>
    <x v="1"/>
    <n v="4"/>
    <n v="7"/>
    <x v="57"/>
    <n v="1995"/>
    <s v="Mansard"/>
    <s v="CompShg"/>
    <s v="VinylSd"/>
    <s v="VinylSd"/>
    <s v="None"/>
    <n v="0"/>
    <s v="TA"/>
    <s v="TA"/>
    <s v="BrkTil"/>
    <s v="Fa"/>
    <s v="TA"/>
    <s v="No"/>
    <s v="Unf"/>
    <n v="0"/>
    <s v="Unf"/>
    <n v="0"/>
    <n v="641"/>
    <n v="641"/>
    <s v="GasA"/>
    <s v="Gd"/>
    <s v="Y"/>
    <s v="SBrkr"/>
    <n v="1047"/>
    <n v="0"/>
    <n v="0"/>
    <x v="100"/>
    <n v="0"/>
    <n v="0"/>
    <n v="1"/>
    <n v="0"/>
    <n v="2"/>
    <n v="1"/>
    <s v="TA"/>
    <n v="6"/>
    <s v="Typ"/>
    <n v="0"/>
    <s v="NA"/>
    <s v="Detchd"/>
    <n v="1954"/>
    <s v="Unf"/>
    <n v="1"/>
    <n v="273"/>
    <s v="Fa"/>
    <s v="Fa"/>
    <s v="N"/>
    <n v="0"/>
    <n v="0"/>
    <n v="0"/>
    <n v="0"/>
    <n v="0"/>
    <n v="0"/>
    <s v="NA"/>
    <s v="NA"/>
    <s v="Shed"/>
    <n v="450"/>
    <n v="8"/>
    <n v="2007"/>
    <s v="WD"/>
    <s v="Normal"/>
    <n v="100000"/>
  </r>
  <r>
    <n v="108"/>
    <n v="20"/>
    <s v="RM"/>
    <n v="50"/>
    <n v="6000"/>
    <s v="Pave"/>
    <s v="NA"/>
    <s v="Reg"/>
    <s v="Lvl"/>
    <s v="AllPub"/>
    <s v="Inside"/>
    <s v="Gtl"/>
    <x v="7"/>
    <x v="0"/>
    <s v="Norm"/>
    <x v="0"/>
    <x v="1"/>
    <n v="5"/>
    <n v="5"/>
    <x v="47"/>
    <n v="1950"/>
    <s v="Gable"/>
    <s v="CompShg"/>
    <s v="VinylSd"/>
    <s v="VinylSd"/>
    <s v="None"/>
    <n v="0"/>
    <s v="TA"/>
    <s v="TA"/>
    <s v="CBlock"/>
    <s v="TA"/>
    <s v="TA"/>
    <s v="No"/>
    <s v="ALQ"/>
    <n v="104"/>
    <s v="BLQ"/>
    <n v="169"/>
    <n v="516"/>
    <n v="789"/>
    <s v="GasA"/>
    <s v="Ex"/>
    <s v="Y"/>
    <s v="SBrkr"/>
    <n v="789"/>
    <n v="0"/>
    <n v="0"/>
    <x v="101"/>
    <n v="0"/>
    <n v="0"/>
    <n v="1"/>
    <n v="0"/>
    <n v="2"/>
    <n v="1"/>
    <s v="TA"/>
    <n v="5"/>
    <s v="Typ"/>
    <n v="0"/>
    <s v="NA"/>
    <s v="Detchd"/>
    <n v="1948"/>
    <s v="Unf"/>
    <n v="1"/>
    <n v="250"/>
    <s v="TA"/>
    <s v="TA"/>
    <s v="Y"/>
    <n v="0"/>
    <n v="0"/>
    <n v="0"/>
    <n v="0"/>
    <n v="0"/>
    <n v="0"/>
    <s v="NA"/>
    <s v="NA"/>
    <s v="NA"/>
    <n v="0"/>
    <n v="4"/>
    <n v="2008"/>
    <s v="WD"/>
    <s v="Partial"/>
    <n v="115000"/>
  </r>
  <r>
    <n v="109"/>
    <n v="50"/>
    <s v="RM"/>
    <n v="85"/>
    <n v="8500"/>
    <s v="Pave"/>
    <s v="NA"/>
    <s v="Reg"/>
    <s v="Lvl"/>
    <s v="AllPub"/>
    <s v="Corner"/>
    <s v="Gtl"/>
    <x v="13"/>
    <x v="3"/>
    <s v="Norm"/>
    <x v="0"/>
    <x v="2"/>
    <n v="5"/>
    <n v="7"/>
    <x v="58"/>
    <n v="2005"/>
    <s v="Gable"/>
    <s v="CompShg"/>
    <s v="CemntBd"/>
    <s v="CmentBd"/>
    <s v="None"/>
    <n v="0"/>
    <s v="TA"/>
    <s v="TA"/>
    <s v="CBlock"/>
    <s v="TA"/>
    <s v="TA"/>
    <s v="No"/>
    <s v="Unf"/>
    <n v="0"/>
    <s v="Unf"/>
    <n v="0"/>
    <n v="793"/>
    <n v="793"/>
    <s v="GasW"/>
    <s v="TA"/>
    <s v="N"/>
    <s v="FuseF"/>
    <n v="997"/>
    <n v="520"/>
    <n v="0"/>
    <x v="102"/>
    <n v="0"/>
    <n v="0"/>
    <n v="2"/>
    <n v="0"/>
    <n v="3"/>
    <n v="1"/>
    <s v="Fa"/>
    <n v="7"/>
    <s v="Typ"/>
    <n v="0"/>
    <s v="NA"/>
    <s v="NA"/>
    <s v="NA"/>
    <s v="NA"/>
    <n v="0"/>
    <n v="0"/>
    <s v="NA"/>
    <s v="NA"/>
    <s v="N"/>
    <n v="0"/>
    <n v="0"/>
    <n v="144"/>
    <n v="0"/>
    <n v="0"/>
    <n v="0"/>
    <s v="NA"/>
    <s v="NA"/>
    <s v="NA"/>
    <n v="0"/>
    <n v="8"/>
    <n v="2007"/>
    <s v="WD"/>
    <s v="Normal"/>
    <n v="115000"/>
  </r>
  <r>
    <n v="110"/>
    <n v="20"/>
    <s v="RL"/>
    <n v="105"/>
    <n v="11751"/>
    <s v="Pave"/>
    <s v="NA"/>
    <s v="IR1"/>
    <s v="Lvl"/>
    <s v="AllPub"/>
    <s v="Inside"/>
    <s v="Gtl"/>
    <x v="6"/>
    <x v="0"/>
    <s v="Norm"/>
    <x v="0"/>
    <x v="1"/>
    <n v="6"/>
    <n v="6"/>
    <x v="54"/>
    <n v="1977"/>
    <s v="Hip"/>
    <s v="CompShg"/>
    <s v="Plywood"/>
    <s v="Plywood"/>
    <s v="BrkFace"/>
    <n v="480"/>
    <s v="TA"/>
    <s v="TA"/>
    <s v="CBlock"/>
    <s v="Gd"/>
    <s v="TA"/>
    <s v="No"/>
    <s v="BLQ"/>
    <n v="705"/>
    <s v="Unf"/>
    <n v="0"/>
    <n v="1139"/>
    <n v="1844"/>
    <s v="GasA"/>
    <s v="Ex"/>
    <s v="Y"/>
    <s v="SBrkr"/>
    <n v="1844"/>
    <n v="0"/>
    <n v="0"/>
    <x v="103"/>
    <n v="0"/>
    <n v="0"/>
    <n v="2"/>
    <n v="0"/>
    <n v="3"/>
    <n v="1"/>
    <s v="TA"/>
    <n v="7"/>
    <s v="Typ"/>
    <n v="1"/>
    <s v="TA"/>
    <s v="Attchd"/>
    <n v="1977"/>
    <s v="RFn"/>
    <n v="2"/>
    <n v="546"/>
    <s v="TA"/>
    <s v="TA"/>
    <s v="Y"/>
    <n v="0"/>
    <n v="122"/>
    <n v="0"/>
    <n v="0"/>
    <n v="0"/>
    <n v="0"/>
    <s v="NA"/>
    <s v="MnPrv"/>
    <s v="NA"/>
    <n v="0"/>
    <n v="1"/>
    <n v="2010"/>
    <s v="COD"/>
    <s v="Normal"/>
    <n v="190000"/>
  </r>
  <r>
    <n v="111"/>
    <n v="50"/>
    <s v="RL"/>
    <n v="75"/>
    <n v="9525"/>
    <s v="Pave"/>
    <s v="NA"/>
    <s v="Reg"/>
    <s v="Lvl"/>
    <s v="AllPub"/>
    <s v="Inside"/>
    <s v="Gtl"/>
    <x v="15"/>
    <x v="0"/>
    <s v="Norm"/>
    <x v="0"/>
    <x v="2"/>
    <n v="6"/>
    <n v="4"/>
    <x v="30"/>
    <n v="1972"/>
    <s v="Gable"/>
    <s v="CompShg"/>
    <s v="Wd Sdng"/>
    <s v="Wd Sdng"/>
    <s v="None"/>
    <n v="0"/>
    <s v="TA"/>
    <s v="TA"/>
    <s v="CBlock"/>
    <s v="TA"/>
    <s v="Fa"/>
    <s v="No"/>
    <s v="Rec"/>
    <n v="444"/>
    <s v="Unf"/>
    <n v="0"/>
    <n v="550"/>
    <n v="994"/>
    <s v="GasA"/>
    <s v="Gd"/>
    <s v="Y"/>
    <s v="SBrkr"/>
    <n v="1216"/>
    <n v="639"/>
    <n v="0"/>
    <x v="104"/>
    <n v="0"/>
    <n v="0"/>
    <n v="2"/>
    <n v="0"/>
    <n v="4"/>
    <n v="1"/>
    <s v="TA"/>
    <n v="7"/>
    <s v="Typ"/>
    <n v="0"/>
    <s v="NA"/>
    <s v="Attchd"/>
    <n v="1954"/>
    <s v="Unf"/>
    <n v="1"/>
    <n v="325"/>
    <s v="TA"/>
    <s v="TA"/>
    <s v="Y"/>
    <n v="182"/>
    <n v="0"/>
    <n v="0"/>
    <n v="0"/>
    <n v="0"/>
    <n v="0"/>
    <s v="NA"/>
    <s v="NA"/>
    <s v="NA"/>
    <n v="0"/>
    <n v="10"/>
    <n v="2006"/>
    <s v="WD"/>
    <s v="Normal"/>
    <n v="136900"/>
  </r>
  <r>
    <n v="112"/>
    <n v="80"/>
    <s v="RL"/>
    <s v="NA"/>
    <n v="7750"/>
    <s v="Pave"/>
    <s v="NA"/>
    <s v="IR1"/>
    <s v="Lvl"/>
    <s v="AllPub"/>
    <s v="Inside"/>
    <s v="Gtl"/>
    <x v="17"/>
    <x v="0"/>
    <s v="Norm"/>
    <x v="0"/>
    <x v="5"/>
    <n v="7"/>
    <n v="5"/>
    <x v="4"/>
    <n v="2000"/>
    <s v="Gable"/>
    <s v="CompShg"/>
    <s v="VinylSd"/>
    <s v="VinylSd"/>
    <s v="None"/>
    <n v="0"/>
    <s v="TA"/>
    <s v="TA"/>
    <s v="PConc"/>
    <s v="Gd"/>
    <s v="TA"/>
    <s v="No"/>
    <s v="GLQ"/>
    <n v="250"/>
    <s v="Unf"/>
    <n v="0"/>
    <n v="134"/>
    <n v="384"/>
    <s v="GasA"/>
    <s v="Ex"/>
    <s v="Y"/>
    <s v="SBrkr"/>
    <n v="774"/>
    <n v="656"/>
    <n v="0"/>
    <x v="105"/>
    <n v="0"/>
    <n v="0"/>
    <n v="2"/>
    <n v="1"/>
    <n v="3"/>
    <n v="1"/>
    <s v="TA"/>
    <n v="7"/>
    <s v="Typ"/>
    <n v="1"/>
    <s v="TA"/>
    <s v="BuiltIn"/>
    <n v="2000"/>
    <s v="Fin"/>
    <n v="2"/>
    <n v="400"/>
    <s v="TA"/>
    <s v="TA"/>
    <s v="Y"/>
    <n v="180"/>
    <n v="0"/>
    <n v="0"/>
    <n v="0"/>
    <n v="0"/>
    <n v="0"/>
    <s v="NA"/>
    <s v="NA"/>
    <s v="NA"/>
    <n v="0"/>
    <n v="4"/>
    <n v="2010"/>
    <s v="WD"/>
    <s v="Normal"/>
    <n v="180000"/>
  </r>
  <r>
    <n v="113"/>
    <n v="60"/>
    <s v="RL"/>
    <n v="77"/>
    <n v="9965"/>
    <s v="Pave"/>
    <s v="NA"/>
    <s v="Reg"/>
    <s v="Lvl"/>
    <s v="AllPub"/>
    <s v="Inside"/>
    <s v="Gtl"/>
    <x v="0"/>
    <x v="0"/>
    <s v="Norm"/>
    <x v="0"/>
    <x v="0"/>
    <n v="7"/>
    <n v="5"/>
    <x v="22"/>
    <n v="2007"/>
    <s v="Gable"/>
    <s v="CompShg"/>
    <s v="VinylSd"/>
    <s v="VinylSd"/>
    <s v="Stone"/>
    <n v="220"/>
    <s v="Gd"/>
    <s v="TA"/>
    <s v="PConc"/>
    <s v="Ex"/>
    <s v="TA"/>
    <s v="Av"/>
    <s v="GLQ"/>
    <n v="984"/>
    <s v="Unf"/>
    <n v="0"/>
    <n v="280"/>
    <n v="1264"/>
    <s v="GasA"/>
    <s v="Ex"/>
    <s v="Y"/>
    <s v="SBrkr"/>
    <n v="1282"/>
    <n v="1414"/>
    <n v="0"/>
    <x v="106"/>
    <n v="1"/>
    <n v="0"/>
    <n v="2"/>
    <n v="1"/>
    <n v="4"/>
    <n v="1"/>
    <s v="Ex"/>
    <n v="10"/>
    <s v="Typ"/>
    <n v="1"/>
    <s v="Gd"/>
    <s v="BuiltIn"/>
    <n v="2007"/>
    <s v="Fin"/>
    <n v="3"/>
    <n v="792"/>
    <s v="TA"/>
    <s v="TA"/>
    <s v="Y"/>
    <n v="120"/>
    <n v="184"/>
    <n v="0"/>
    <n v="0"/>
    <n v="168"/>
    <n v="0"/>
    <s v="NA"/>
    <s v="NA"/>
    <s v="NA"/>
    <n v="0"/>
    <n v="10"/>
    <n v="2007"/>
    <s v="New"/>
    <s v="Partial"/>
    <n v="383970"/>
  </r>
  <r>
    <n v="114"/>
    <n v="20"/>
    <s v="RL"/>
    <s v="NA"/>
    <n v="21000"/>
    <s v="Pave"/>
    <s v="NA"/>
    <s v="Reg"/>
    <s v="Bnk"/>
    <s v="AllPub"/>
    <s v="Corner"/>
    <s v="Gtl"/>
    <x v="2"/>
    <x v="0"/>
    <s v="Norm"/>
    <x v="0"/>
    <x v="1"/>
    <n v="6"/>
    <n v="5"/>
    <x v="31"/>
    <n v="1953"/>
    <s v="Hip"/>
    <s v="CompShg"/>
    <s v="Wd Sdng"/>
    <s v="Wd Sdng"/>
    <s v="BrkFace"/>
    <n v="184"/>
    <s v="TA"/>
    <s v="Gd"/>
    <s v="CBlock"/>
    <s v="Gd"/>
    <s v="TA"/>
    <s v="Mn"/>
    <s v="ALQ"/>
    <n v="35"/>
    <s v="Rec"/>
    <n v="869"/>
    <n v="905"/>
    <n v="1809"/>
    <s v="GasA"/>
    <s v="TA"/>
    <s v="Y"/>
    <s v="SBrkr"/>
    <n v="2259"/>
    <n v="0"/>
    <n v="0"/>
    <x v="107"/>
    <n v="1"/>
    <n v="0"/>
    <n v="2"/>
    <n v="0"/>
    <n v="3"/>
    <n v="1"/>
    <s v="Gd"/>
    <n v="7"/>
    <s v="Typ"/>
    <n v="2"/>
    <s v="Gd"/>
    <s v="Basment"/>
    <n v="1953"/>
    <s v="Unf"/>
    <n v="2"/>
    <n v="450"/>
    <s v="TA"/>
    <s v="TA"/>
    <s v="Y"/>
    <n v="166"/>
    <n v="120"/>
    <n v="192"/>
    <n v="0"/>
    <n v="0"/>
    <n v="0"/>
    <s v="NA"/>
    <s v="MnPrv"/>
    <s v="NA"/>
    <n v="0"/>
    <n v="10"/>
    <n v="2007"/>
    <s v="COD"/>
    <s v="Abnorml"/>
    <n v="217000"/>
  </r>
  <r>
    <n v="115"/>
    <n v="70"/>
    <s v="RL"/>
    <n v="61"/>
    <n v="7259"/>
    <s v="Pave"/>
    <s v="NA"/>
    <s v="IR1"/>
    <s v="Lvl"/>
    <s v="AllPub"/>
    <s v="Inside"/>
    <s v="Mod"/>
    <x v="2"/>
    <x v="0"/>
    <s v="Norm"/>
    <x v="0"/>
    <x v="0"/>
    <n v="6"/>
    <n v="8"/>
    <x v="43"/>
    <n v="2002"/>
    <s v="Gambrel"/>
    <s v="CompShg"/>
    <s v="Wd Sdng"/>
    <s v="Wd Sdng"/>
    <s v="None"/>
    <n v="0"/>
    <s v="TA"/>
    <s v="TA"/>
    <s v="CBlock"/>
    <s v="TA"/>
    <s v="TA"/>
    <s v="No"/>
    <s v="ALQ"/>
    <n v="774"/>
    <s v="LwQ"/>
    <n v="150"/>
    <n v="104"/>
    <n v="1028"/>
    <s v="GasA"/>
    <s v="Ex"/>
    <s v="Y"/>
    <s v="SBrkr"/>
    <n v="1436"/>
    <n v="884"/>
    <n v="0"/>
    <x v="108"/>
    <n v="1"/>
    <n v="0"/>
    <n v="2"/>
    <n v="1"/>
    <n v="3"/>
    <n v="1"/>
    <s v="Gd"/>
    <n v="9"/>
    <s v="Typ"/>
    <n v="1"/>
    <s v="TA"/>
    <s v="Detchd"/>
    <n v="1945"/>
    <s v="Unf"/>
    <n v="1"/>
    <n v="180"/>
    <s v="TA"/>
    <s v="TA"/>
    <s v="Y"/>
    <n v="224"/>
    <n v="0"/>
    <n v="0"/>
    <n v="0"/>
    <n v="0"/>
    <n v="0"/>
    <s v="NA"/>
    <s v="MnPrv"/>
    <s v="NA"/>
    <n v="0"/>
    <n v="7"/>
    <n v="2007"/>
    <s v="WD"/>
    <s v="Normal"/>
    <n v="259500"/>
  </r>
  <r>
    <n v="116"/>
    <n v="160"/>
    <s v="FV"/>
    <n v="34"/>
    <n v="3230"/>
    <s v="Pave"/>
    <s v="Pave"/>
    <s v="Reg"/>
    <s v="Lvl"/>
    <s v="AllPub"/>
    <s v="Corner"/>
    <s v="Gtl"/>
    <x v="5"/>
    <x v="0"/>
    <s v="Norm"/>
    <x v="3"/>
    <x v="0"/>
    <n v="6"/>
    <n v="5"/>
    <x v="40"/>
    <n v="1999"/>
    <s v="Gable"/>
    <s v="CompShg"/>
    <s v="MetalSd"/>
    <s v="MetalSd"/>
    <s v="BrkFace"/>
    <n v="1129"/>
    <s v="TA"/>
    <s v="TA"/>
    <s v="PConc"/>
    <s v="Gd"/>
    <s v="TA"/>
    <s v="No"/>
    <s v="GLQ"/>
    <n v="419"/>
    <s v="Unf"/>
    <n v="0"/>
    <n v="310"/>
    <n v="729"/>
    <s v="GasA"/>
    <s v="Gd"/>
    <s v="Y"/>
    <s v="SBrkr"/>
    <n v="729"/>
    <n v="729"/>
    <n v="0"/>
    <x v="109"/>
    <n v="0"/>
    <n v="0"/>
    <n v="2"/>
    <n v="1"/>
    <n v="2"/>
    <n v="1"/>
    <s v="TA"/>
    <n v="5"/>
    <s v="Typ"/>
    <n v="1"/>
    <s v="Fa"/>
    <s v="Detchd"/>
    <n v="1999"/>
    <s v="Unf"/>
    <n v="2"/>
    <n v="440"/>
    <s v="TA"/>
    <s v="TA"/>
    <s v="Y"/>
    <n v="0"/>
    <n v="32"/>
    <n v="0"/>
    <n v="0"/>
    <n v="0"/>
    <n v="0"/>
    <s v="NA"/>
    <s v="NA"/>
    <s v="NA"/>
    <n v="0"/>
    <n v="6"/>
    <n v="2007"/>
    <s v="WD"/>
    <s v="Normal"/>
    <n v="176000"/>
  </r>
  <r>
    <n v="117"/>
    <n v="20"/>
    <s v="RL"/>
    <s v="NA"/>
    <n v="11616"/>
    <s v="Pave"/>
    <s v="NA"/>
    <s v="Reg"/>
    <s v="Lvl"/>
    <s v="AllPub"/>
    <s v="Inside"/>
    <s v="Gtl"/>
    <x v="9"/>
    <x v="0"/>
    <s v="Norm"/>
    <x v="0"/>
    <x v="1"/>
    <n v="5"/>
    <n v="5"/>
    <x v="12"/>
    <n v="1962"/>
    <s v="Gable"/>
    <s v="CompShg"/>
    <s v="Wd Sdng"/>
    <s v="Wd Sdng"/>
    <s v="BrkFace"/>
    <n v="116"/>
    <s v="TA"/>
    <s v="TA"/>
    <s v="CBlock"/>
    <s v="TA"/>
    <s v="TA"/>
    <s v="No"/>
    <s v="LwQ"/>
    <n v="170"/>
    <s v="BLQ"/>
    <n v="670"/>
    <n v="252"/>
    <n v="1092"/>
    <s v="GasA"/>
    <s v="TA"/>
    <s v="Y"/>
    <s v="SBrkr"/>
    <n v="1092"/>
    <n v="0"/>
    <n v="0"/>
    <x v="110"/>
    <n v="0"/>
    <n v="1"/>
    <n v="1"/>
    <n v="0"/>
    <n v="3"/>
    <n v="1"/>
    <s v="TA"/>
    <n v="6"/>
    <s v="Typ"/>
    <n v="1"/>
    <s v="Po"/>
    <s v="Attchd"/>
    <n v="1962"/>
    <s v="Unf"/>
    <n v="1"/>
    <n v="288"/>
    <s v="TA"/>
    <s v="TA"/>
    <s v="Y"/>
    <n v="0"/>
    <n v="20"/>
    <n v="144"/>
    <n v="0"/>
    <n v="0"/>
    <n v="0"/>
    <s v="NA"/>
    <s v="NA"/>
    <s v="NA"/>
    <n v="0"/>
    <n v="9"/>
    <n v="2009"/>
    <s v="WD"/>
    <s v="Normal"/>
    <n v="139000"/>
  </r>
  <r>
    <n v="118"/>
    <n v="20"/>
    <s v="RL"/>
    <n v="74"/>
    <n v="8536"/>
    <s v="Pave"/>
    <s v="NA"/>
    <s v="Reg"/>
    <s v="Lvl"/>
    <s v="AllPub"/>
    <s v="Corner"/>
    <s v="Gtl"/>
    <x v="15"/>
    <x v="0"/>
    <s v="Norm"/>
    <x v="0"/>
    <x v="1"/>
    <n v="5"/>
    <n v="5"/>
    <x v="13"/>
    <n v="2007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125"/>
    <n v="1125"/>
    <s v="GasA"/>
    <s v="Gd"/>
    <s v="Y"/>
    <s v="SBrkr"/>
    <n v="1125"/>
    <n v="0"/>
    <n v="0"/>
    <x v="111"/>
    <n v="0"/>
    <n v="0"/>
    <n v="1"/>
    <n v="1"/>
    <n v="2"/>
    <n v="1"/>
    <s v="TA"/>
    <n v="5"/>
    <s v="Typ"/>
    <n v="0"/>
    <s v="NA"/>
    <s v="Attchd"/>
    <n v="2007"/>
    <s v="Unf"/>
    <n v="2"/>
    <n v="430"/>
    <s v="TA"/>
    <s v="TA"/>
    <s v="Y"/>
    <n v="80"/>
    <n v="64"/>
    <n v="0"/>
    <n v="0"/>
    <n v="0"/>
    <n v="0"/>
    <s v="NA"/>
    <s v="NA"/>
    <s v="NA"/>
    <n v="0"/>
    <n v="4"/>
    <n v="2007"/>
    <s v="New"/>
    <s v="Partial"/>
    <n v="155000"/>
  </r>
  <r>
    <n v="119"/>
    <n v="60"/>
    <s v="RL"/>
    <n v="90"/>
    <n v="12376"/>
    <s v="Pave"/>
    <s v="NA"/>
    <s v="Reg"/>
    <s v="Lvl"/>
    <s v="AllPub"/>
    <s v="Corner"/>
    <s v="Gtl"/>
    <x v="12"/>
    <x v="0"/>
    <s v="Norm"/>
    <x v="0"/>
    <x v="0"/>
    <n v="7"/>
    <n v="5"/>
    <x v="59"/>
    <n v="1990"/>
    <s v="Hip"/>
    <s v="CompShg"/>
    <s v="Plywood"/>
    <s v="Plywood"/>
    <s v="None"/>
    <n v="0"/>
    <s v="TA"/>
    <s v="TA"/>
    <s v="PConc"/>
    <s v="Gd"/>
    <s v="TA"/>
    <s v="Mn"/>
    <s v="GLQ"/>
    <n v="1470"/>
    <s v="Unf"/>
    <n v="0"/>
    <n v="203"/>
    <n v="1673"/>
    <s v="GasA"/>
    <s v="Gd"/>
    <s v="Y"/>
    <s v="SBrkr"/>
    <n v="1699"/>
    <n v="1523"/>
    <n v="0"/>
    <x v="112"/>
    <n v="1"/>
    <n v="0"/>
    <n v="3"/>
    <n v="0"/>
    <n v="5"/>
    <n v="1"/>
    <s v="Gd"/>
    <n v="11"/>
    <s v="Typ"/>
    <n v="2"/>
    <s v="TA"/>
    <s v="Attchd"/>
    <n v="1990"/>
    <s v="Unf"/>
    <n v="3"/>
    <n v="594"/>
    <s v="TA"/>
    <s v="TA"/>
    <s v="Y"/>
    <n v="367"/>
    <n v="0"/>
    <n v="0"/>
    <n v="0"/>
    <n v="0"/>
    <n v="0"/>
    <s v="NA"/>
    <s v="NA"/>
    <s v="NA"/>
    <n v="0"/>
    <n v="5"/>
    <n v="2010"/>
    <s v="WD"/>
    <s v="Normal"/>
    <n v="320000"/>
  </r>
  <r>
    <n v="120"/>
    <n v="60"/>
    <s v="RL"/>
    <n v="65"/>
    <n v="8461"/>
    <s v="Pave"/>
    <s v="NA"/>
    <s v="Reg"/>
    <s v="Lvl"/>
    <s v="AllPub"/>
    <s v="Inside"/>
    <s v="Gtl"/>
    <x v="0"/>
    <x v="0"/>
    <s v="Norm"/>
    <x v="0"/>
    <x v="0"/>
    <n v="6"/>
    <n v="5"/>
    <x v="11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28"/>
    <n v="728"/>
    <s v="GasA"/>
    <s v="Ex"/>
    <s v="Y"/>
    <s v="SBrkr"/>
    <n v="728"/>
    <n v="728"/>
    <n v="0"/>
    <x v="113"/>
    <n v="0"/>
    <n v="0"/>
    <n v="2"/>
    <n v="1"/>
    <n v="3"/>
    <n v="1"/>
    <s v="Gd"/>
    <n v="8"/>
    <s v="Typ"/>
    <n v="1"/>
    <s v="Gd"/>
    <s v="Attchd"/>
    <n v="2005"/>
    <s v="Fin"/>
    <n v="2"/>
    <n v="390"/>
    <s v="TA"/>
    <s v="TA"/>
    <s v="Y"/>
    <n v="0"/>
    <n v="24"/>
    <n v="0"/>
    <n v="0"/>
    <n v="0"/>
    <n v="0"/>
    <s v="NA"/>
    <s v="NA"/>
    <s v="NA"/>
    <n v="0"/>
    <n v="7"/>
    <n v="2006"/>
    <s v="New"/>
    <s v="Partial"/>
    <n v="163990"/>
  </r>
  <r>
    <n v="121"/>
    <n v="80"/>
    <s v="RL"/>
    <s v="NA"/>
    <n v="21453"/>
    <s v="Pave"/>
    <s v="NA"/>
    <s v="IR1"/>
    <s v="Low"/>
    <s v="AllPub"/>
    <s v="CulDSac"/>
    <s v="Sev"/>
    <x v="19"/>
    <x v="0"/>
    <s v="Norm"/>
    <x v="0"/>
    <x v="5"/>
    <n v="6"/>
    <n v="5"/>
    <x v="60"/>
    <n v="1969"/>
    <s v="Flat"/>
    <s v="Metal"/>
    <s v="Plywood"/>
    <s v="Plywood"/>
    <s v="None"/>
    <n v="0"/>
    <s v="TA"/>
    <s v="TA"/>
    <s v="CBlock"/>
    <s v="TA"/>
    <s v="TA"/>
    <s v="Gd"/>
    <s v="ALQ"/>
    <n v="938"/>
    <s v="Unf"/>
    <n v="0"/>
    <n v="0"/>
    <n v="938"/>
    <s v="GasA"/>
    <s v="Ex"/>
    <s v="Y"/>
    <s v="SBrkr"/>
    <n v="988"/>
    <n v="0"/>
    <n v="0"/>
    <x v="72"/>
    <n v="1"/>
    <n v="0"/>
    <n v="1"/>
    <n v="0"/>
    <n v="1"/>
    <n v="1"/>
    <s v="TA"/>
    <n v="4"/>
    <s v="Typ"/>
    <n v="2"/>
    <s v="TA"/>
    <s v="Attchd"/>
    <n v="1969"/>
    <s v="Unf"/>
    <n v="2"/>
    <n v="540"/>
    <s v="TA"/>
    <s v="TA"/>
    <s v="Y"/>
    <n v="0"/>
    <n v="130"/>
    <n v="0"/>
    <n v="130"/>
    <n v="0"/>
    <n v="0"/>
    <s v="NA"/>
    <s v="NA"/>
    <s v="NA"/>
    <n v="0"/>
    <n v="10"/>
    <n v="2006"/>
    <s v="WD"/>
    <s v="Normal"/>
    <n v="180000"/>
  </r>
  <r>
    <n v="122"/>
    <n v="50"/>
    <s v="RM"/>
    <n v="50"/>
    <n v="6060"/>
    <s v="Pave"/>
    <s v="NA"/>
    <s v="Reg"/>
    <s v="Lvl"/>
    <s v="AllPub"/>
    <s v="Inside"/>
    <s v="Gtl"/>
    <x v="13"/>
    <x v="0"/>
    <s v="Norm"/>
    <x v="0"/>
    <x v="2"/>
    <n v="4"/>
    <n v="5"/>
    <x v="9"/>
    <n v="1950"/>
    <s v="Gable"/>
    <s v="CompShg"/>
    <s v="AsbShng"/>
    <s v="AsbShng"/>
    <s v="None"/>
    <n v="0"/>
    <s v="TA"/>
    <s v="TA"/>
    <s v="PConc"/>
    <s v="TA"/>
    <s v="TA"/>
    <s v="No"/>
    <s v="Unf"/>
    <n v="0"/>
    <s v="Unf"/>
    <n v="0"/>
    <n v="732"/>
    <n v="732"/>
    <s v="GasA"/>
    <s v="Gd"/>
    <s v="Y"/>
    <s v="SBrkr"/>
    <n v="772"/>
    <n v="351"/>
    <n v="0"/>
    <x v="114"/>
    <n v="0"/>
    <n v="0"/>
    <n v="1"/>
    <n v="0"/>
    <n v="3"/>
    <n v="1"/>
    <s v="TA"/>
    <n v="4"/>
    <s v="Typ"/>
    <n v="0"/>
    <s v="NA"/>
    <s v="Detchd"/>
    <n v="1979"/>
    <s v="Unf"/>
    <n v="1"/>
    <n v="264"/>
    <s v="TA"/>
    <s v="TA"/>
    <s v="P"/>
    <n v="0"/>
    <n v="0"/>
    <n v="140"/>
    <n v="0"/>
    <n v="0"/>
    <n v="0"/>
    <s v="NA"/>
    <s v="MnPrv"/>
    <s v="NA"/>
    <n v="0"/>
    <n v="6"/>
    <n v="2007"/>
    <s v="WD"/>
    <s v="Normal"/>
    <n v="100000"/>
  </r>
  <r>
    <n v="123"/>
    <n v="20"/>
    <s v="RL"/>
    <n v="75"/>
    <n v="9464"/>
    <s v="Pave"/>
    <s v="NA"/>
    <s v="Reg"/>
    <s v="Lvl"/>
    <s v="AllPub"/>
    <s v="Corner"/>
    <s v="Gtl"/>
    <x v="11"/>
    <x v="0"/>
    <s v="Norm"/>
    <x v="0"/>
    <x v="1"/>
    <n v="6"/>
    <n v="7"/>
    <x v="18"/>
    <n v="1958"/>
    <s v="Hip"/>
    <s v="CompShg"/>
    <s v="MetalSd"/>
    <s v="MetalSd"/>
    <s v="BrkFace"/>
    <n v="135"/>
    <s v="TA"/>
    <s v="Gd"/>
    <s v="CBlock"/>
    <s v="TA"/>
    <s v="TA"/>
    <s v="No"/>
    <s v="BLQ"/>
    <n v="570"/>
    <s v="Unf"/>
    <n v="0"/>
    <n v="510"/>
    <n v="1080"/>
    <s v="GasA"/>
    <s v="Gd"/>
    <s v="Y"/>
    <s v="SBrkr"/>
    <n v="1080"/>
    <n v="0"/>
    <n v="0"/>
    <x v="115"/>
    <n v="0"/>
    <n v="0"/>
    <n v="1"/>
    <n v="0"/>
    <n v="3"/>
    <n v="1"/>
    <s v="TA"/>
    <n v="5"/>
    <s v="Typ"/>
    <n v="0"/>
    <s v="NA"/>
    <s v="Attchd"/>
    <n v="1958"/>
    <s v="Unf"/>
    <n v="1"/>
    <n v="288"/>
    <s v="TA"/>
    <s v="TA"/>
    <s v="Y"/>
    <n v="0"/>
    <n v="0"/>
    <n v="0"/>
    <n v="0"/>
    <n v="130"/>
    <n v="0"/>
    <s v="NA"/>
    <s v="NA"/>
    <s v="NA"/>
    <n v="0"/>
    <n v="6"/>
    <n v="2008"/>
    <s v="WD"/>
    <s v="Normal"/>
    <n v="136000"/>
  </r>
  <r>
    <n v="124"/>
    <n v="120"/>
    <s v="RL"/>
    <n v="55"/>
    <n v="7892"/>
    <s v="Pave"/>
    <s v="NA"/>
    <s v="Reg"/>
    <s v="Lvl"/>
    <s v="AllPub"/>
    <s v="Inside"/>
    <s v="Gtl"/>
    <x v="12"/>
    <x v="0"/>
    <s v="Norm"/>
    <x v="3"/>
    <x v="1"/>
    <n v="6"/>
    <n v="5"/>
    <x v="5"/>
    <n v="1993"/>
    <s v="Gable"/>
    <s v="CompShg"/>
    <s v="Plywood"/>
    <s v="Plywood"/>
    <s v="None"/>
    <n v="0"/>
    <s v="Gd"/>
    <s v="TA"/>
    <s v="PConc"/>
    <s v="Gd"/>
    <s v="TA"/>
    <s v="No"/>
    <s v="GLQ"/>
    <n v="300"/>
    <s v="Unf"/>
    <n v="0"/>
    <n v="899"/>
    <n v="1199"/>
    <s v="GasA"/>
    <s v="Ex"/>
    <s v="Y"/>
    <s v="SBrkr"/>
    <n v="1199"/>
    <n v="0"/>
    <n v="0"/>
    <x v="116"/>
    <n v="0"/>
    <n v="0"/>
    <n v="2"/>
    <n v="0"/>
    <n v="2"/>
    <n v="1"/>
    <s v="Gd"/>
    <n v="5"/>
    <s v="Typ"/>
    <n v="0"/>
    <s v="NA"/>
    <s v="Attchd"/>
    <n v="1993"/>
    <s v="RFn"/>
    <n v="2"/>
    <n v="530"/>
    <s v="TA"/>
    <s v="TA"/>
    <s v="Y"/>
    <n v="0"/>
    <n v="63"/>
    <n v="0"/>
    <n v="0"/>
    <n v="0"/>
    <n v="0"/>
    <s v="NA"/>
    <s v="NA"/>
    <s v="NA"/>
    <n v="0"/>
    <n v="3"/>
    <n v="2008"/>
    <s v="WD"/>
    <s v="Normal"/>
    <n v="153900"/>
  </r>
  <r>
    <n v="125"/>
    <n v="20"/>
    <s v="RL"/>
    <n v="48"/>
    <n v="17043"/>
    <s v="Pave"/>
    <s v="NA"/>
    <s v="IR1"/>
    <s v="Lvl"/>
    <s v="AllPub"/>
    <s v="CulDSac"/>
    <s v="Gtl"/>
    <x v="6"/>
    <x v="0"/>
    <s v="Norm"/>
    <x v="0"/>
    <x v="1"/>
    <n v="6"/>
    <n v="5"/>
    <x v="56"/>
    <n v="1998"/>
    <s v="Gable"/>
    <s v="CompShg"/>
    <s v="HdBoard"/>
    <s v="HdBoard"/>
    <s v="None"/>
    <n v="0"/>
    <s v="TA"/>
    <s v="Gd"/>
    <s v="CBlock"/>
    <s v="Gd"/>
    <s v="Fa"/>
    <s v="No"/>
    <s v="Unf"/>
    <n v="0"/>
    <s v="Unf"/>
    <n v="0"/>
    <n v="1362"/>
    <n v="1362"/>
    <s v="GasA"/>
    <s v="TA"/>
    <s v="Y"/>
    <s v="SBrkr"/>
    <n v="1586"/>
    <n v="0"/>
    <n v="0"/>
    <x v="117"/>
    <n v="0"/>
    <n v="0"/>
    <n v="2"/>
    <n v="0"/>
    <n v="3"/>
    <n v="1"/>
    <s v="TA"/>
    <n v="7"/>
    <s v="Typ"/>
    <n v="1"/>
    <s v="TA"/>
    <s v="Attchd"/>
    <n v="1979"/>
    <s v="Unf"/>
    <n v="2"/>
    <n v="435"/>
    <s v="TA"/>
    <s v="TA"/>
    <s v="Y"/>
    <n v="192"/>
    <n v="0"/>
    <n v="0"/>
    <n v="0"/>
    <n v="0"/>
    <n v="0"/>
    <s v="NA"/>
    <s v="NA"/>
    <s v="NA"/>
    <n v="0"/>
    <n v="1"/>
    <n v="2009"/>
    <s v="WD"/>
    <s v="Normal"/>
    <n v="181000"/>
  </r>
  <r>
    <n v="126"/>
    <n v="190"/>
    <s v="RM"/>
    <n v="60"/>
    <n v="6780"/>
    <s v="Pave"/>
    <s v="NA"/>
    <s v="Reg"/>
    <s v="Lvl"/>
    <s v="AllPub"/>
    <s v="Inside"/>
    <s v="Gtl"/>
    <x v="13"/>
    <x v="0"/>
    <s v="Norm"/>
    <x v="1"/>
    <x v="2"/>
    <n v="6"/>
    <n v="8"/>
    <x v="61"/>
    <n v="1982"/>
    <s v="Gable"/>
    <s v="CompShg"/>
    <s v="Wd Sdng"/>
    <s v="Wd Sdng"/>
    <s v="None"/>
    <n v="0"/>
    <s v="TA"/>
    <s v="Fa"/>
    <s v="CBlock"/>
    <s v="TA"/>
    <s v="TA"/>
    <s v="Av"/>
    <s v="GLQ"/>
    <n v="490"/>
    <s v="Unf"/>
    <n v="0"/>
    <n v="30"/>
    <n v="520"/>
    <s v="GasA"/>
    <s v="Gd"/>
    <s v="N"/>
    <s v="SBrkr"/>
    <n v="520"/>
    <n v="0"/>
    <n v="234"/>
    <x v="118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53"/>
    <n v="0"/>
    <n v="0"/>
    <n v="0"/>
    <n v="0"/>
    <n v="0"/>
    <s v="NA"/>
    <s v="NA"/>
    <s v="NA"/>
    <n v="0"/>
    <n v="6"/>
    <n v="2006"/>
    <s v="WD"/>
    <s v="Normal"/>
    <n v="84500"/>
  </r>
  <r>
    <n v="127"/>
    <n v="120"/>
    <s v="RL"/>
    <s v="NA"/>
    <n v="4928"/>
    <s v="Pave"/>
    <s v="NA"/>
    <s v="IR1"/>
    <s v="Lvl"/>
    <s v="AllPub"/>
    <s v="Inside"/>
    <s v="Gtl"/>
    <x v="20"/>
    <x v="0"/>
    <s v="Norm"/>
    <x v="3"/>
    <x v="1"/>
    <n v="6"/>
    <n v="5"/>
    <x v="1"/>
    <n v="1976"/>
    <s v="Gable"/>
    <s v="CompShg"/>
    <s v="Plywood"/>
    <s v="Plywood"/>
    <s v="None"/>
    <n v="0"/>
    <s v="TA"/>
    <s v="TA"/>
    <s v="CBlock"/>
    <s v="Gd"/>
    <s v="TA"/>
    <s v="No"/>
    <s v="ALQ"/>
    <n v="120"/>
    <s v="Unf"/>
    <n v="0"/>
    <n v="958"/>
    <n v="1078"/>
    <s v="GasA"/>
    <s v="TA"/>
    <s v="Y"/>
    <s v="SBrkr"/>
    <n v="958"/>
    <n v="0"/>
    <n v="0"/>
    <x v="119"/>
    <n v="0"/>
    <n v="0"/>
    <n v="2"/>
    <n v="0"/>
    <n v="2"/>
    <n v="1"/>
    <s v="TA"/>
    <n v="5"/>
    <s v="Typ"/>
    <n v="1"/>
    <s v="TA"/>
    <s v="Attchd"/>
    <n v="1977"/>
    <s v="RFn"/>
    <n v="2"/>
    <n v="440"/>
    <s v="TA"/>
    <s v="TA"/>
    <s v="Y"/>
    <n v="0"/>
    <n v="205"/>
    <n v="0"/>
    <n v="0"/>
    <n v="0"/>
    <n v="0"/>
    <s v="NA"/>
    <s v="NA"/>
    <s v="NA"/>
    <n v="0"/>
    <n v="2"/>
    <n v="2007"/>
    <s v="WD"/>
    <s v="Normal"/>
    <n v="128000"/>
  </r>
  <r>
    <n v="128"/>
    <n v="45"/>
    <s v="RM"/>
    <n v="55"/>
    <n v="4388"/>
    <s v="Pave"/>
    <s v="NA"/>
    <s v="IR1"/>
    <s v="Bnk"/>
    <s v="AllPub"/>
    <s v="Inside"/>
    <s v="Gtl"/>
    <x v="7"/>
    <x v="1"/>
    <s v="Norm"/>
    <x v="0"/>
    <x v="3"/>
    <n v="5"/>
    <n v="7"/>
    <x v="19"/>
    <n v="1950"/>
    <s v="Gable"/>
    <s v="CompShg"/>
    <s v="WdShing"/>
    <s v="Wd Sdng"/>
    <s v="None"/>
    <n v="0"/>
    <s v="TA"/>
    <s v="Gd"/>
    <s v="BrkTil"/>
    <s v="TA"/>
    <s v="TA"/>
    <s v="No"/>
    <s v="LwQ"/>
    <n v="116"/>
    <s v="Unf"/>
    <n v="0"/>
    <n v="556"/>
    <n v="672"/>
    <s v="GasA"/>
    <s v="Ex"/>
    <s v="Y"/>
    <s v="SBrkr"/>
    <n v="840"/>
    <n v="0"/>
    <n v="0"/>
    <x v="120"/>
    <n v="0"/>
    <n v="0"/>
    <n v="1"/>
    <n v="0"/>
    <n v="3"/>
    <n v="1"/>
    <s v="TA"/>
    <n v="5"/>
    <s v="Typ"/>
    <n v="1"/>
    <s v="T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6"/>
    <n v="2007"/>
    <s v="WD"/>
    <s v="Normal"/>
    <n v="87000"/>
  </r>
  <r>
    <n v="129"/>
    <n v="60"/>
    <s v="RL"/>
    <n v="69"/>
    <n v="7590"/>
    <s v="Pave"/>
    <s v="NA"/>
    <s v="Reg"/>
    <s v="Lvl"/>
    <s v="AllPub"/>
    <s v="Inside"/>
    <s v="Gtl"/>
    <x v="11"/>
    <x v="2"/>
    <s v="Norm"/>
    <x v="0"/>
    <x v="0"/>
    <n v="6"/>
    <n v="5"/>
    <x v="27"/>
    <n v="1966"/>
    <s v="Gable"/>
    <s v="CompShg"/>
    <s v="VinylSd"/>
    <s v="VinylSd"/>
    <s v="BrkFace"/>
    <n v="266"/>
    <s v="TA"/>
    <s v="TA"/>
    <s v="CBlock"/>
    <s v="TA"/>
    <s v="TA"/>
    <s v="No"/>
    <s v="BLQ"/>
    <n v="512"/>
    <s v="Unf"/>
    <n v="0"/>
    <n v="148"/>
    <n v="660"/>
    <s v="GasA"/>
    <s v="TA"/>
    <s v="Y"/>
    <s v="SBrkr"/>
    <n v="660"/>
    <n v="688"/>
    <n v="0"/>
    <x v="121"/>
    <n v="0"/>
    <n v="0"/>
    <n v="1"/>
    <n v="1"/>
    <n v="3"/>
    <n v="1"/>
    <s v="TA"/>
    <n v="6"/>
    <s v="Typ"/>
    <n v="1"/>
    <s v="Fa"/>
    <s v="Attchd"/>
    <n v="1966"/>
    <s v="RFn"/>
    <n v="2"/>
    <n v="453"/>
    <s v="TA"/>
    <s v="TA"/>
    <s v="Y"/>
    <n v="188"/>
    <n v="108"/>
    <n v="0"/>
    <n v="0"/>
    <n v="0"/>
    <n v="0"/>
    <s v="NA"/>
    <s v="NA"/>
    <s v="NA"/>
    <n v="0"/>
    <n v="7"/>
    <n v="2006"/>
    <s v="WD"/>
    <s v="Normal"/>
    <n v="155000"/>
  </r>
  <r>
    <n v="130"/>
    <n v="20"/>
    <s v="RL"/>
    <n v="69"/>
    <n v="8973"/>
    <s v="Pave"/>
    <s v="NA"/>
    <s v="Reg"/>
    <s v="Lvl"/>
    <s v="AllPub"/>
    <s v="Inside"/>
    <s v="Gtl"/>
    <x v="11"/>
    <x v="0"/>
    <s v="Norm"/>
    <x v="0"/>
    <x v="1"/>
    <n v="5"/>
    <n v="7"/>
    <x v="18"/>
    <n v="1991"/>
    <s v="Gable"/>
    <s v="CompShg"/>
    <s v="Plywood"/>
    <s v="Plywood"/>
    <s v="BrkFace"/>
    <n v="85"/>
    <s v="TA"/>
    <s v="TA"/>
    <s v="CBlock"/>
    <s v="TA"/>
    <s v="TA"/>
    <s v="No"/>
    <s v="Rec"/>
    <n v="567"/>
    <s v="BLQ"/>
    <n v="28"/>
    <n v="413"/>
    <n v="1008"/>
    <s v="GasA"/>
    <s v="TA"/>
    <s v="Y"/>
    <s v="FuseA"/>
    <n v="1053"/>
    <n v="0"/>
    <n v="0"/>
    <x v="122"/>
    <n v="0"/>
    <n v="1"/>
    <n v="1"/>
    <n v="1"/>
    <n v="3"/>
    <n v="1"/>
    <s v="Ex"/>
    <n v="6"/>
    <s v="Typ"/>
    <n v="0"/>
    <s v="NA"/>
    <s v="2Types"/>
    <n v="1998"/>
    <s v="RFn"/>
    <n v="2"/>
    <n v="750"/>
    <s v="TA"/>
    <s v="TA"/>
    <s v="Y"/>
    <n v="0"/>
    <n v="80"/>
    <n v="0"/>
    <n v="180"/>
    <n v="0"/>
    <n v="0"/>
    <s v="NA"/>
    <s v="MnWw"/>
    <s v="NA"/>
    <n v="0"/>
    <n v="7"/>
    <n v="2006"/>
    <s v="WD"/>
    <s v="Abnorml"/>
    <n v="150000"/>
  </r>
  <r>
    <n v="131"/>
    <n v="60"/>
    <s v="RL"/>
    <n v="88"/>
    <n v="14200"/>
    <s v="Pave"/>
    <s v="NA"/>
    <s v="Reg"/>
    <s v="Lvl"/>
    <s v="AllPub"/>
    <s v="Corner"/>
    <s v="Gtl"/>
    <x v="11"/>
    <x v="0"/>
    <s v="Norm"/>
    <x v="0"/>
    <x v="0"/>
    <n v="7"/>
    <n v="6"/>
    <x v="27"/>
    <n v="1966"/>
    <s v="Gable"/>
    <s v="CompShg"/>
    <s v="MetalSd"/>
    <s v="MetalSd"/>
    <s v="BrkFace"/>
    <n v="309"/>
    <s v="TA"/>
    <s v="TA"/>
    <s v="CBlock"/>
    <s v="TA"/>
    <s v="TA"/>
    <s v="No"/>
    <s v="Rec"/>
    <n v="445"/>
    <s v="Unf"/>
    <n v="0"/>
    <n v="479"/>
    <n v="924"/>
    <s v="GasA"/>
    <s v="Ex"/>
    <s v="Y"/>
    <s v="SBrkr"/>
    <n v="1216"/>
    <n v="941"/>
    <n v="0"/>
    <x v="123"/>
    <n v="0"/>
    <n v="0"/>
    <n v="2"/>
    <n v="1"/>
    <n v="4"/>
    <n v="1"/>
    <s v="Gd"/>
    <n v="8"/>
    <s v="Typ"/>
    <n v="2"/>
    <s v="Gd"/>
    <s v="Attchd"/>
    <n v="1966"/>
    <s v="Fin"/>
    <n v="2"/>
    <n v="487"/>
    <s v="TA"/>
    <s v="TA"/>
    <s v="Y"/>
    <n v="105"/>
    <n v="66"/>
    <n v="0"/>
    <n v="0"/>
    <n v="0"/>
    <n v="0"/>
    <s v="NA"/>
    <s v="GdPrv"/>
    <s v="NA"/>
    <n v="0"/>
    <n v="5"/>
    <n v="2006"/>
    <s v="WD"/>
    <s v="Normal"/>
    <n v="226000"/>
  </r>
  <r>
    <n v="132"/>
    <n v="60"/>
    <s v="RL"/>
    <s v="NA"/>
    <n v="12224"/>
    <s v="Pave"/>
    <s v="NA"/>
    <s v="IR1"/>
    <s v="Lvl"/>
    <s v="AllPub"/>
    <s v="Corner"/>
    <s v="Gtl"/>
    <x v="17"/>
    <x v="0"/>
    <s v="Norm"/>
    <x v="0"/>
    <x v="0"/>
    <n v="6"/>
    <n v="5"/>
    <x v="4"/>
    <n v="2000"/>
    <s v="Gable"/>
    <s v="CompShg"/>
    <s v="VinylSd"/>
    <s v="VinylSd"/>
    <s v="BrkFace"/>
    <n v="40"/>
    <s v="Gd"/>
    <s v="TA"/>
    <s v="PConc"/>
    <s v="Gd"/>
    <s v="TA"/>
    <s v="No"/>
    <s v="GLQ"/>
    <n v="695"/>
    <s v="Unf"/>
    <n v="0"/>
    <n v="297"/>
    <n v="992"/>
    <s v="GasA"/>
    <s v="Ex"/>
    <s v="Y"/>
    <s v="SBrkr"/>
    <n v="1022"/>
    <n v="1032"/>
    <n v="0"/>
    <x v="124"/>
    <n v="1"/>
    <n v="0"/>
    <n v="2"/>
    <n v="1"/>
    <n v="3"/>
    <n v="1"/>
    <s v="Gd"/>
    <n v="7"/>
    <s v="Typ"/>
    <n v="1"/>
    <s v="TA"/>
    <s v="BuiltIn"/>
    <n v="2000"/>
    <s v="RFn"/>
    <n v="2"/>
    <n v="390"/>
    <s v="TA"/>
    <s v="TA"/>
    <s v="Y"/>
    <n v="24"/>
    <n v="48"/>
    <n v="0"/>
    <n v="0"/>
    <n v="0"/>
    <n v="0"/>
    <s v="NA"/>
    <s v="NA"/>
    <s v="NA"/>
    <n v="0"/>
    <n v="7"/>
    <n v="2009"/>
    <s v="WD"/>
    <s v="Normal"/>
    <n v="244000"/>
  </r>
  <r>
    <n v="133"/>
    <n v="20"/>
    <s v="RL"/>
    <n v="75"/>
    <n v="7388"/>
    <s v="Pave"/>
    <s v="NA"/>
    <s v="Reg"/>
    <s v="Lvl"/>
    <s v="AllPub"/>
    <s v="Corner"/>
    <s v="Gtl"/>
    <x v="11"/>
    <x v="0"/>
    <s v="Norm"/>
    <x v="0"/>
    <x v="1"/>
    <n v="5"/>
    <n v="6"/>
    <x v="28"/>
    <n v="2002"/>
    <s v="Gable"/>
    <s v="CompShg"/>
    <s v="MetalSd"/>
    <s v="MetalSd"/>
    <s v="None"/>
    <n v="0"/>
    <s v="TA"/>
    <s v="TA"/>
    <s v="CBlock"/>
    <s v="TA"/>
    <s v="TA"/>
    <s v="No"/>
    <s v="Rec"/>
    <n v="405"/>
    <s v="Unf"/>
    <n v="0"/>
    <n v="658"/>
    <n v="1063"/>
    <s v="GasA"/>
    <s v="Gd"/>
    <s v="Y"/>
    <s v="SBrkr"/>
    <n v="1327"/>
    <n v="0"/>
    <n v="0"/>
    <x v="125"/>
    <n v="1"/>
    <n v="0"/>
    <n v="1"/>
    <n v="0"/>
    <n v="3"/>
    <n v="1"/>
    <s v="Gd"/>
    <n v="7"/>
    <s v="Typ"/>
    <n v="0"/>
    <s v="NA"/>
    <s v="Detchd"/>
    <n v="1974"/>
    <s v="Unf"/>
    <n v="2"/>
    <n v="624"/>
    <s v="TA"/>
    <s v="TA"/>
    <s v="Y"/>
    <n v="0"/>
    <n v="0"/>
    <n v="0"/>
    <n v="0"/>
    <n v="0"/>
    <n v="0"/>
    <s v="NA"/>
    <s v="NA"/>
    <s v="NA"/>
    <n v="0"/>
    <n v="7"/>
    <n v="2007"/>
    <s v="WD"/>
    <s v="Normal"/>
    <n v="150750"/>
  </r>
  <r>
    <n v="134"/>
    <n v="20"/>
    <s v="RL"/>
    <s v="NA"/>
    <n v="6853"/>
    <s v="Pave"/>
    <s v="NA"/>
    <s v="IR1"/>
    <s v="Lvl"/>
    <s v="AllPub"/>
    <s v="Inside"/>
    <s v="Gtl"/>
    <x v="16"/>
    <x v="0"/>
    <s v="Norm"/>
    <x v="0"/>
    <x v="1"/>
    <n v="8"/>
    <n v="5"/>
    <x v="2"/>
    <n v="2002"/>
    <s v="Gable"/>
    <s v="CompShg"/>
    <s v="VinylSd"/>
    <s v="VinylSd"/>
    <s v="BrkFace"/>
    <n v="136"/>
    <s v="Gd"/>
    <s v="TA"/>
    <s v="PConc"/>
    <s v="Ex"/>
    <s v="TA"/>
    <s v="No"/>
    <s v="GLQ"/>
    <n v="1005"/>
    <s v="Unf"/>
    <n v="0"/>
    <n v="262"/>
    <n v="1267"/>
    <s v="GasA"/>
    <s v="Ex"/>
    <s v="Y"/>
    <s v="SBrkr"/>
    <n v="1296"/>
    <n v="0"/>
    <n v="0"/>
    <x v="17"/>
    <n v="1"/>
    <n v="0"/>
    <n v="2"/>
    <n v="0"/>
    <n v="2"/>
    <n v="1"/>
    <s v="Gd"/>
    <n v="6"/>
    <s v="Typ"/>
    <n v="0"/>
    <s v="NA"/>
    <s v="Attchd"/>
    <n v="2001"/>
    <s v="Fin"/>
    <n v="2"/>
    <n v="471"/>
    <s v="TA"/>
    <s v="TA"/>
    <s v="Y"/>
    <n v="192"/>
    <n v="25"/>
    <n v="0"/>
    <n v="0"/>
    <n v="0"/>
    <n v="0"/>
    <s v="NA"/>
    <s v="NA"/>
    <s v="NA"/>
    <n v="0"/>
    <n v="6"/>
    <n v="2009"/>
    <s v="WD"/>
    <s v="Normal"/>
    <n v="220000"/>
  </r>
  <r>
    <n v="135"/>
    <n v="20"/>
    <s v="RL"/>
    <n v="78"/>
    <n v="10335"/>
    <s v="Pave"/>
    <s v="NA"/>
    <s v="IR1"/>
    <s v="Lvl"/>
    <s v="AllPub"/>
    <s v="Inside"/>
    <s v="Gtl"/>
    <x v="9"/>
    <x v="0"/>
    <s v="Norm"/>
    <x v="0"/>
    <x v="1"/>
    <n v="5"/>
    <n v="6"/>
    <x v="21"/>
    <n v="1993"/>
    <s v="Gable"/>
    <s v="CompShg"/>
    <s v="Plywood"/>
    <s v="Plywood"/>
    <s v="None"/>
    <n v="0"/>
    <s v="TA"/>
    <s v="TA"/>
    <s v="CBlock"/>
    <s v="TA"/>
    <s v="TA"/>
    <s v="No"/>
    <s v="Rec"/>
    <n v="570"/>
    <s v="Unf"/>
    <n v="0"/>
    <n v="891"/>
    <n v="1461"/>
    <s v="GasA"/>
    <s v="Gd"/>
    <s v="Y"/>
    <s v="SBrkr"/>
    <n v="1721"/>
    <n v="0"/>
    <n v="0"/>
    <x v="126"/>
    <n v="0"/>
    <n v="0"/>
    <n v="2"/>
    <n v="1"/>
    <n v="3"/>
    <n v="1"/>
    <s v="TA"/>
    <n v="7"/>
    <s v="Min1"/>
    <n v="1"/>
    <s v="TA"/>
    <s v="Attchd"/>
    <n v="1968"/>
    <s v="RFn"/>
    <n v="2"/>
    <n v="440"/>
    <s v="TA"/>
    <s v="TA"/>
    <s v="Y"/>
    <n v="0"/>
    <n v="96"/>
    <n v="180"/>
    <n v="0"/>
    <n v="0"/>
    <n v="0"/>
    <s v="NA"/>
    <s v="MnPrv"/>
    <s v="NA"/>
    <n v="0"/>
    <n v="7"/>
    <n v="2006"/>
    <s v="WD"/>
    <s v="Normal"/>
    <n v="180000"/>
  </r>
  <r>
    <n v="136"/>
    <n v="20"/>
    <s v="RL"/>
    <n v="80"/>
    <n v="10400"/>
    <s v="Pave"/>
    <s v="NA"/>
    <s v="Reg"/>
    <s v="Lvl"/>
    <s v="AllPub"/>
    <s v="Inside"/>
    <s v="Gtl"/>
    <x v="6"/>
    <x v="0"/>
    <s v="Norm"/>
    <x v="0"/>
    <x v="1"/>
    <n v="7"/>
    <n v="6"/>
    <x v="16"/>
    <n v="1970"/>
    <s v="Hip"/>
    <s v="CompShg"/>
    <s v="Plywood"/>
    <s v="Plywood"/>
    <s v="BrkFace"/>
    <n v="288"/>
    <s v="TA"/>
    <s v="TA"/>
    <s v="PConc"/>
    <s v="TA"/>
    <s v="TA"/>
    <s v="No"/>
    <s v="Unf"/>
    <n v="0"/>
    <s v="Unf"/>
    <n v="0"/>
    <n v="1304"/>
    <n v="1304"/>
    <s v="GasA"/>
    <s v="Gd"/>
    <s v="Y"/>
    <s v="SBrkr"/>
    <n v="1682"/>
    <n v="0"/>
    <n v="0"/>
    <x v="127"/>
    <n v="0"/>
    <n v="0"/>
    <n v="2"/>
    <n v="0"/>
    <n v="3"/>
    <n v="1"/>
    <s v="TA"/>
    <n v="7"/>
    <s v="Typ"/>
    <n v="1"/>
    <s v="Gd"/>
    <s v="Attchd"/>
    <n v="1970"/>
    <s v="Unf"/>
    <n v="2"/>
    <n v="530"/>
    <s v="TA"/>
    <s v="TA"/>
    <s v="Y"/>
    <n v="98"/>
    <n v="0"/>
    <n v="0"/>
    <n v="0"/>
    <n v="0"/>
    <n v="0"/>
    <s v="NA"/>
    <s v="MnPrv"/>
    <s v="NA"/>
    <n v="0"/>
    <n v="5"/>
    <n v="2008"/>
    <s v="WD"/>
    <s v="Normal"/>
    <n v="174000"/>
  </r>
  <r>
    <n v="137"/>
    <n v="20"/>
    <s v="RL"/>
    <s v="NA"/>
    <n v="10355"/>
    <s v="Pave"/>
    <s v="NA"/>
    <s v="IR1"/>
    <s v="Lvl"/>
    <s v="AllPub"/>
    <s v="Corner"/>
    <s v="Gtl"/>
    <x v="11"/>
    <x v="0"/>
    <s v="Norm"/>
    <x v="0"/>
    <x v="1"/>
    <n v="5"/>
    <n v="5"/>
    <x v="17"/>
    <n v="1967"/>
    <s v="Gable"/>
    <s v="CompShg"/>
    <s v="MetalSd"/>
    <s v="MetalSd"/>
    <s v="BrkFace"/>
    <n v="196"/>
    <s v="TA"/>
    <s v="TA"/>
    <s v="CBlock"/>
    <s v="TA"/>
    <s v="TA"/>
    <s v="No"/>
    <s v="BLQ"/>
    <n v="695"/>
    <s v="Unf"/>
    <n v="0"/>
    <n v="519"/>
    <n v="1214"/>
    <s v="GasA"/>
    <s v="TA"/>
    <s v="Y"/>
    <s v="SBrkr"/>
    <n v="1214"/>
    <n v="0"/>
    <n v="0"/>
    <x v="128"/>
    <n v="0"/>
    <n v="0"/>
    <n v="2"/>
    <n v="0"/>
    <n v="3"/>
    <n v="1"/>
    <s v="TA"/>
    <n v="5"/>
    <s v="Typ"/>
    <n v="1"/>
    <s v="Fa"/>
    <s v="Attchd"/>
    <n v="1967"/>
    <s v="RFn"/>
    <n v="1"/>
    <n v="318"/>
    <s v="TA"/>
    <s v="TA"/>
    <s v="Y"/>
    <n v="0"/>
    <n v="111"/>
    <n v="0"/>
    <n v="0"/>
    <n v="0"/>
    <n v="0"/>
    <s v="NA"/>
    <s v="NA"/>
    <s v="NA"/>
    <n v="0"/>
    <n v="7"/>
    <n v="2007"/>
    <s v="WD"/>
    <s v="Normal"/>
    <n v="143000"/>
  </r>
  <r>
    <n v="138"/>
    <n v="90"/>
    <s v="RL"/>
    <n v="82"/>
    <n v="11070"/>
    <s v="Pave"/>
    <s v="NA"/>
    <s v="Reg"/>
    <s v="Lvl"/>
    <s v="AllPub"/>
    <s v="Inside"/>
    <s v="Gtl"/>
    <x v="4"/>
    <x v="0"/>
    <s v="Norm"/>
    <x v="2"/>
    <x v="1"/>
    <n v="7"/>
    <n v="5"/>
    <x v="62"/>
    <n v="1989"/>
    <s v="Gable"/>
    <s v="CompShg"/>
    <s v="VinylSd"/>
    <s v="VinylSd"/>
    <s v="BrkFace"/>
    <n v="70"/>
    <s v="TA"/>
    <s v="TA"/>
    <s v="CBlock"/>
    <s v="TA"/>
    <s v="TA"/>
    <s v="No"/>
    <s v="Unf"/>
    <n v="0"/>
    <s v="Unf"/>
    <n v="0"/>
    <n v="1907"/>
    <n v="1907"/>
    <s v="GasA"/>
    <s v="Gd"/>
    <s v="Y"/>
    <s v="SBrkr"/>
    <n v="1959"/>
    <n v="0"/>
    <n v="0"/>
    <x v="129"/>
    <n v="0"/>
    <n v="0"/>
    <n v="3"/>
    <n v="0"/>
    <n v="5"/>
    <n v="2"/>
    <s v="TA"/>
    <n v="9"/>
    <s v="Typ"/>
    <n v="0"/>
    <s v="NA"/>
    <s v="2Types"/>
    <n v="1989"/>
    <s v="Unf"/>
    <n v="3"/>
    <n v="766"/>
    <s v="TA"/>
    <s v="TA"/>
    <s v="Y"/>
    <n v="0"/>
    <n v="0"/>
    <n v="0"/>
    <n v="0"/>
    <n v="0"/>
    <n v="0"/>
    <s v="NA"/>
    <s v="NA"/>
    <s v="NA"/>
    <n v="0"/>
    <n v="7"/>
    <n v="2006"/>
    <s v="WD"/>
    <s v="Family"/>
    <n v="171000"/>
  </r>
  <r>
    <n v="139"/>
    <n v="60"/>
    <s v="RL"/>
    <n v="73"/>
    <n v="9066"/>
    <s v="Pave"/>
    <s v="NA"/>
    <s v="IR1"/>
    <s v="Lvl"/>
    <s v="AllPub"/>
    <s v="Inside"/>
    <s v="Gtl"/>
    <x v="0"/>
    <x v="0"/>
    <s v="Norm"/>
    <x v="0"/>
    <x v="0"/>
    <n v="8"/>
    <n v="5"/>
    <x v="40"/>
    <n v="2000"/>
    <s v="Gable"/>
    <s v="CompShg"/>
    <s v="VinylSd"/>
    <s v="VinylSd"/>
    <s v="BrkFace"/>
    <n v="320"/>
    <s v="Gd"/>
    <s v="TA"/>
    <s v="PConc"/>
    <s v="Gd"/>
    <s v="TA"/>
    <s v="Mn"/>
    <s v="GLQ"/>
    <n v="668"/>
    <s v="Unf"/>
    <n v="0"/>
    <n v="336"/>
    <n v="1004"/>
    <s v="GasA"/>
    <s v="Ex"/>
    <s v="Y"/>
    <s v="SBrkr"/>
    <n v="1004"/>
    <n v="848"/>
    <n v="0"/>
    <x v="130"/>
    <n v="0"/>
    <n v="0"/>
    <n v="2"/>
    <n v="1"/>
    <n v="3"/>
    <n v="1"/>
    <s v="Gd"/>
    <n v="7"/>
    <s v="Typ"/>
    <n v="2"/>
    <s v="TA"/>
    <s v="Attchd"/>
    <n v="1999"/>
    <s v="Fin"/>
    <n v="3"/>
    <n v="660"/>
    <s v="TA"/>
    <s v="TA"/>
    <s v="Y"/>
    <n v="224"/>
    <n v="106"/>
    <n v="0"/>
    <n v="0"/>
    <n v="0"/>
    <n v="0"/>
    <s v="NA"/>
    <s v="GdPrv"/>
    <s v="NA"/>
    <n v="0"/>
    <n v="12"/>
    <n v="2008"/>
    <s v="WD"/>
    <s v="Normal"/>
    <n v="230000"/>
  </r>
  <r>
    <n v="140"/>
    <n v="60"/>
    <s v="RL"/>
    <n v="65"/>
    <n v="15426"/>
    <s v="Pave"/>
    <s v="NA"/>
    <s v="IR1"/>
    <s v="Lvl"/>
    <s v="AllPub"/>
    <s v="Inside"/>
    <s v="Gtl"/>
    <x v="0"/>
    <x v="0"/>
    <s v="Norm"/>
    <x v="0"/>
    <x v="0"/>
    <n v="6"/>
    <n v="5"/>
    <x v="35"/>
    <n v="1997"/>
    <s v="Gable"/>
    <s v="CompShg"/>
    <s v="VinylSd"/>
    <s v="VinylSd"/>
    <s v="None"/>
    <n v="0"/>
    <s v="TA"/>
    <s v="TA"/>
    <s v="PConc"/>
    <s v="Gd"/>
    <s v="TA"/>
    <s v="No"/>
    <s v="GLQ"/>
    <n v="821"/>
    <s v="Unf"/>
    <n v="0"/>
    <n v="107"/>
    <n v="928"/>
    <s v="GasA"/>
    <s v="Ex"/>
    <s v="Y"/>
    <s v="SBrkr"/>
    <n v="928"/>
    <n v="836"/>
    <n v="0"/>
    <x v="131"/>
    <n v="1"/>
    <n v="0"/>
    <n v="2"/>
    <n v="1"/>
    <n v="3"/>
    <n v="1"/>
    <s v="Gd"/>
    <n v="7"/>
    <s v="Typ"/>
    <n v="0"/>
    <s v="NA"/>
    <s v="Attchd"/>
    <n v="1997"/>
    <s v="RFn"/>
    <n v="2"/>
    <n v="470"/>
    <s v="TA"/>
    <s v="TA"/>
    <s v="Y"/>
    <n v="276"/>
    <n v="99"/>
    <n v="0"/>
    <n v="0"/>
    <n v="0"/>
    <n v="0"/>
    <s v="NA"/>
    <s v="MnPrv"/>
    <s v="NA"/>
    <n v="0"/>
    <n v="8"/>
    <n v="2009"/>
    <s v="WD"/>
    <s v="Normal"/>
    <n v="231500"/>
  </r>
  <r>
    <n v="141"/>
    <n v="20"/>
    <s v="RL"/>
    <n v="70"/>
    <n v="10500"/>
    <s v="Pave"/>
    <s v="NA"/>
    <s v="Reg"/>
    <s v="Lvl"/>
    <s v="AllPub"/>
    <s v="FR2"/>
    <s v="Gtl"/>
    <x v="11"/>
    <x v="0"/>
    <s v="Norm"/>
    <x v="0"/>
    <x v="1"/>
    <n v="4"/>
    <n v="5"/>
    <x v="63"/>
    <n v="1971"/>
    <s v="Gable"/>
    <s v="CompShg"/>
    <s v="HdBoard"/>
    <s v="HdBoard"/>
    <s v="None"/>
    <n v="0"/>
    <s v="TA"/>
    <s v="TA"/>
    <s v="CBlock"/>
    <s v="TA"/>
    <s v="TA"/>
    <s v="No"/>
    <s v="ALQ"/>
    <n v="432"/>
    <s v="Unf"/>
    <n v="0"/>
    <n v="432"/>
    <n v="864"/>
    <s v="GasA"/>
    <s v="TA"/>
    <s v="Y"/>
    <s v="SBrkr"/>
    <n v="864"/>
    <n v="0"/>
    <n v="0"/>
    <x v="132"/>
    <n v="0"/>
    <n v="0"/>
    <n v="1"/>
    <n v="0"/>
    <n v="3"/>
    <n v="1"/>
    <s v="TA"/>
    <n v="5"/>
    <s v="Typ"/>
    <n v="1"/>
    <s v="Po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4"/>
    <n v="2010"/>
    <s v="ConLI"/>
    <s v="Normal"/>
    <n v="115000"/>
  </r>
  <r>
    <n v="142"/>
    <n v="20"/>
    <s v="RL"/>
    <n v="78"/>
    <n v="11645"/>
    <s v="Pave"/>
    <s v="NA"/>
    <s v="Reg"/>
    <s v="Lvl"/>
    <s v="AllPub"/>
    <s v="Inside"/>
    <s v="Gtl"/>
    <x v="0"/>
    <x v="0"/>
    <s v="Norm"/>
    <x v="0"/>
    <x v="1"/>
    <n v="7"/>
    <n v="5"/>
    <x v="11"/>
    <n v="2005"/>
    <s v="Gable"/>
    <s v="CompShg"/>
    <s v="VinylSd"/>
    <s v="VinylSd"/>
    <s v="None"/>
    <n v="0"/>
    <s v="Gd"/>
    <s v="TA"/>
    <s v="PConc"/>
    <s v="Gd"/>
    <s v="TA"/>
    <s v="Av"/>
    <s v="GLQ"/>
    <n v="1300"/>
    <s v="Unf"/>
    <n v="0"/>
    <n v="434"/>
    <n v="1734"/>
    <s v="GasA"/>
    <s v="Ex"/>
    <s v="Y"/>
    <s v="SBrkr"/>
    <n v="1734"/>
    <n v="0"/>
    <n v="0"/>
    <x v="133"/>
    <n v="1"/>
    <n v="0"/>
    <n v="2"/>
    <n v="0"/>
    <n v="3"/>
    <n v="1"/>
    <s v="Gd"/>
    <n v="7"/>
    <s v="Typ"/>
    <n v="0"/>
    <s v="NA"/>
    <s v="Attchd"/>
    <n v="2005"/>
    <s v="Fin"/>
    <n v="2"/>
    <n v="660"/>
    <s v="TA"/>
    <s v="TA"/>
    <s v="Y"/>
    <n v="160"/>
    <n v="24"/>
    <n v="0"/>
    <n v="0"/>
    <n v="0"/>
    <n v="0"/>
    <s v="NA"/>
    <s v="NA"/>
    <s v="NA"/>
    <n v="0"/>
    <n v="1"/>
    <n v="2006"/>
    <s v="WD"/>
    <s v="Normal"/>
    <n v="260000"/>
  </r>
  <r>
    <n v="143"/>
    <n v="50"/>
    <s v="RL"/>
    <n v="71"/>
    <n v="8520"/>
    <s v="Pave"/>
    <s v="NA"/>
    <s v="Reg"/>
    <s v="Lvl"/>
    <s v="AllPub"/>
    <s v="Corner"/>
    <s v="Gtl"/>
    <x v="11"/>
    <x v="3"/>
    <s v="Norm"/>
    <x v="0"/>
    <x v="2"/>
    <n v="5"/>
    <n v="4"/>
    <x v="64"/>
    <n v="1952"/>
    <s v="Gable"/>
    <s v="CompShg"/>
    <s v="BrkFace"/>
    <s v="Wd Sdng"/>
    <s v="None"/>
    <n v="0"/>
    <s v="TA"/>
    <s v="Fa"/>
    <s v="CBlock"/>
    <s v="TA"/>
    <s v="TA"/>
    <s v="No"/>
    <s v="Rec"/>
    <n v="507"/>
    <s v="Unf"/>
    <n v="0"/>
    <n v="403"/>
    <n v="910"/>
    <s v="GasA"/>
    <s v="Fa"/>
    <s v="Y"/>
    <s v="SBrkr"/>
    <n v="910"/>
    <n v="475"/>
    <n v="0"/>
    <x v="134"/>
    <n v="0"/>
    <n v="0"/>
    <n v="2"/>
    <n v="0"/>
    <n v="4"/>
    <n v="1"/>
    <s v="TA"/>
    <n v="6"/>
    <s v="Typ"/>
    <n v="0"/>
    <s v="NA"/>
    <s v="Detchd"/>
    <n v="2000"/>
    <s v="Unf"/>
    <n v="2"/>
    <n v="720"/>
    <s v="TA"/>
    <s v="TA"/>
    <s v="Y"/>
    <n v="0"/>
    <n v="0"/>
    <n v="0"/>
    <n v="0"/>
    <n v="0"/>
    <n v="0"/>
    <s v="NA"/>
    <s v="MnPrv"/>
    <s v="NA"/>
    <n v="0"/>
    <n v="6"/>
    <n v="2010"/>
    <s v="WD"/>
    <s v="Normal"/>
    <n v="166000"/>
  </r>
  <r>
    <n v="144"/>
    <n v="20"/>
    <s v="RL"/>
    <n v="78"/>
    <n v="10335"/>
    <s v="Pave"/>
    <s v="NA"/>
    <s v="IR1"/>
    <s v="Lvl"/>
    <s v="AllPub"/>
    <s v="Inside"/>
    <s v="Gtl"/>
    <x v="0"/>
    <x v="0"/>
    <s v="Norm"/>
    <x v="0"/>
    <x v="1"/>
    <n v="7"/>
    <n v="5"/>
    <x v="40"/>
    <n v="1999"/>
    <s v="Gable"/>
    <s v="CompShg"/>
    <s v="VinylSd"/>
    <s v="VinylSd"/>
    <s v="BrkFace"/>
    <n v="183"/>
    <s v="Gd"/>
    <s v="TA"/>
    <s v="PConc"/>
    <s v="Gd"/>
    <s v="TA"/>
    <s v="Gd"/>
    <s v="GLQ"/>
    <n v="679"/>
    <s v="Unf"/>
    <n v="0"/>
    <n v="811"/>
    <n v="1490"/>
    <s v="GasA"/>
    <s v="Ex"/>
    <s v="Y"/>
    <s v="SBrkr"/>
    <n v="1501"/>
    <n v="0"/>
    <n v="0"/>
    <x v="135"/>
    <n v="1"/>
    <n v="0"/>
    <n v="2"/>
    <n v="0"/>
    <n v="3"/>
    <n v="1"/>
    <s v="Gd"/>
    <n v="6"/>
    <s v="Typ"/>
    <n v="0"/>
    <s v="NA"/>
    <s v="Attchd"/>
    <n v="1999"/>
    <s v="RFn"/>
    <n v="2"/>
    <n v="577"/>
    <s v="TA"/>
    <s v="TA"/>
    <s v="Y"/>
    <n v="144"/>
    <n v="29"/>
    <n v="0"/>
    <n v="0"/>
    <n v="0"/>
    <n v="0"/>
    <s v="NA"/>
    <s v="NA"/>
    <s v="NA"/>
    <n v="0"/>
    <n v="6"/>
    <n v="2009"/>
    <s v="WD"/>
    <s v="Normal"/>
    <n v="204000"/>
  </r>
  <r>
    <n v="145"/>
    <n v="90"/>
    <s v="RM"/>
    <n v="70"/>
    <n v="9100"/>
    <s v="Pave"/>
    <s v="NA"/>
    <s v="Reg"/>
    <s v="Lvl"/>
    <s v="AllPub"/>
    <s v="Inside"/>
    <s v="Gtl"/>
    <x v="9"/>
    <x v="4"/>
    <s v="Norm"/>
    <x v="2"/>
    <x v="1"/>
    <n v="5"/>
    <n v="5"/>
    <x v="37"/>
    <n v="1963"/>
    <s v="Gable"/>
    <s v="CompShg"/>
    <s v="HdBoard"/>
    <s v="HdBoard"/>
    <s v="BrkFace"/>
    <n v="336"/>
    <s v="TA"/>
    <s v="TA"/>
    <s v="CBlock"/>
    <s v="TA"/>
    <s v="TA"/>
    <s v="No"/>
    <s v="Rec"/>
    <n v="1332"/>
    <s v="Unf"/>
    <n v="0"/>
    <n v="396"/>
    <n v="1728"/>
    <s v="GasA"/>
    <s v="TA"/>
    <s v="Y"/>
    <s v="SBrkr"/>
    <n v="1728"/>
    <n v="0"/>
    <n v="0"/>
    <x v="136"/>
    <n v="1"/>
    <n v="0"/>
    <n v="2"/>
    <n v="0"/>
    <n v="6"/>
    <n v="2"/>
    <s v="TA"/>
    <n v="10"/>
    <s v="Typ"/>
    <n v="0"/>
    <s v="NA"/>
    <s v="Detchd"/>
    <n v="1963"/>
    <s v="Unf"/>
    <n v="2"/>
    <n v="504"/>
    <s v="TA"/>
    <s v="TA"/>
    <s v="Y"/>
    <n v="0"/>
    <n v="0"/>
    <n v="0"/>
    <n v="0"/>
    <n v="0"/>
    <n v="0"/>
    <s v="NA"/>
    <s v="NA"/>
    <s v="NA"/>
    <n v="0"/>
    <n v="11"/>
    <n v="2006"/>
    <s v="ConLI"/>
    <s v="Abnorml"/>
    <n v="125000"/>
  </r>
  <r>
    <n v="146"/>
    <n v="160"/>
    <s v="RM"/>
    <n v="24"/>
    <n v="2522"/>
    <s v="Pave"/>
    <s v="NA"/>
    <s v="Reg"/>
    <s v="Lvl"/>
    <s v="AllPub"/>
    <s v="Inside"/>
    <s v="Gtl"/>
    <x v="15"/>
    <x v="0"/>
    <s v="Norm"/>
    <x v="4"/>
    <x v="0"/>
    <n v="6"/>
    <n v="5"/>
    <x v="6"/>
    <n v="2006"/>
    <s v="Gable"/>
    <s v="CompShg"/>
    <s v="VinylSd"/>
    <s v="VinylSd"/>
    <s v="Stone"/>
    <n v="50"/>
    <s v="Gd"/>
    <s v="TA"/>
    <s v="PConc"/>
    <s v="Gd"/>
    <s v="TA"/>
    <s v="No"/>
    <s v="Unf"/>
    <n v="0"/>
    <s v="Unf"/>
    <n v="0"/>
    <n v="970"/>
    <n v="970"/>
    <s v="GasA"/>
    <s v="Ex"/>
    <s v="Y"/>
    <s v="SBrkr"/>
    <n v="970"/>
    <n v="739"/>
    <n v="0"/>
    <x v="137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4"/>
    <n v="2006"/>
    <s v="WD"/>
    <s v="Normal"/>
    <n v="130000"/>
  </r>
  <r>
    <n v="147"/>
    <n v="30"/>
    <s v="RM"/>
    <n v="51"/>
    <n v="6120"/>
    <s v="Pave"/>
    <s v="NA"/>
    <s v="Reg"/>
    <s v="Lvl"/>
    <s v="AllPub"/>
    <s v="Corner"/>
    <s v="Gtl"/>
    <x v="8"/>
    <x v="0"/>
    <s v="Norm"/>
    <x v="0"/>
    <x v="1"/>
    <n v="5"/>
    <n v="7"/>
    <x v="8"/>
    <n v="1993"/>
    <s v="Gable"/>
    <s v="CompShg"/>
    <s v="Wd Sdng"/>
    <s v="Wd Sdng"/>
    <s v="None"/>
    <n v="0"/>
    <s v="TA"/>
    <s v="TA"/>
    <s v="BrkTil"/>
    <s v="TA"/>
    <s v="TA"/>
    <s v="No"/>
    <s v="BLQ"/>
    <n v="209"/>
    <s v="Unf"/>
    <n v="0"/>
    <n v="506"/>
    <n v="715"/>
    <s v="GasA"/>
    <s v="TA"/>
    <s v="Y"/>
    <s v="FuseA"/>
    <n v="875"/>
    <n v="0"/>
    <n v="0"/>
    <x v="138"/>
    <n v="1"/>
    <n v="0"/>
    <n v="1"/>
    <n v="0"/>
    <n v="2"/>
    <n v="1"/>
    <s v="TA"/>
    <n v="5"/>
    <s v="Typ"/>
    <n v="0"/>
    <s v="NA"/>
    <s v="Detchd"/>
    <n v="1931"/>
    <s v="Unf"/>
    <n v="1"/>
    <n v="180"/>
    <s v="Fa"/>
    <s v="TA"/>
    <s v="Y"/>
    <n v="48"/>
    <n v="0"/>
    <n v="0"/>
    <n v="0"/>
    <n v="0"/>
    <n v="0"/>
    <s v="NA"/>
    <s v="NA"/>
    <s v="NA"/>
    <n v="0"/>
    <n v="11"/>
    <n v="2009"/>
    <s v="WD"/>
    <s v="Normal"/>
    <n v="105000"/>
  </r>
  <r>
    <n v="148"/>
    <n v="60"/>
    <s v="RL"/>
    <s v="NA"/>
    <n v="9505"/>
    <s v="Pave"/>
    <s v="NA"/>
    <s v="IR1"/>
    <s v="Lvl"/>
    <s v="AllPub"/>
    <s v="CulDSac"/>
    <s v="Gtl"/>
    <x v="17"/>
    <x v="0"/>
    <s v="Norm"/>
    <x v="0"/>
    <x v="0"/>
    <n v="7"/>
    <n v="5"/>
    <x v="2"/>
    <n v="2001"/>
    <s v="Gable"/>
    <s v="CompShg"/>
    <s v="VinylSd"/>
    <s v="VinylSd"/>
    <s v="BrkFace"/>
    <n v="180"/>
    <s v="Gd"/>
    <s v="TA"/>
    <s v="PConc"/>
    <s v="Gd"/>
    <s v="TA"/>
    <s v="No"/>
    <s v="Unf"/>
    <n v="0"/>
    <s v="Unf"/>
    <n v="0"/>
    <n v="884"/>
    <n v="884"/>
    <s v="GasA"/>
    <s v="Ex"/>
    <s v="Y"/>
    <s v="SBrkr"/>
    <n v="884"/>
    <n v="1151"/>
    <n v="0"/>
    <x v="139"/>
    <n v="0"/>
    <n v="0"/>
    <n v="2"/>
    <n v="1"/>
    <n v="3"/>
    <n v="1"/>
    <s v="Gd"/>
    <n v="8"/>
    <s v="Typ"/>
    <n v="1"/>
    <s v="Gd"/>
    <s v="BuiltIn"/>
    <n v="2001"/>
    <s v="Fin"/>
    <n v="2"/>
    <n v="434"/>
    <s v="TA"/>
    <s v="TA"/>
    <s v="Y"/>
    <n v="144"/>
    <n v="48"/>
    <n v="0"/>
    <n v="0"/>
    <n v="0"/>
    <n v="0"/>
    <s v="NA"/>
    <s v="NA"/>
    <s v="NA"/>
    <n v="0"/>
    <n v="5"/>
    <n v="2010"/>
    <s v="WD"/>
    <s v="Normal"/>
    <n v="222500"/>
  </r>
  <r>
    <n v="149"/>
    <n v="20"/>
    <s v="RL"/>
    <n v="63"/>
    <n v="7500"/>
    <s v="Pave"/>
    <s v="NA"/>
    <s v="Reg"/>
    <s v="Lvl"/>
    <s v="AllPub"/>
    <s v="Inside"/>
    <s v="Gtl"/>
    <x v="12"/>
    <x v="0"/>
    <s v="Norm"/>
    <x v="0"/>
    <x v="1"/>
    <n v="7"/>
    <n v="5"/>
    <x v="6"/>
    <n v="2005"/>
    <s v="Gable"/>
    <s v="CompShg"/>
    <s v="VinylSd"/>
    <s v="VinylSd"/>
    <s v="BrkFace"/>
    <n v="120"/>
    <s v="TA"/>
    <s v="TA"/>
    <s v="PConc"/>
    <s v="Gd"/>
    <s v="TA"/>
    <s v="No"/>
    <s v="GLQ"/>
    <n v="680"/>
    <s v="Unf"/>
    <n v="0"/>
    <n v="400"/>
    <n v="1080"/>
    <s v="GasA"/>
    <s v="Ex"/>
    <s v="Y"/>
    <s v="SBrkr"/>
    <n v="1080"/>
    <n v="0"/>
    <n v="0"/>
    <x v="115"/>
    <n v="1"/>
    <n v="0"/>
    <n v="1"/>
    <n v="0"/>
    <n v="3"/>
    <n v="1"/>
    <s v="Gd"/>
    <n v="6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4"/>
    <n v="2008"/>
    <s v="WD"/>
    <s v="Normal"/>
    <n v="141000"/>
  </r>
  <r>
    <n v="150"/>
    <n v="50"/>
    <s v="RM"/>
    <s v="NA"/>
    <n v="6240"/>
    <s v="Pave"/>
    <s v="NA"/>
    <s v="Reg"/>
    <s v="Lvl"/>
    <s v="AllPub"/>
    <s v="Inside"/>
    <s v="Gtl"/>
    <x v="8"/>
    <x v="0"/>
    <s v="Norm"/>
    <x v="0"/>
    <x v="2"/>
    <n v="5"/>
    <n v="4"/>
    <x v="65"/>
    <n v="1950"/>
    <s v="Gable"/>
    <s v="CompShg"/>
    <s v="MetalSd"/>
    <s v="MetalSd"/>
    <s v="None"/>
    <n v="0"/>
    <s v="TA"/>
    <s v="TA"/>
    <s v="BrkTil"/>
    <s v="Gd"/>
    <s v="TA"/>
    <s v="No"/>
    <s v="Unf"/>
    <n v="0"/>
    <s v="Unf"/>
    <n v="0"/>
    <n v="896"/>
    <n v="896"/>
    <s v="GasA"/>
    <s v="Gd"/>
    <s v="Y"/>
    <s v="FuseA"/>
    <n v="896"/>
    <n v="448"/>
    <n v="0"/>
    <x v="140"/>
    <n v="0"/>
    <n v="0"/>
    <n v="1"/>
    <n v="0"/>
    <n v="3"/>
    <n v="1"/>
    <s v="TA"/>
    <n v="7"/>
    <s v="Typ"/>
    <n v="0"/>
    <s v="NA"/>
    <s v="Detchd"/>
    <n v="1936"/>
    <s v="Unf"/>
    <n v="1"/>
    <n v="240"/>
    <s v="Fa"/>
    <s v="TA"/>
    <s v="Y"/>
    <n v="200"/>
    <n v="114"/>
    <n v="0"/>
    <n v="0"/>
    <n v="0"/>
    <n v="0"/>
    <s v="NA"/>
    <s v="NA"/>
    <s v="NA"/>
    <n v="0"/>
    <n v="4"/>
    <n v="2006"/>
    <s v="WD"/>
    <s v="Normal"/>
    <n v="115000"/>
  </r>
  <r>
    <n v="151"/>
    <n v="20"/>
    <s v="RL"/>
    <n v="120"/>
    <n v="10356"/>
    <s v="Pave"/>
    <s v="NA"/>
    <s v="Reg"/>
    <s v="Lvl"/>
    <s v="AllPub"/>
    <s v="Corner"/>
    <s v="Gtl"/>
    <x v="0"/>
    <x v="0"/>
    <s v="Norm"/>
    <x v="0"/>
    <x v="1"/>
    <n v="5"/>
    <n v="6"/>
    <x v="34"/>
    <n v="1975"/>
    <s v="Gable"/>
    <s v="CompShg"/>
    <s v="HdBoard"/>
    <s v="HdBoard"/>
    <s v="None"/>
    <n v="0"/>
    <s v="TA"/>
    <s v="TA"/>
    <s v="CBlock"/>
    <s v="TA"/>
    <s v="TA"/>
    <s v="Av"/>
    <s v="BLQ"/>
    <n v="716"/>
    <s v="Unf"/>
    <n v="0"/>
    <n v="253"/>
    <n v="969"/>
    <s v="GasA"/>
    <s v="TA"/>
    <s v="Y"/>
    <s v="SBrkr"/>
    <n v="969"/>
    <n v="0"/>
    <n v="0"/>
    <x v="141"/>
    <n v="0"/>
    <n v="0"/>
    <n v="1"/>
    <n v="1"/>
    <n v="3"/>
    <n v="1"/>
    <s v="TA"/>
    <n v="5"/>
    <s v="Typ"/>
    <n v="0"/>
    <s v="NA"/>
    <s v="Attchd"/>
    <n v="1975"/>
    <s v="Unf"/>
    <n v="2"/>
    <n v="440"/>
    <s v="TA"/>
    <s v="TA"/>
    <s v="Y"/>
    <n v="0"/>
    <n v="0"/>
    <n v="0"/>
    <n v="0"/>
    <n v="0"/>
    <n v="0"/>
    <s v="NA"/>
    <s v="MnPrv"/>
    <s v="NA"/>
    <n v="0"/>
    <n v="1"/>
    <n v="2007"/>
    <s v="WD"/>
    <s v="Normal"/>
    <n v="122000"/>
  </r>
  <r>
    <n v="152"/>
    <n v="20"/>
    <s v="RL"/>
    <n v="107"/>
    <n v="13891"/>
    <s v="Pave"/>
    <s v="NA"/>
    <s v="Reg"/>
    <s v="Lvl"/>
    <s v="AllPub"/>
    <s v="Inside"/>
    <s v="Gtl"/>
    <x v="10"/>
    <x v="0"/>
    <s v="Norm"/>
    <x v="0"/>
    <x v="1"/>
    <n v="8"/>
    <n v="5"/>
    <x v="22"/>
    <n v="2008"/>
    <s v="Hip"/>
    <s v="CompShg"/>
    <s v="VinylSd"/>
    <s v="VinylSd"/>
    <s v="Stone"/>
    <n v="436"/>
    <s v="Gd"/>
    <s v="TA"/>
    <s v="PConc"/>
    <s v="Ex"/>
    <s v="TA"/>
    <s v="Gd"/>
    <s v="GLQ"/>
    <n v="1400"/>
    <s v="Unf"/>
    <n v="0"/>
    <n v="310"/>
    <n v="1710"/>
    <s v="GasA"/>
    <s v="Ex"/>
    <s v="Y"/>
    <s v="SBrkr"/>
    <n v="1710"/>
    <n v="0"/>
    <n v="0"/>
    <x v="0"/>
    <n v="1"/>
    <n v="0"/>
    <n v="2"/>
    <n v="0"/>
    <n v="2"/>
    <n v="1"/>
    <s v="Gd"/>
    <n v="6"/>
    <s v="Typ"/>
    <n v="1"/>
    <s v="Gd"/>
    <s v="Attchd"/>
    <n v="2007"/>
    <s v="RFn"/>
    <n v="3"/>
    <n v="866"/>
    <s v="TA"/>
    <s v="TA"/>
    <s v="Y"/>
    <n v="0"/>
    <n v="102"/>
    <n v="0"/>
    <n v="0"/>
    <n v="0"/>
    <n v="0"/>
    <s v="NA"/>
    <s v="NA"/>
    <s v="NA"/>
    <n v="0"/>
    <n v="1"/>
    <n v="2008"/>
    <s v="New"/>
    <s v="Partial"/>
    <n v="372402"/>
  </r>
  <r>
    <n v="153"/>
    <n v="60"/>
    <s v="RL"/>
    <s v="NA"/>
    <n v="14803"/>
    <s v="Pave"/>
    <s v="NA"/>
    <s v="IR1"/>
    <s v="Lvl"/>
    <s v="AllPub"/>
    <s v="CulDSac"/>
    <s v="Gtl"/>
    <x v="6"/>
    <x v="0"/>
    <s v="Norm"/>
    <x v="0"/>
    <x v="0"/>
    <n v="6"/>
    <n v="5"/>
    <x v="63"/>
    <n v="1971"/>
    <s v="Gable"/>
    <s v="CompShg"/>
    <s v="HdBoard"/>
    <s v="HdBoard"/>
    <s v="BrkFace"/>
    <n v="252"/>
    <s v="TA"/>
    <s v="TA"/>
    <s v="CBlock"/>
    <s v="TA"/>
    <s v="TA"/>
    <s v="No"/>
    <s v="Rec"/>
    <n v="416"/>
    <s v="Unf"/>
    <n v="0"/>
    <n v="409"/>
    <n v="825"/>
    <s v="GasA"/>
    <s v="Gd"/>
    <s v="Y"/>
    <s v="SBrkr"/>
    <n v="1097"/>
    <n v="896"/>
    <n v="0"/>
    <x v="142"/>
    <n v="0"/>
    <n v="0"/>
    <n v="2"/>
    <n v="1"/>
    <n v="4"/>
    <n v="1"/>
    <s v="TA"/>
    <n v="8"/>
    <s v="Typ"/>
    <n v="1"/>
    <s v="Gd"/>
    <s v="Attchd"/>
    <n v="1971"/>
    <s v="RFn"/>
    <n v="2"/>
    <n v="495"/>
    <s v="TA"/>
    <s v="TA"/>
    <s v="Y"/>
    <n v="0"/>
    <n v="66"/>
    <n v="0"/>
    <n v="0"/>
    <n v="0"/>
    <n v="0"/>
    <s v="NA"/>
    <s v="GdWo"/>
    <s v="NA"/>
    <n v="0"/>
    <n v="6"/>
    <n v="2006"/>
    <s v="WD"/>
    <s v="Normal"/>
    <n v="190000"/>
  </r>
  <r>
    <n v="154"/>
    <n v="20"/>
    <s v="RL"/>
    <s v="NA"/>
    <n v="13500"/>
    <s v="Pave"/>
    <s v="NA"/>
    <s v="Reg"/>
    <s v="Lvl"/>
    <s v="AllPub"/>
    <s v="Inside"/>
    <s v="Gtl"/>
    <x v="19"/>
    <x v="0"/>
    <s v="Norm"/>
    <x v="0"/>
    <x v="1"/>
    <n v="6"/>
    <n v="7"/>
    <x v="14"/>
    <n v="1975"/>
    <s v="Flat"/>
    <s v="CompShg"/>
    <s v="BrkFace"/>
    <s v="Plywood"/>
    <s v="None"/>
    <n v="0"/>
    <s v="TA"/>
    <s v="TA"/>
    <s v="CBlock"/>
    <s v="Gd"/>
    <s v="TA"/>
    <s v="Gd"/>
    <s v="BLQ"/>
    <n v="429"/>
    <s v="ALQ"/>
    <n v="1080"/>
    <n v="93"/>
    <n v="1602"/>
    <s v="GasA"/>
    <s v="Gd"/>
    <s v="Y"/>
    <s v="SBrkr"/>
    <n v="1252"/>
    <n v="0"/>
    <n v="0"/>
    <x v="143"/>
    <n v="1"/>
    <n v="0"/>
    <n v="1"/>
    <n v="0"/>
    <n v="1"/>
    <n v="1"/>
    <s v="TA"/>
    <n v="4"/>
    <s v="Typ"/>
    <n v="1"/>
    <s v="Gd"/>
    <s v="Attchd"/>
    <n v="1960"/>
    <s v="RFn"/>
    <n v="2"/>
    <n v="564"/>
    <s v="TA"/>
    <s v="TA"/>
    <s v="Y"/>
    <n v="409"/>
    <n v="0"/>
    <n v="0"/>
    <n v="0"/>
    <n v="0"/>
    <n v="0"/>
    <s v="NA"/>
    <s v="NA"/>
    <s v="NA"/>
    <n v="0"/>
    <n v="3"/>
    <n v="2008"/>
    <s v="WD"/>
    <s v="Normal"/>
    <n v="235000"/>
  </r>
  <r>
    <n v="155"/>
    <n v="30"/>
    <s v="RM"/>
    <n v="84"/>
    <n v="11340"/>
    <s v="Pave"/>
    <s v="NA"/>
    <s v="Reg"/>
    <s v="Lvl"/>
    <s v="AllPub"/>
    <s v="Corner"/>
    <s v="Gtl"/>
    <x v="7"/>
    <x v="0"/>
    <s v="Norm"/>
    <x v="0"/>
    <x v="1"/>
    <n v="6"/>
    <n v="5"/>
    <x v="66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1200"/>
    <n v="1200"/>
    <s v="GasA"/>
    <s v="TA"/>
    <s v="Y"/>
    <s v="FuseA"/>
    <n v="1200"/>
    <n v="0"/>
    <n v="0"/>
    <x v="144"/>
    <n v="0"/>
    <n v="0"/>
    <n v="1"/>
    <n v="0"/>
    <n v="4"/>
    <n v="1"/>
    <s v="TA"/>
    <n v="7"/>
    <s v="Typ"/>
    <n v="0"/>
    <s v="NA"/>
    <s v="Detchd"/>
    <n v="1923"/>
    <s v="Unf"/>
    <n v="1"/>
    <n v="312"/>
    <s v="Fa"/>
    <s v="Fa"/>
    <s v="Y"/>
    <n v="0"/>
    <n v="0"/>
    <n v="228"/>
    <n v="0"/>
    <n v="0"/>
    <n v="0"/>
    <s v="NA"/>
    <s v="NA"/>
    <s v="NA"/>
    <n v="0"/>
    <n v="3"/>
    <n v="2006"/>
    <s v="WD"/>
    <s v="Family"/>
    <n v="125000"/>
  </r>
  <r>
    <n v="156"/>
    <n v="50"/>
    <s v="RL"/>
    <n v="60"/>
    <n v="9600"/>
    <s v="Pave"/>
    <s v="NA"/>
    <s v="Reg"/>
    <s v="Lvl"/>
    <s v="AllPub"/>
    <s v="Corner"/>
    <s v="Gtl"/>
    <x v="15"/>
    <x v="3"/>
    <s v="Norm"/>
    <x v="0"/>
    <x v="2"/>
    <n v="6"/>
    <n v="5"/>
    <x v="67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572"/>
    <n v="572"/>
    <s v="Grav"/>
    <s v="Fa"/>
    <s v="N"/>
    <s v="FuseF"/>
    <n v="572"/>
    <n v="524"/>
    <n v="0"/>
    <x v="145"/>
    <n v="0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8"/>
    <n v="128"/>
    <n v="0"/>
    <n v="0"/>
    <n v="0"/>
    <s v="NA"/>
    <s v="NA"/>
    <s v="NA"/>
    <n v="0"/>
    <n v="4"/>
    <n v="2008"/>
    <s v="WD"/>
    <s v="Normal"/>
    <n v="79000"/>
  </r>
  <r>
    <n v="157"/>
    <n v="20"/>
    <s v="RL"/>
    <n v="60"/>
    <n v="7200"/>
    <s v="Pave"/>
    <s v="NA"/>
    <s v="Reg"/>
    <s v="Lvl"/>
    <s v="AllPub"/>
    <s v="Inside"/>
    <s v="Gtl"/>
    <x v="11"/>
    <x v="0"/>
    <s v="Norm"/>
    <x v="0"/>
    <x v="1"/>
    <n v="5"/>
    <n v="7"/>
    <x v="52"/>
    <n v="1950"/>
    <s v="Hip"/>
    <s v="CompShg"/>
    <s v="Wd Sdng"/>
    <s v="Wd Sdng"/>
    <s v="None"/>
    <n v="0"/>
    <s v="TA"/>
    <s v="TA"/>
    <s v="CBlock"/>
    <s v="NA"/>
    <s v="NA"/>
    <s v="NA"/>
    <s v="NA"/>
    <n v="0"/>
    <s v="NA"/>
    <n v="0"/>
    <n v="0"/>
    <n v="0"/>
    <s v="GasA"/>
    <s v="TA"/>
    <s v="Y"/>
    <s v="FuseF"/>
    <n v="1040"/>
    <n v="0"/>
    <n v="0"/>
    <x v="10"/>
    <n v="0"/>
    <n v="0"/>
    <n v="1"/>
    <n v="0"/>
    <n v="2"/>
    <n v="1"/>
    <s v="TA"/>
    <n v="5"/>
    <s v="Typ"/>
    <n v="0"/>
    <s v="NA"/>
    <s v="Detchd"/>
    <n v="1950"/>
    <s v="Unf"/>
    <n v="2"/>
    <n v="625"/>
    <s v="TA"/>
    <s v="TA"/>
    <s v="Y"/>
    <n v="0"/>
    <n v="0"/>
    <n v="0"/>
    <n v="0"/>
    <n v="0"/>
    <n v="0"/>
    <s v="NA"/>
    <s v="NA"/>
    <s v="NA"/>
    <n v="0"/>
    <n v="6"/>
    <n v="2006"/>
    <s v="WD"/>
    <s v="Normal"/>
    <n v="109500"/>
  </r>
  <r>
    <n v="158"/>
    <n v="60"/>
    <s v="RL"/>
    <n v="92"/>
    <n v="12003"/>
    <s v="Pave"/>
    <s v="NA"/>
    <s v="Reg"/>
    <s v="Lvl"/>
    <s v="AllPub"/>
    <s v="Corner"/>
    <s v="Gtl"/>
    <x v="16"/>
    <x v="0"/>
    <s v="Norm"/>
    <x v="0"/>
    <x v="0"/>
    <n v="8"/>
    <n v="5"/>
    <x v="51"/>
    <n v="2010"/>
    <s v="Gable"/>
    <s v="CompShg"/>
    <s v="VinylSd"/>
    <s v="VinylSd"/>
    <s v="BrkFace"/>
    <n v="84"/>
    <s v="Gd"/>
    <s v="TA"/>
    <s v="PConc"/>
    <s v="Ex"/>
    <s v="TA"/>
    <s v="No"/>
    <s v="Unf"/>
    <n v="0"/>
    <s v="Unf"/>
    <n v="0"/>
    <n v="774"/>
    <n v="774"/>
    <s v="GasA"/>
    <s v="Ex"/>
    <s v="Y"/>
    <s v="SBrkr"/>
    <n v="774"/>
    <n v="1194"/>
    <n v="0"/>
    <x v="146"/>
    <n v="0"/>
    <n v="0"/>
    <n v="2"/>
    <n v="1"/>
    <n v="4"/>
    <n v="1"/>
    <s v="Ex"/>
    <n v="8"/>
    <s v="Typ"/>
    <n v="1"/>
    <s v="Gd"/>
    <s v="BuiltIn"/>
    <n v="2009"/>
    <s v="Fin"/>
    <n v="3"/>
    <n v="680"/>
    <s v="TA"/>
    <s v="TA"/>
    <s v="Y"/>
    <n v="0"/>
    <n v="75"/>
    <n v="0"/>
    <n v="0"/>
    <n v="0"/>
    <n v="0"/>
    <s v="NA"/>
    <s v="NA"/>
    <s v="NA"/>
    <n v="0"/>
    <n v="5"/>
    <n v="2010"/>
    <s v="New"/>
    <s v="Partial"/>
    <n v="269500"/>
  </r>
  <r>
    <n v="159"/>
    <n v="60"/>
    <s v="FV"/>
    <n v="100"/>
    <n v="12552"/>
    <s v="Pave"/>
    <s v="NA"/>
    <s v="Reg"/>
    <s v="Lvl"/>
    <s v="AllPub"/>
    <s v="Corner"/>
    <s v="Gtl"/>
    <x v="5"/>
    <x v="0"/>
    <s v="Norm"/>
    <x v="0"/>
    <x v="0"/>
    <n v="7"/>
    <n v="5"/>
    <x v="6"/>
    <n v="2005"/>
    <s v="Gable"/>
    <s v="CompShg"/>
    <s v="VinylSd"/>
    <s v="VinylSd"/>
    <s v="None"/>
    <n v="0"/>
    <s v="Gd"/>
    <s v="TA"/>
    <s v="PConc"/>
    <s v="Gd"/>
    <s v="TA"/>
    <s v="No"/>
    <s v="GLQ"/>
    <n v="222"/>
    <s v="Unf"/>
    <n v="0"/>
    <n v="769"/>
    <n v="991"/>
    <s v="GasA"/>
    <s v="Ex"/>
    <s v="Y"/>
    <s v="SBrkr"/>
    <n v="991"/>
    <n v="956"/>
    <n v="0"/>
    <x v="147"/>
    <n v="0"/>
    <n v="0"/>
    <n v="2"/>
    <n v="1"/>
    <n v="3"/>
    <n v="1"/>
    <s v="Gd"/>
    <n v="8"/>
    <s v="Typ"/>
    <n v="1"/>
    <s v="Gd"/>
    <s v="Attchd"/>
    <n v="2004"/>
    <s v="RFn"/>
    <n v="2"/>
    <n v="678"/>
    <s v="TA"/>
    <s v="TA"/>
    <s v="Y"/>
    <n v="0"/>
    <n v="136"/>
    <n v="0"/>
    <n v="0"/>
    <n v="0"/>
    <n v="0"/>
    <s v="NA"/>
    <s v="GdWo"/>
    <s v="NA"/>
    <n v="0"/>
    <n v="5"/>
    <n v="2010"/>
    <s v="WD"/>
    <s v="Normal"/>
    <n v="254900"/>
  </r>
  <r>
    <n v="160"/>
    <n v="60"/>
    <s v="RL"/>
    <n v="134"/>
    <n v="19378"/>
    <s v="Pave"/>
    <s v="NA"/>
    <s v="IR1"/>
    <s v="HLS"/>
    <s v="AllPub"/>
    <s v="Corner"/>
    <s v="Gtl"/>
    <x v="17"/>
    <x v="0"/>
    <s v="Norm"/>
    <x v="0"/>
    <x v="0"/>
    <n v="7"/>
    <n v="5"/>
    <x v="11"/>
    <n v="2006"/>
    <s v="Gable"/>
    <s v="CompShg"/>
    <s v="VinylSd"/>
    <s v="VinylSd"/>
    <s v="BrkFace"/>
    <n v="456"/>
    <s v="Gd"/>
    <s v="TA"/>
    <s v="PConc"/>
    <s v="Gd"/>
    <s v="TA"/>
    <s v="Mn"/>
    <s v="GLQ"/>
    <n v="57"/>
    <s v="Unf"/>
    <n v="0"/>
    <n v="1335"/>
    <n v="1392"/>
    <s v="GasA"/>
    <s v="Ex"/>
    <s v="Y"/>
    <s v="SBrkr"/>
    <n v="1392"/>
    <n v="1070"/>
    <n v="0"/>
    <x v="148"/>
    <n v="1"/>
    <n v="0"/>
    <n v="2"/>
    <n v="1"/>
    <n v="4"/>
    <n v="1"/>
    <s v="Gd"/>
    <n v="9"/>
    <s v="Typ"/>
    <n v="1"/>
    <s v="Gd"/>
    <s v="Attchd"/>
    <n v="2006"/>
    <s v="RFn"/>
    <n v="2"/>
    <n v="576"/>
    <s v="TA"/>
    <s v="TA"/>
    <s v="Y"/>
    <n v="239"/>
    <n v="132"/>
    <n v="0"/>
    <n v="168"/>
    <n v="0"/>
    <n v="0"/>
    <s v="NA"/>
    <s v="NA"/>
    <s v="NA"/>
    <n v="0"/>
    <n v="3"/>
    <n v="2006"/>
    <s v="New"/>
    <s v="Partial"/>
    <n v="320000"/>
  </r>
  <r>
    <n v="161"/>
    <n v="20"/>
    <s v="RL"/>
    <s v="NA"/>
    <n v="11120"/>
    <s v="Pave"/>
    <s v="NA"/>
    <s v="IR1"/>
    <s v="Lvl"/>
    <s v="AllPub"/>
    <s v="CulDSac"/>
    <s v="Gtl"/>
    <x v="1"/>
    <x v="0"/>
    <s v="Norm"/>
    <x v="0"/>
    <x v="1"/>
    <n v="6"/>
    <n v="6"/>
    <x v="68"/>
    <n v="1984"/>
    <s v="Gable"/>
    <s v="CompShg"/>
    <s v="Plywood"/>
    <s v="Plywood"/>
    <s v="None"/>
    <n v="0"/>
    <s v="TA"/>
    <s v="TA"/>
    <s v="PConc"/>
    <s v="Gd"/>
    <s v="TA"/>
    <s v="No"/>
    <s v="BLQ"/>
    <n v="660"/>
    <s v="Unf"/>
    <n v="0"/>
    <n v="572"/>
    <n v="1232"/>
    <s v="GasA"/>
    <s v="TA"/>
    <s v="Y"/>
    <s v="SBrkr"/>
    <n v="1232"/>
    <n v="0"/>
    <n v="0"/>
    <x v="149"/>
    <n v="0"/>
    <n v="0"/>
    <n v="2"/>
    <n v="0"/>
    <n v="3"/>
    <n v="1"/>
    <s v="TA"/>
    <n v="6"/>
    <s v="Typ"/>
    <n v="0"/>
    <s v="NA"/>
    <s v="Attchd"/>
    <n v="1984"/>
    <s v="Unf"/>
    <n v="2"/>
    <n v="516"/>
    <s v="TA"/>
    <s v="TA"/>
    <s v="Y"/>
    <n v="0"/>
    <n v="0"/>
    <n v="0"/>
    <n v="0"/>
    <n v="0"/>
    <n v="0"/>
    <s v="NA"/>
    <s v="NA"/>
    <s v="NA"/>
    <n v="0"/>
    <n v="6"/>
    <n v="2008"/>
    <s v="WD"/>
    <s v="Normal"/>
    <n v="162500"/>
  </r>
  <r>
    <n v="162"/>
    <n v="60"/>
    <s v="RL"/>
    <n v="110"/>
    <n v="13688"/>
    <s v="Pave"/>
    <s v="NA"/>
    <s v="IR1"/>
    <s v="Lvl"/>
    <s v="AllPub"/>
    <s v="Inside"/>
    <s v="Gtl"/>
    <x v="10"/>
    <x v="0"/>
    <s v="Norm"/>
    <x v="0"/>
    <x v="0"/>
    <n v="9"/>
    <n v="5"/>
    <x v="0"/>
    <n v="2004"/>
    <s v="Gable"/>
    <s v="CompShg"/>
    <s v="VinylSd"/>
    <s v="VinylSd"/>
    <s v="BrkFace"/>
    <n v="664"/>
    <s v="Gd"/>
    <s v="TA"/>
    <s v="PConc"/>
    <s v="Ex"/>
    <s v="TA"/>
    <s v="Av"/>
    <s v="GLQ"/>
    <n v="1016"/>
    <s v="Unf"/>
    <n v="0"/>
    <n v="556"/>
    <n v="1572"/>
    <s v="GasA"/>
    <s v="Ex"/>
    <s v="Y"/>
    <s v="SBrkr"/>
    <n v="1572"/>
    <n v="1096"/>
    <n v="0"/>
    <x v="150"/>
    <n v="1"/>
    <n v="0"/>
    <n v="2"/>
    <n v="1"/>
    <n v="3"/>
    <n v="1"/>
    <s v="Ex"/>
    <n v="10"/>
    <s v="Typ"/>
    <n v="2"/>
    <s v="Gd"/>
    <s v="BuiltIn"/>
    <n v="2003"/>
    <s v="Fin"/>
    <n v="3"/>
    <n v="726"/>
    <s v="TA"/>
    <s v="TA"/>
    <s v="Y"/>
    <n v="400"/>
    <n v="0"/>
    <n v="0"/>
    <n v="0"/>
    <n v="0"/>
    <n v="0"/>
    <s v="NA"/>
    <s v="NA"/>
    <s v="NA"/>
    <n v="0"/>
    <n v="3"/>
    <n v="2008"/>
    <s v="WD"/>
    <s v="Normal"/>
    <n v="412500"/>
  </r>
  <r>
    <n v="163"/>
    <n v="20"/>
    <s v="RL"/>
    <n v="95"/>
    <n v="12182"/>
    <s v="Pave"/>
    <s v="NA"/>
    <s v="Reg"/>
    <s v="Lvl"/>
    <s v="AllPub"/>
    <s v="Corner"/>
    <s v="Gtl"/>
    <x v="10"/>
    <x v="0"/>
    <s v="Norm"/>
    <x v="0"/>
    <x v="1"/>
    <n v="7"/>
    <n v="5"/>
    <x v="11"/>
    <n v="2005"/>
    <s v="Gable"/>
    <s v="CompShg"/>
    <s v="VinylSd"/>
    <s v="VinylSd"/>
    <s v="BrkFace"/>
    <n v="226"/>
    <s v="Gd"/>
    <s v="TA"/>
    <s v="PConc"/>
    <s v="Gd"/>
    <s v="TA"/>
    <s v="Mn"/>
    <s v="BLQ"/>
    <n v="1201"/>
    <s v="Unf"/>
    <n v="0"/>
    <n v="340"/>
    <n v="1541"/>
    <s v="GasA"/>
    <s v="Ex"/>
    <s v="Y"/>
    <s v="SBrkr"/>
    <n v="1541"/>
    <n v="0"/>
    <n v="0"/>
    <x v="151"/>
    <n v="0"/>
    <n v="0"/>
    <n v="2"/>
    <n v="0"/>
    <n v="3"/>
    <n v="1"/>
    <s v="Gd"/>
    <n v="7"/>
    <s v="Typ"/>
    <n v="1"/>
    <s v="Gd"/>
    <s v="Attchd"/>
    <n v="2005"/>
    <s v="RFn"/>
    <n v="2"/>
    <n v="532"/>
    <s v="TA"/>
    <s v="TA"/>
    <s v="Y"/>
    <n v="0"/>
    <n v="70"/>
    <n v="0"/>
    <n v="0"/>
    <n v="0"/>
    <n v="0"/>
    <s v="NA"/>
    <s v="NA"/>
    <s v="NA"/>
    <n v="0"/>
    <n v="5"/>
    <n v="2010"/>
    <s v="New"/>
    <s v="Partial"/>
    <n v="220000"/>
  </r>
  <r>
    <n v="164"/>
    <n v="45"/>
    <s v="RL"/>
    <n v="55"/>
    <n v="5500"/>
    <s v="Pave"/>
    <s v="NA"/>
    <s v="Reg"/>
    <s v="Lvl"/>
    <s v="AllPub"/>
    <s v="Inside"/>
    <s v="Gtl"/>
    <x v="7"/>
    <x v="0"/>
    <s v="Norm"/>
    <x v="0"/>
    <x v="3"/>
    <n v="4"/>
    <n v="6"/>
    <x v="46"/>
    <n v="1956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82"/>
    <n v="882"/>
    <s v="GasA"/>
    <s v="Ex"/>
    <s v="Y"/>
    <s v="SBrkr"/>
    <n v="882"/>
    <n v="0"/>
    <n v="0"/>
    <x v="152"/>
    <n v="0"/>
    <n v="0"/>
    <n v="1"/>
    <n v="0"/>
    <n v="1"/>
    <n v="1"/>
    <s v="TA"/>
    <n v="4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MnPrv"/>
    <s v="NA"/>
    <n v="0"/>
    <n v="4"/>
    <n v="2007"/>
    <s v="WD"/>
    <s v="Normal"/>
    <n v="103200"/>
  </r>
  <r>
    <n v="165"/>
    <n v="40"/>
    <s v="RM"/>
    <n v="40"/>
    <n v="5400"/>
    <s v="Pave"/>
    <s v="Pave"/>
    <s v="Reg"/>
    <s v="Lvl"/>
    <s v="AllPub"/>
    <s v="Corner"/>
    <s v="Gtl"/>
    <x v="7"/>
    <x v="0"/>
    <s v="Norm"/>
    <x v="0"/>
    <x v="1"/>
    <n v="6"/>
    <n v="7"/>
    <x v="69"/>
    <n v="2004"/>
    <s v="Gable"/>
    <s v="CompShg"/>
    <s v="MetalSd"/>
    <s v="MetalSd"/>
    <s v="None"/>
    <n v="0"/>
    <s v="TA"/>
    <s v="Gd"/>
    <s v="BrkTil"/>
    <s v="TA"/>
    <s v="TA"/>
    <s v="Mn"/>
    <s v="LwQ"/>
    <n v="370"/>
    <s v="Unf"/>
    <n v="0"/>
    <n v="779"/>
    <n v="1149"/>
    <s v="GasA"/>
    <s v="Gd"/>
    <s v="Y"/>
    <s v="FuseA"/>
    <n v="1149"/>
    <n v="467"/>
    <n v="0"/>
    <x v="153"/>
    <n v="0"/>
    <n v="0"/>
    <n v="2"/>
    <n v="0"/>
    <n v="3"/>
    <n v="1"/>
    <s v="Gd"/>
    <n v="5"/>
    <s v="Typ"/>
    <n v="0"/>
    <s v="NA"/>
    <s v="Detchd"/>
    <n v="1926"/>
    <s v="Unf"/>
    <n v="1"/>
    <n v="216"/>
    <s v="TA"/>
    <s v="TA"/>
    <s v="Y"/>
    <n v="0"/>
    <n v="0"/>
    <n v="183"/>
    <n v="0"/>
    <n v="0"/>
    <n v="0"/>
    <s v="NA"/>
    <s v="NA"/>
    <s v="NA"/>
    <n v="0"/>
    <n v="10"/>
    <n v="2007"/>
    <s v="WD"/>
    <s v="Normal"/>
    <n v="152000"/>
  </r>
  <r>
    <n v="166"/>
    <n v="190"/>
    <s v="RL"/>
    <n v="62"/>
    <n v="10106"/>
    <s v="Pave"/>
    <s v="NA"/>
    <s v="Reg"/>
    <s v="Lvl"/>
    <s v="AllPub"/>
    <s v="Inside"/>
    <s v="Gtl"/>
    <x v="15"/>
    <x v="0"/>
    <s v="Norm"/>
    <x v="1"/>
    <x v="2"/>
    <n v="5"/>
    <n v="7"/>
    <x v="70"/>
    <n v="1999"/>
    <s v="Gable"/>
    <s v="CompShg"/>
    <s v="Wd Sdng"/>
    <s v="Wd Sdng"/>
    <s v="None"/>
    <n v="0"/>
    <s v="TA"/>
    <s v="Gd"/>
    <s v="BrkTil"/>
    <s v="TA"/>
    <s v="TA"/>
    <s v="No"/>
    <s v="ALQ"/>
    <n v="351"/>
    <s v="Rec"/>
    <n v="181"/>
    <n v="112"/>
    <n v="644"/>
    <s v="GasA"/>
    <s v="Gd"/>
    <s v="Y"/>
    <s v="SBrkr"/>
    <n v="808"/>
    <n v="547"/>
    <n v="0"/>
    <x v="154"/>
    <n v="1"/>
    <n v="0"/>
    <n v="2"/>
    <n v="0"/>
    <n v="4"/>
    <n v="2"/>
    <s v="TA"/>
    <n v="6"/>
    <s v="Typ"/>
    <n v="0"/>
    <s v="NA"/>
    <s v="NA"/>
    <s v="NA"/>
    <s v="NA"/>
    <n v="0"/>
    <n v="0"/>
    <s v="NA"/>
    <s v="NA"/>
    <s v="Y"/>
    <n v="140"/>
    <n v="0"/>
    <n v="0"/>
    <n v="0"/>
    <n v="0"/>
    <n v="0"/>
    <s v="NA"/>
    <s v="NA"/>
    <s v="NA"/>
    <n v="0"/>
    <n v="9"/>
    <n v="2008"/>
    <s v="WD"/>
    <s v="Normal"/>
    <n v="127500"/>
  </r>
  <r>
    <n v="167"/>
    <n v="20"/>
    <s v="RL"/>
    <s v="NA"/>
    <n v="10708"/>
    <s v="Pave"/>
    <s v="NA"/>
    <s v="IR1"/>
    <s v="Lvl"/>
    <s v="AllPub"/>
    <s v="Inside"/>
    <s v="Gtl"/>
    <x v="19"/>
    <x v="0"/>
    <s v="Norm"/>
    <x v="0"/>
    <x v="1"/>
    <n v="5"/>
    <n v="5"/>
    <x v="32"/>
    <n v="1993"/>
    <s v="Hip"/>
    <s v="CompShg"/>
    <s v="Wd Sdng"/>
    <s v="Wd Sdng"/>
    <s v="None"/>
    <n v="0"/>
    <s v="Gd"/>
    <s v="TA"/>
    <s v="CBlock"/>
    <s v="TA"/>
    <s v="TA"/>
    <s v="No"/>
    <s v="LwQ"/>
    <n v="379"/>
    <s v="BLQ"/>
    <n v="768"/>
    <n v="470"/>
    <n v="1617"/>
    <s v="GasA"/>
    <s v="Ex"/>
    <s v="Y"/>
    <s v="FuseA"/>
    <n v="1867"/>
    <n v="0"/>
    <n v="0"/>
    <x v="155"/>
    <n v="1"/>
    <n v="0"/>
    <n v="1"/>
    <n v="0"/>
    <n v="2"/>
    <n v="1"/>
    <s v="TA"/>
    <n v="7"/>
    <s v="Typ"/>
    <n v="3"/>
    <s v="Gd"/>
    <s v="Attchd"/>
    <n v="1955"/>
    <s v="Fin"/>
    <n v="1"/>
    <n v="303"/>
    <s v="TA"/>
    <s v="TA"/>
    <s v="Y"/>
    <n v="476"/>
    <n v="0"/>
    <n v="0"/>
    <n v="0"/>
    <n v="142"/>
    <n v="0"/>
    <s v="NA"/>
    <s v="GdWo"/>
    <s v="NA"/>
    <n v="0"/>
    <n v="11"/>
    <n v="2009"/>
    <s v="COD"/>
    <s v="Normal"/>
    <n v="190000"/>
  </r>
  <r>
    <n v="168"/>
    <n v="60"/>
    <s v="RL"/>
    <n v="86"/>
    <n v="10562"/>
    <s v="Pave"/>
    <s v="NA"/>
    <s v="Reg"/>
    <s v="Lvl"/>
    <s v="AllPub"/>
    <s v="Inside"/>
    <s v="Gtl"/>
    <x v="10"/>
    <x v="0"/>
    <s v="Norm"/>
    <x v="0"/>
    <x v="0"/>
    <n v="8"/>
    <n v="5"/>
    <x v="22"/>
    <n v="2007"/>
    <s v="Gable"/>
    <s v="CompShg"/>
    <s v="VinylSd"/>
    <s v="VinylSd"/>
    <s v="Stone"/>
    <n v="300"/>
    <s v="Gd"/>
    <s v="TA"/>
    <s v="PConc"/>
    <s v="Ex"/>
    <s v="TA"/>
    <s v="No"/>
    <s v="GLQ"/>
    <n v="1288"/>
    <s v="Unf"/>
    <n v="0"/>
    <n v="294"/>
    <n v="1582"/>
    <s v="GasA"/>
    <s v="Ex"/>
    <s v="Y"/>
    <s v="SBrkr"/>
    <n v="1610"/>
    <n v="551"/>
    <n v="0"/>
    <x v="156"/>
    <n v="1"/>
    <n v="0"/>
    <n v="1"/>
    <n v="1"/>
    <n v="3"/>
    <n v="1"/>
    <s v="Ex"/>
    <n v="8"/>
    <s v="Typ"/>
    <n v="1"/>
    <s v="Gd"/>
    <s v="Attchd"/>
    <n v="2007"/>
    <s v="Fin"/>
    <n v="3"/>
    <n v="789"/>
    <s v="TA"/>
    <s v="TA"/>
    <s v="Y"/>
    <n v="178"/>
    <n v="120"/>
    <n v="0"/>
    <n v="0"/>
    <n v="0"/>
    <n v="0"/>
    <s v="NA"/>
    <s v="NA"/>
    <s v="NA"/>
    <n v="0"/>
    <n v="11"/>
    <n v="2007"/>
    <s v="New"/>
    <s v="Partial"/>
    <n v="325624"/>
  </r>
  <r>
    <n v="169"/>
    <n v="60"/>
    <s v="RL"/>
    <n v="62"/>
    <n v="8244"/>
    <s v="Pave"/>
    <s v="NA"/>
    <s v="IR1"/>
    <s v="Lvl"/>
    <s v="AllPub"/>
    <s v="Inside"/>
    <s v="Gtl"/>
    <x v="17"/>
    <x v="0"/>
    <s v="Norm"/>
    <x v="0"/>
    <x v="0"/>
    <n v="7"/>
    <n v="5"/>
    <x v="6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40"/>
    <n v="840"/>
    <s v="GasA"/>
    <s v="Ex"/>
    <s v="Y"/>
    <s v="SBrkr"/>
    <n v="840"/>
    <n v="880"/>
    <n v="0"/>
    <x v="55"/>
    <n v="0"/>
    <n v="0"/>
    <n v="2"/>
    <n v="1"/>
    <n v="3"/>
    <n v="1"/>
    <s v="Gd"/>
    <n v="7"/>
    <s v="Typ"/>
    <n v="1"/>
    <s v="Gd"/>
    <s v="Attchd"/>
    <n v="2004"/>
    <s v="Fin"/>
    <n v="2"/>
    <n v="440"/>
    <s v="TA"/>
    <s v="TA"/>
    <s v="Y"/>
    <n v="100"/>
    <n v="48"/>
    <n v="0"/>
    <n v="0"/>
    <n v="0"/>
    <n v="0"/>
    <s v="NA"/>
    <s v="NA"/>
    <s v="NA"/>
    <n v="0"/>
    <n v="5"/>
    <n v="2007"/>
    <s v="WD"/>
    <s v="Normal"/>
    <n v="183500"/>
  </r>
  <r>
    <n v="170"/>
    <n v="20"/>
    <s v="RL"/>
    <s v="NA"/>
    <n v="16669"/>
    <s v="Pave"/>
    <s v="NA"/>
    <s v="IR1"/>
    <s v="Lvl"/>
    <s v="AllPub"/>
    <s v="Corner"/>
    <s v="Gtl"/>
    <x v="16"/>
    <x v="0"/>
    <s v="Norm"/>
    <x v="0"/>
    <x v="1"/>
    <n v="8"/>
    <n v="6"/>
    <x v="38"/>
    <n v="1981"/>
    <s v="Hip"/>
    <s v="WdShake"/>
    <s v="Plywood"/>
    <s v="Plywood"/>
    <s v="BrkFace"/>
    <n v="653"/>
    <s v="Gd"/>
    <s v="TA"/>
    <s v="CBlock"/>
    <s v="Gd"/>
    <s v="TA"/>
    <s v="No"/>
    <s v="Unf"/>
    <n v="0"/>
    <s v="Unf"/>
    <n v="0"/>
    <n v="1686"/>
    <n v="1686"/>
    <s v="GasA"/>
    <s v="TA"/>
    <s v="Y"/>
    <s v="SBrkr"/>
    <n v="1707"/>
    <n v="0"/>
    <n v="0"/>
    <x v="157"/>
    <n v="0"/>
    <n v="0"/>
    <n v="2"/>
    <n v="1"/>
    <n v="2"/>
    <n v="1"/>
    <s v="TA"/>
    <n v="6"/>
    <s v="Typ"/>
    <n v="1"/>
    <s v="TA"/>
    <s v="Attchd"/>
    <n v="1981"/>
    <s v="RFn"/>
    <n v="2"/>
    <n v="511"/>
    <s v="TA"/>
    <s v="TA"/>
    <s v="Y"/>
    <n v="574"/>
    <n v="64"/>
    <n v="0"/>
    <n v="0"/>
    <n v="0"/>
    <n v="0"/>
    <s v="NA"/>
    <s v="NA"/>
    <s v="NA"/>
    <n v="0"/>
    <n v="1"/>
    <n v="2006"/>
    <s v="WD"/>
    <s v="Normal"/>
    <n v="228000"/>
  </r>
  <r>
    <n v="171"/>
    <n v="50"/>
    <s v="RM"/>
    <s v="NA"/>
    <n v="12358"/>
    <s v="Pave"/>
    <s v="NA"/>
    <s v="IR1"/>
    <s v="Lvl"/>
    <s v="AllPub"/>
    <s v="Inside"/>
    <s v="Gtl"/>
    <x v="7"/>
    <x v="1"/>
    <s v="Norm"/>
    <x v="0"/>
    <x v="2"/>
    <n v="5"/>
    <n v="6"/>
    <x v="71"/>
    <n v="1950"/>
    <s v="Gable"/>
    <s v="CompShg"/>
    <s v="MetalSd"/>
    <s v="MetalSd"/>
    <s v="None"/>
    <n v="0"/>
    <s v="TA"/>
    <s v="TA"/>
    <s v="CBlock"/>
    <s v="TA"/>
    <s v="TA"/>
    <s v="No"/>
    <s v="Rec"/>
    <n v="360"/>
    <s v="Unf"/>
    <n v="0"/>
    <n v="360"/>
    <n v="720"/>
    <s v="GasA"/>
    <s v="TA"/>
    <s v="Y"/>
    <s v="SBrkr"/>
    <n v="854"/>
    <n v="0"/>
    <n v="528"/>
    <x v="158"/>
    <n v="0"/>
    <n v="0"/>
    <n v="1"/>
    <n v="1"/>
    <n v="2"/>
    <n v="1"/>
    <s v="TA"/>
    <n v="7"/>
    <s v="Typ"/>
    <n v="0"/>
    <s v="NA"/>
    <s v="Detchd"/>
    <n v="1991"/>
    <s v="Unf"/>
    <n v="2"/>
    <n v="660"/>
    <s v="TA"/>
    <s v="TA"/>
    <s v="Y"/>
    <n v="237"/>
    <n v="0"/>
    <n v="0"/>
    <n v="0"/>
    <n v="0"/>
    <n v="0"/>
    <s v="NA"/>
    <s v="NA"/>
    <s v="NA"/>
    <n v="0"/>
    <n v="5"/>
    <n v="2007"/>
    <s v="WD"/>
    <s v="Normal"/>
    <n v="128500"/>
  </r>
  <r>
    <n v="172"/>
    <n v="20"/>
    <s v="RL"/>
    <n v="141"/>
    <n v="31770"/>
    <s v="Pave"/>
    <s v="NA"/>
    <s v="IR1"/>
    <s v="Lvl"/>
    <s v="AllPub"/>
    <s v="Corner"/>
    <s v="Gtl"/>
    <x v="11"/>
    <x v="0"/>
    <s v="Norm"/>
    <x v="0"/>
    <x v="1"/>
    <n v="6"/>
    <n v="5"/>
    <x v="14"/>
    <n v="1960"/>
    <s v="Hip"/>
    <s v="CompShg"/>
    <s v="BrkFace"/>
    <s v="Plywood"/>
    <s v="Stone"/>
    <n v="112"/>
    <s v="TA"/>
    <s v="TA"/>
    <s v="CBlock"/>
    <s v="TA"/>
    <s v="Gd"/>
    <s v="Gd"/>
    <s v="BLQ"/>
    <n v="639"/>
    <s v="Unf"/>
    <n v="0"/>
    <n v="441"/>
    <n v="1080"/>
    <s v="GasA"/>
    <s v="Fa"/>
    <s v="Y"/>
    <s v="SBrkr"/>
    <n v="1656"/>
    <n v="0"/>
    <n v="0"/>
    <x v="45"/>
    <n v="1"/>
    <n v="0"/>
    <n v="1"/>
    <n v="0"/>
    <n v="3"/>
    <n v="1"/>
    <s v="TA"/>
    <n v="7"/>
    <s v="Typ"/>
    <n v="2"/>
    <s v="Gd"/>
    <s v="Attchd"/>
    <n v="1960"/>
    <s v="Fin"/>
    <n v="2"/>
    <n v="528"/>
    <s v="TA"/>
    <s v="TA"/>
    <s v="P"/>
    <n v="210"/>
    <n v="62"/>
    <n v="0"/>
    <n v="0"/>
    <n v="0"/>
    <n v="0"/>
    <s v="NA"/>
    <s v="NA"/>
    <s v="NA"/>
    <n v="0"/>
    <n v="5"/>
    <n v="2010"/>
    <s v="WD"/>
    <s v="Normal"/>
    <n v="215000"/>
  </r>
  <r>
    <n v="173"/>
    <n v="160"/>
    <s v="RL"/>
    <n v="44"/>
    <n v="5306"/>
    <s v="Pave"/>
    <s v="NA"/>
    <s v="IR1"/>
    <s v="Lvl"/>
    <s v="AllPub"/>
    <s v="Inside"/>
    <s v="Gtl"/>
    <x v="18"/>
    <x v="0"/>
    <s v="Norm"/>
    <x v="3"/>
    <x v="0"/>
    <n v="7"/>
    <n v="7"/>
    <x v="72"/>
    <n v="1987"/>
    <s v="Gable"/>
    <s v="CompShg"/>
    <s v="HdBoard"/>
    <s v="HdBoard"/>
    <s v="None"/>
    <n v="0"/>
    <s v="Gd"/>
    <s v="Gd"/>
    <s v="PConc"/>
    <s v="Gd"/>
    <s v="Gd"/>
    <s v="No"/>
    <s v="GLQ"/>
    <n v="495"/>
    <s v="Rec"/>
    <n v="215"/>
    <n v="354"/>
    <n v="1064"/>
    <s v="GasA"/>
    <s v="Gd"/>
    <s v="Y"/>
    <s v="SBrkr"/>
    <n v="1064"/>
    <n v="703"/>
    <n v="0"/>
    <x v="159"/>
    <n v="1"/>
    <n v="0"/>
    <n v="2"/>
    <n v="0"/>
    <n v="2"/>
    <n v="1"/>
    <s v="Gd"/>
    <n v="5"/>
    <s v="Typ"/>
    <n v="1"/>
    <s v="TA"/>
    <s v="Attchd"/>
    <n v="1987"/>
    <s v="RFn"/>
    <n v="2"/>
    <n v="504"/>
    <s v="Gd"/>
    <s v="TA"/>
    <s v="Y"/>
    <n v="441"/>
    <n v="35"/>
    <n v="0"/>
    <n v="0"/>
    <n v="0"/>
    <n v="0"/>
    <s v="NA"/>
    <s v="NA"/>
    <s v="NA"/>
    <n v="0"/>
    <n v="6"/>
    <n v="2006"/>
    <s v="WD"/>
    <s v="Normal"/>
    <n v="239000"/>
  </r>
  <r>
    <n v="174"/>
    <n v="20"/>
    <s v="RL"/>
    <n v="80"/>
    <n v="10197"/>
    <s v="Pave"/>
    <s v="NA"/>
    <s v="IR1"/>
    <s v="Lvl"/>
    <s v="AllPub"/>
    <s v="Inside"/>
    <s v="Gtl"/>
    <x v="11"/>
    <x v="0"/>
    <s v="Norm"/>
    <x v="0"/>
    <x v="1"/>
    <n v="6"/>
    <n v="5"/>
    <x v="53"/>
    <n v="1961"/>
    <s v="Gable"/>
    <s v="CompShg"/>
    <s v="WdShing"/>
    <s v="Wd Shng"/>
    <s v="BrkCmn"/>
    <n v="491"/>
    <s v="TA"/>
    <s v="TA"/>
    <s v="CBlock"/>
    <s v="TA"/>
    <s v="TA"/>
    <s v="No"/>
    <s v="ALQ"/>
    <n v="288"/>
    <s v="Rec"/>
    <n v="374"/>
    <n v="700"/>
    <n v="1362"/>
    <s v="GasA"/>
    <s v="TA"/>
    <s v="Y"/>
    <s v="SBrkr"/>
    <n v="1362"/>
    <n v="0"/>
    <n v="0"/>
    <x v="5"/>
    <n v="1"/>
    <n v="0"/>
    <n v="1"/>
    <n v="1"/>
    <n v="3"/>
    <n v="1"/>
    <s v="TA"/>
    <n v="6"/>
    <s v="Typ"/>
    <n v="1"/>
    <s v="TA"/>
    <s v="Attchd"/>
    <n v="1961"/>
    <s v="Unf"/>
    <n v="2"/>
    <n v="504"/>
    <s v="TA"/>
    <s v="TA"/>
    <s v="Y"/>
    <n v="0"/>
    <n v="20"/>
    <n v="0"/>
    <n v="0"/>
    <n v="0"/>
    <n v="0"/>
    <s v="NA"/>
    <s v="NA"/>
    <s v="NA"/>
    <n v="0"/>
    <n v="6"/>
    <n v="2008"/>
    <s v="COD"/>
    <s v="Normal"/>
    <n v="163000"/>
  </r>
  <r>
    <n v="175"/>
    <n v="20"/>
    <s v="RL"/>
    <n v="47"/>
    <n v="12416"/>
    <s v="Pave"/>
    <s v="NA"/>
    <s v="IR1"/>
    <s v="Lvl"/>
    <s v="AllPub"/>
    <s v="Inside"/>
    <s v="Gtl"/>
    <x v="16"/>
    <x v="0"/>
    <s v="Norm"/>
    <x v="0"/>
    <x v="1"/>
    <n v="6"/>
    <n v="5"/>
    <x v="73"/>
    <n v="1986"/>
    <s v="Gable"/>
    <s v="CompShg"/>
    <s v="VinylSd"/>
    <s v="Plywood"/>
    <s v="Stone"/>
    <n v="132"/>
    <s v="TA"/>
    <s v="TA"/>
    <s v="CBlock"/>
    <s v="Gd"/>
    <s v="Fa"/>
    <s v="No"/>
    <s v="ALQ"/>
    <n v="1398"/>
    <s v="LwQ"/>
    <n v="208"/>
    <n v="0"/>
    <n v="1606"/>
    <s v="GasA"/>
    <s v="TA"/>
    <s v="Y"/>
    <s v="SBrkr"/>
    <n v="1651"/>
    <n v="0"/>
    <n v="0"/>
    <x v="160"/>
    <n v="1"/>
    <n v="0"/>
    <n v="2"/>
    <n v="0"/>
    <n v="3"/>
    <n v="1"/>
    <s v="TA"/>
    <n v="7"/>
    <s v="Min2"/>
    <n v="1"/>
    <s v="TA"/>
    <s v="Attchd"/>
    <n v="1986"/>
    <s v="Fin"/>
    <n v="2"/>
    <n v="616"/>
    <s v="TA"/>
    <s v="TA"/>
    <s v="Y"/>
    <n v="192"/>
    <n v="0"/>
    <n v="0"/>
    <n v="0"/>
    <n v="0"/>
    <n v="0"/>
    <s v="NA"/>
    <s v="NA"/>
    <s v="NA"/>
    <n v="0"/>
    <n v="11"/>
    <n v="2008"/>
    <s v="WD"/>
    <s v="Normal"/>
    <n v="184000"/>
  </r>
  <r>
    <n v="176"/>
    <n v="20"/>
    <s v="RL"/>
    <n v="84"/>
    <n v="12615"/>
    <s v="Pave"/>
    <s v="NA"/>
    <s v="Reg"/>
    <s v="Lvl"/>
    <s v="AllPub"/>
    <s v="Corner"/>
    <s v="Gtl"/>
    <x v="15"/>
    <x v="0"/>
    <s v="Norm"/>
    <x v="0"/>
    <x v="1"/>
    <n v="6"/>
    <n v="7"/>
    <x v="52"/>
    <n v="2001"/>
    <s v="Gable"/>
    <s v="CompShg"/>
    <s v="WdShing"/>
    <s v="Wd Shng"/>
    <s v="None"/>
    <n v="0"/>
    <s v="TA"/>
    <s v="TA"/>
    <s v="CBlock"/>
    <s v="TA"/>
    <s v="Gd"/>
    <s v="Av"/>
    <s v="ALQ"/>
    <n v="477"/>
    <s v="Unf"/>
    <n v="0"/>
    <n v="725"/>
    <n v="1202"/>
    <s v="GasA"/>
    <s v="TA"/>
    <s v="Y"/>
    <s v="SBrkr"/>
    <n v="2158"/>
    <n v="0"/>
    <n v="0"/>
    <x v="161"/>
    <n v="1"/>
    <n v="0"/>
    <n v="2"/>
    <n v="0"/>
    <n v="4"/>
    <n v="1"/>
    <s v="Gd"/>
    <n v="7"/>
    <s v="Typ"/>
    <n v="1"/>
    <s v="Gd"/>
    <s v="Attchd"/>
    <n v="1950"/>
    <s v="Unf"/>
    <n v="2"/>
    <n v="576"/>
    <s v="TA"/>
    <s v="TA"/>
    <s v="Y"/>
    <n v="0"/>
    <n v="29"/>
    <n v="39"/>
    <n v="0"/>
    <n v="0"/>
    <n v="0"/>
    <s v="NA"/>
    <s v="MnPrv"/>
    <s v="NA"/>
    <n v="0"/>
    <n v="6"/>
    <n v="2007"/>
    <s v="WD"/>
    <s v="Normal"/>
    <n v="243000"/>
  </r>
  <r>
    <n v="177"/>
    <n v="60"/>
    <s v="RL"/>
    <n v="97"/>
    <n v="10029"/>
    <s v="Pave"/>
    <s v="NA"/>
    <s v="IR1"/>
    <s v="Lvl"/>
    <s v="AllPub"/>
    <s v="Corner"/>
    <s v="Gtl"/>
    <x v="19"/>
    <x v="0"/>
    <s v="Norm"/>
    <x v="0"/>
    <x v="0"/>
    <n v="6"/>
    <n v="5"/>
    <x v="62"/>
    <n v="1989"/>
    <s v="Gable"/>
    <s v="CompShg"/>
    <s v="Plywood"/>
    <s v="Plywood"/>
    <s v="BrkFace"/>
    <n v="268"/>
    <s v="Gd"/>
    <s v="TA"/>
    <s v="PConc"/>
    <s v="Gd"/>
    <s v="TA"/>
    <s v="No"/>
    <s v="GLQ"/>
    <n v="831"/>
    <s v="Unf"/>
    <n v="0"/>
    <n v="320"/>
    <n v="1151"/>
    <s v="GasA"/>
    <s v="TA"/>
    <s v="Y"/>
    <s v="SBrkr"/>
    <n v="1164"/>
    <n v="896"/>
    <n v="0"/>
    <x v="162"/>
    <n v="0"/>
    <n v="1"/>
    <n v="2"/>
    <n v="1"/>
    <n v="4"/>
    <n v="1"/>
    <s v="TA"/>
    <n v="8"/>
    <s v="Typ"/>
    <n v="1"/>
    <s v="TA"/>
    <s v="Attchd"/>
    <n v="1988"/>
    <s v="Unf"/>
    <n v="2"/>
    <n v="521"/>
    <s v="TA"/>
    <s v="TA"/>
    <s v="Y"/>
    <n v="0"/>
    <n v="228"/>
    <n v="0"/>
    <n v="0"/>
    <n v="192"/>
    <n v="0"/>
    <s v="NA"/>
    <s v="NA"/>
    <s v="NA"/>
    <n v="0"/>
    <n v="9"/>
    <n v="2007"/>
    <s v="WD"/>
    <s v="Normal"/>
    <n v="211000"/>
  </r>
  <r>
    <n v="178"/>
    <n v="50"/>
    <s v="RL"/>
    <s v="NA"/>
    <n v="13650"/>
    <s v="Pave"/>
    <s v="NA"/>
    <s v="Reg"/>
    <s v="Lvl"/>
    <s v="AllPub"/>
    <s v="Inside"/>
    <s v="Gtl"/>
    <x v="9"/>
    <x v="0"/>
    <s v="Norm"/>
    <x v="0"/>
    <x v="2"/>
    <n v="5"/>
    <n v="5"/>
    <x v="18"/>
    <n v="1958"/>
    <s v="Gable"/>
    <s v="CompShg"/>
    <s v="MetalSd"/>
    <s v="MetalSd"/>
    <s v="None"/>
    <n v="0"/>
    <s v="Gd"/>
    <s v="Gd"/>
    <s v="CBlock"/>
    <s v="TA"/>
    <s v="TA"/>
    <s v="No"/>
    <s v="ALQ"/>
    <n v="57"/>
    <s v="BLQ"/>
    <n v="441"/>
    <n v="554"/>
    <n v="1052"/>
    <s v="GasA"/>
    <s v="Ex"/>
    <s v="Y"/>
    <s v="SBrkr"/>
    <n v="1252"/>
    <n v="668"/>
    <n v="0"/>
    <x v="163"/>
    <n v="1"/>
    <n v="0"/>
    <n v="2"/>
    <n v="0"/>
    <n v="4"/>
    <n v="1"/>
    <s v="Gd"/>
    <n v="8"/>
    <s v="Typ"/>
    <n v="1"/>
    <s v="Gd"/>
    <s v="Attchd"/>
    <n v="1958"/>
    <s v="Unf"/>
    <n v="2"/>
    <n v="451"/>
    <s v="TA"/>
    <s v="TA"/>
    <s v="Y"/>
    <n v="0"/>
    <n v="0"/>
    <n v="0"/>
    <n v="0"/>
    <n v="0"/>
    <n v="0"/>
    <s v="NA"/>
    <s v="NA"/>
    <s v="NA"/>
    <n v="0"/>
    <n v="7"/>
    <n v="2006"/>
    <s v="WD"/>
    <s v="Normal"/>
    <n v="172500"/>
  </r>
  <r>
    <n v="179"/>
    <n v="20"/>
    <s v="RL"/>
    <n v="63"/>
    <n v="17423"/>
    <s v="Pave"/>
    <s v="NA"/>
    <s v="IR1"/>
    <s v="Lvl"/>
    <s v="AllPub"/>
    <s v="CulDSac"/>
    <s v="Gtl"/>
    <x v="18"/>
    <x v="0"/>
    <s v="Norm"/>
    <x v="0"/>
    <x v="1"/>
    <n v="9"/>
    <n v="5"/>
    <x v="74"/>
    <n v="2009"/>
    <s v="Hip"/>
    <s v="CompShg"/>
    <s v="VinylSd"/>
    <s v="VinylSd"/>
    <s v="Stone"/>
    <n v="748"/>
    <s v="Ex"/>
    <s v="TA"/>
    <s v="PConc"/>
    <s v="Ex"/>
    <s v="TA"/>
    <s v="No"/>
    <s v="GLQ"/>
    <n v="1904"/>
    <s v="Unf"/>
    <n v="0"/>
    <n v="312"/>
    <n v="2216"/>
    <s v="GasA"/>
    <s v="Ex"/>
    <s v="Y"/>
    <s v="SBrkr"/>
    <n v="2234"/>
    <n v="0"/>
    <n v="0"/>
    <x v="164"/>
    <n v="1"/>
    <n v="0"/>
    <n v="2"/>
    <n v="0"/>
    <n v="1"/>
    <n v="1"/>
    <s v="Ex"/>
    <n v="9"/>
    <s v="Typ"/>
    <n v="1"/>
    <s v="Gd"/>
    <s v="Attchd"/>
    <n v="2009"/>
    <s v="Fin"/>
    <n v="3"/>
    <n v="1166"/>
    <s v="TA"/>
    <s v="TA"/>
    <s v="Y"/>
    <n v="0"/>
    <n v="60"/>
    <n v="0"/>
    <n v="0"/>
    <n v="0"/>
    <n v="0"/>
    <s v="NA"/>
    <s v="NA"/>
    <s v="NA"/>
    <n v="0"/>
    <n v="7"/>
    <n v="2009"/>
    <s v="New"/>
    <s v="Partial"/>
    <n v="501837"/>
  </r>
  <r>
    <n v="180"/>
    <n v="30"/>
    <s v="RM"/>
    <n v="60"/>
    <n v="8520"/>
    <s v="Pave"/>
    <s v="NA"/>
    <s v="Reg"/>
    <s v="Lvl"/>
    <s v="AllPub"/>
    <s v="Inside"/>
    <s v="Gtl"/>
    <x v="7"/>
    <x v="0"/>
    <s v="Norm"/>
    <x v="0"/>
    <x v="1"/>
    <n v="5"/>
    <n v="6"/>
    <x v="66"/>
    <n v="2006"/>
    <s v="Gable"/>
    <s v="CompShg"/>
    <s v="Wd Sdng"/>
    <s v="Wd Sdng"/>
    <s v="None"/>
    <n v="0"/>
    <s v="Gd"/>
    <s v="TA"/>
    <s v="CBlock"/>
    <s v="TA"/>
    <s v="TA"/>
    <s v="No"/>
    <s v="Unf"/>
    <n v="0"/>
    <s v="Unf"/>
    <n v="0"/>
    <n v="968"/>
    <n v="968"/>
    <s v="GasA"/>
    <s v="TA"/>
    <s v="Y"/>
    <s v="SBrkr"/>
    <n v="968"/>
    <n v="0"/>
    <n v="0"/>
    <x v="165"/>
    <n v="0"/>
    <n v="0"/>
    <n v="1"/>
    <n v="0"/>
    <n v="2"/>
    <n v="1"/>
    <s v="TA"/>
    <n v="5"/>
    <s v="Typ"/>
    <n v="0"/>
    <s v="NA"/>
    <s v="Detchd"/>
    <n v="1935"/>
    <s v="Unf"/>
    <n v="2"/>
    <n v="480"/>
    <s v="Fa"/>
    <s v="TA"/>
    <s v="N"/>
    <n v="0"/>
    <n v="0"/>
    <n v="184"/>
    <n v="0"/>
    <n v="0"/>
    <n v="0"/>
    <s v="NA"/>
    <s v="NA"/>
    <s v="NA"/>
    <n v="0"/>
    <n v="7"/>
    <n v="2007"/>
    <s v="WD"/>
    <s v="Normal"/>
    <n v="100000"/>
  </r>
  <r>
    <n v="181"/>
    <n v="160"/>
    <s v="FV"/>
    <s v="NA"/>
    <n v="2117"/>
    <s v="Pave"/>
    <s v="NA"/>
    <s v="Reg"/>
    <s v="Lvl"/>
    <s v="AllPub"/>
    <s v="Inside"/>
    <s v="Gtl"/>
    <x v="5"/>
    <x v="0"/>
    <s v="Norm"/>
    <x v="4"/>
    <x v="0"/>
    <n v="6"/>
    <n v="5"/>
    <x v="4"/>
    <n v="2000"/>
    <s v="Gable"/>
    <s v="CompShg"/>
    <s v="MetalSd"/>
    <s v="MetalSd"/>
    <s v="BrkFace"/>
    <n v="456"/>
    <s v="Gd"/>
    <s v="TA"/>
    <s v="PConc"/>
    <s v="Gd"/>
    <s v="TA"/>
    <s v="No"/>
    <s v="GLQ"/>
    <n v="436"/>
    <s v="Unf"/>
    <n v="0"/>
    <n v="320"/>
    <n v="756"/>
    <s v="GasA"/>
    <s v="Ex"/>
    <s v="Y"/>
    <s v="SBrkr"/>
    <n v="769"/>
    <n v="756"/>
    <n v="0"/>
    <x v="166"/>
    <n v="0"/>
    <n v="0"/>
    <n v="2"/>
    <n v="1"/>
    <n v="3"/>
    <n v="1"/>
    <s v="Gd"/>
    <n v="5"/>
    <s v="Typ"/>
    <n v="1"/>
    <s v="TA"/>
    <s v="Detchd"/>
    <n v="2000"/>
    <s v="Unf"/>
    <n v="2"/>
    <n v="440"/>
    <s v="TA"/>
    <s v="TA"/>
    <s v="Y"/>
    <n v="0"/>
    <n v="0"/>
    <n v="0"/>
    <n v="0"/>
    <n v="0"/>
    <n v="0"/>
    <s v="NA"/>
    <s v="NA"/>
    <s v="NA"/>
    <n v="0"/>
    <n v="6"/>
    <n v="2007"/>
    <s v="WD"/>
    <s v="Normal"/>
    <n v="177000"/>
  </r>
  <r>
    <n v="182"/>
    <n v="70"/>
    <s v="RL"/>
    <n v="54"/>
    <n v="7588"/>
    <s v="Pave"/>
    <s v="NA"/>
    <s v="Reg"/>
    <s v="Lvl"/>
    <s v="AllPub"/>
    <s v="Inside"/>
    <s v="Gtl"/>
    <x v="2"/>
    <x v="0"/>
    <s v="Norm"/>
    <x v="0"/>
    <x v="0"/>
    <n v="7"/>
    <n v="6"/>
    <x v="26"/>
    <n v="1950"/>
    <s v="Gable"/>
    <s v="CompShg"/>
    <s v="Stucco"/>
    <s v="Stucco"/>
    <s v="None"/>
    <n v="0"/>
    <s v="TA"/>
    <s v="TA"/>
    <s v="BrkTil"/>
    <s v="Fa"/>
    <s v="TA"/>
    <s v="No"/>
    <s v="LwQ"/>
    <n v="352"/>
    <s v="Unf"/>
    <n v="0"/>
    <n v="441"/>
    <n v="793"/>
    <s v="GasA"/>
    <s v="Gd"/>
    <s v="Y"/>
    <s v="SBrkr"/>
    <n v="901"/>
    <n v="901"/>
    <n v="0"/>
    <x v="167"/>
    <n v="0"/>
    <n v="0"/>
    <n v="1"/>
    <n v="1"/>
    <n v="4"/>
    <n v="1"/>
    <s v="TA"/>
    <n v="9"/>
    <s v="Typ"/>
    <n v="1"/>
    <s v="Gd"/>
    <s v="Detchd"/>
    <n v="1920"/>
    <s v="Unf"/>
    <n v="1"/>
    <n v="216"/>
    <s v="Fa"/>
    <s v="TA"/>
    <s v="Y"/>
    <n v="0"/>
    <n v="0"/>
    <n v="40"/>
    <n v="0"/>
    <n v="0"/>
    <n v="0"/>
    <s v="NA"/>
    <s v="NA"/>
    <s v="NA"/>
    <n v="0"/>
    <n v="7"/>
    <n v="2006"/>
    <s v="WD"/>
    <s v="Normal"/>
    <n v="200100"/>
  </r>
  <r>
    <n v="183"/>
    <n v="20"/>
    <s v="RL"/>
    <n v="60"/>
    <n v="9060"/>
    <s v="Pave"/>
    <s v="NA"/>
    <s v="Reg"/>
    <s v="Lvl"/>
    <s v="AllPub"/>
    <s v="Inside"/>
    <s v="Gtl"/>
    <x v="15"/>
    <x v="3"/>
    <s v="Norm"/>
    <x v="0"/>
    <x v="1"/>
    <n v="5"/>
    <n v="6"/>
    <x v="24"/>
    <n v="2006"/>
    <s v="Hip"/>
    <s v="CompShg"/>
    <s v="Wd Sdng"/>
    <s v="Wd Sdng"/>
    <s v="BrkFace"/>
    <n v="98"/>
    <s v="TA"/>
    <s v="TA"/>
    <s v="PConc"/>
    <s v="NA"/>
    <s v="NA"/>
    <s v="NA"/>
    <s v="NA"/>
    <n v="0"/>
    <s v="NA"/>
    <n v="0"/>
    <n v="0"/>
    <n v="0"/>
    <s v="GasA"/>
    <s v="Ex"/>
    <s v="Y"/>
    <s v="SBrkr"/>
    <n v="1340"/>
    <n v="0"/>
    <n v="0"/>
    <x v="168"/>
    <n v="0"/>
    <n v="0"/>
    <n v="1"/>
    <n v="0"/>
    <n v="3"/>
    <n v="1"/>
    <s v="TA"/>
    <n v="7"/>
    <s v="Typ"/>
    <n v="1"/>
    <s v="Gd"/>
    <s v="Attchd"/>
    <n v="1957"/>
    <s v="RFn"/>
    <n v="1"/>
    <n v="252"/>
    <s v="TA"/>
    <s v="TA"/>
    <s v="Y"/>
    <n v="116"/>
    <n v="0"/>
    <n v="0"/>
    <n v="180"/>
    <n v="0"/>
    <n v="0"/>
    <s v="NA"/>
    <s v="MnPrv"/>
    <s v="NA"/>
    <n v="0"/>
    <n v="6"/>
    <n v="2007"/>
    <s v="WD"/>
    <s v="Normal"/>
    <n v="120000"/>
  </r>
  <r>
    <n v="184"/>
    <n v="50"/>
    <s v="RM"/>
    <n v="63"/>
    <n v="11426"/>
    <s v="Pave"/>
    <s v="NA"/>
    <s v="Reg"/>
    <s v="Lvl"/>
    <s v="AllPub"/>
    <s v="Inside"/>
    <s v="Gtl"/>
    <x v="7"/>
    <x v="0"/>
    <s v="Norm"/>
    <x v="0"/>
    <x v="2"/>
    <n v="7"/>
    <n v="5"/>
    <x v="0"/>
    <n v="2003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362"/>
    <n v="1362"/>
    <s v="GasA"/>
    <s v="Ex"/>
    <s v="Y"/>
    <s v="SBrkr"/>
    <n v="1362"/>
    <n v="720"/>
    <n v="0"/>
    <x v="169"/>
    <n v="0"/>
    <n v="0"/>
    <n v="2"/>
    <n v="1"/>
    <n v="3"/>
    <n v="1"/>
    <s v="Gd"/>
    <n v="6"/>
    <s v="Mod"/>
    <n v="0"/>
    <s v="NA"/>
    <s v="Detchd"/>
    <n v="2003"/>
    <s v="Unf"/>
    <n v="2"/>
    <n v="484"/>
    <s v="TA"/>
    <s v="TA"/>
    <s v="N"/>
    <n v="280"/>
    <n v="238"/>
    <n v="0"/>
    <n v="0"/>
    <n v="0"/>
    <n v="0"/>
    <s v="NA"/>
    <s v="NA"/>
    <s v="NA"/>
    <n v="0"/>
    <n v="6"/>
    <n v="2008"/>
    <s v="WD"/>
    <s v="Normal"/>
    <n v="200000"/>
  </r>
  <r>
    <n v="185"/>
    <n v="50"/>
    <s v="RL"/>
    <n v="92"/>
    <n v="7438"/>
    <s v="Pave"/>
    <s v="NA"/>
    <s v="IR1"/>
    <s v="Lvl"/>
    <s v="AllPub"/>
    <s v="Inside"/>
    <s v="Gtl"/>
    <x v="8"/>
    <x v="6"/>
    <s v="Feedr"/>
    <x v="0"/>
    <x v="2"/>
    <n v="5"/>
    <n v="8"/>
    <x v="75"/>
    <n v="1991"/>
    <s v="Gable"/>
    <s v="CompShg"/>
    <s v="AsbShng"/>
    <s v="Plywood"/>
    <s v="None"/>
    <n v="0"/>
    <s v="TA"/>
    <s v="TA"/>
    <s v="PConc"/>
    <s v="Fa"/>
    <s v="TA"/>
    <s v="No"/>
    <s v="Unf"/>
    <n v="0"/>
    <s v="Unf"/>
    <n v="0"/>
    <n v="504"/>
    <n v="504"/>
    <s v="GasA"/>
    <s v="Gd"/>
    <s v="Y"/>
    <s v="SBrkr"/>
    <n v="936"/>
    <n v="316"/>
    <n v="0"/>
    <x v="143"/>
    <n v="0"/>
    <n v="0"/>
    <n v="1"/>
    <n v="0"/>
    <n v="3"/>
    <n v="1"/>
    <s v="TA"/>
    <n v="5"/>
    <s v="Typ"/>
    <n v="0"/>
    <s v="NA"/>
    <s v="Attchd"/>
    <n v="1986"/>
    <s v="Unf"/>
    <n v="2"/>
    <n v="576"/>
    <s v="TA"/>
    <s v="TA"/>
    <s v="Y"/>
    <n v="104"/>
    <n v="0"/>
    <n v="0"/>
    <n v="0"/>
    <n v="0"/>
    <n v="0"/>
    <s v="NA"/>
    <s v="MnPrv"/>
    <s v="NA"/>
    <n v="0"/>
    <n v="6"/>
    <n v="2006"/>
    <s v="WD"/>
    <s v="Normal"/>
    <n v="127000"/>
  </r>
  <r>
    <n v="186"/>
    <n v="75"/>
    <s v="RM"/>
    <n v="90"/>
    <n v="22950"/>
    <s v="Pave"/>
    <s v="NA"/>
    <s v="IR2"/>
    <s v="Lvl"/>
    <s v="AllPub"/>
    <s v="Inside"/>
    <s v="Gtl"/>
    <x v="7"/>
    <x v="3"/>
    <s v="Norm"/>
    <x v="0"/>
    <x v="7"/>
    <n v="10"/>
    <n v="9"/>
    <x v="76"/>
    <n v="1993"/>
    <s v="Gable"/>
    <s v="WdShngl"/>
    <s v="Wd Sdng"/>
    <s v="Wd Sdng"/>
    <s v="None"/>
    <n v="0"/>
    <s v="Gd"/>
    <s v="Gd"/>
    <s v="BrkTil"/>
    <s v="TA"/>
    <s v="TA"/>
    <s v="Mn"/>
    <s v="Unf"/>
    <n v="0"/>
    <s v="Unf"/>
    <n v="0"/>
    <n v="1107"/>
    <n v="1107"/>
    <s v="GasA"/>
    <s v="Ex"/>
    <s v="Y"/>
    <s v="SBrkr"/>
    <n v="1518"/>
    <n v="1518"/>
    <n v="572"/>
    <x v="170"/>
    <n v="0"/>
    <n v="0"/>
    <n v="2"/>
    <n v="1"/>
    <n v="4"/>
    <n v="1"/>
    <s v="Ex"/>
    <n v="12"/>
    <s v="Typ"/>
    <n v="2"/>
    <s v="TA"/>
    <s v="Detchd"/>
    <n v="1993"/>
    <s v="Unf"/>
    <n v="3"/>
    <n v="840"/>
    <s v="Ex"/>
    <s v="TA"/>
    <s v="Y"/>
    <n v="0"/>
    <n v="260"/>
    <n v="0"/>
    <n v="0"/>
    <n v="410"/>
    <n v="0"/>
    <s v="NA"/>
    <s v="GdPrv"/>
    <s v="NA"/>
    <n v="0"/>
    <n v="6"/>
    <n v="2006"/>
    <s v="WD"/>
    <s v="Normal"/>
    <n v="475000"/>
  </r>
  <r>
    <n v="187"/>
    <n v="80"/>
    <s v="RL"/>
    <s v="NA"/>
    <n v="9947"/>
    <s v="Pave"/>
    <s v="NA"/>
    <s v="IR1"/>
    <s v="Lvl"/>
    <s v="AllPub"/>
    <s v="CulDSac"/>
    <s v="Gtl"/>
    <x v="4"/>
    <x v="0"/>
    <s v="Norm"/>
    <x v="0"/>
    <x v="5"/>
    <n v="7"/>
    <n v="5"/>
    <x v="59"/>
    <n v="1991"/>
    <s v="Gable"/>
    <s v="CompShg"/>
    <s v="HdBoard"/>
    <s v="HdBoard"/>
    <s v="None"/>
    <n v="0"/>
    <s v="TA"/>
    <s v="TA"/>
    <s v="PConc"/>
    <s v="Gd"/>
    <s v="TA"/>
    <s v="Av"/>
    <s v="GLQ"/>
    <n v="611"/>
    <s v="Unf"/>
    <n v="0"/>
    <n v="577"/>
    <n v="1188"/>
    <s v="GasA"/>
    <s v="Ex"/>
    <s v="Y"/>
    <s v="SBrkr"/>
    <n v="1217"/>
    <n v="0"/>
    <n v="0"/>
    <x v="171"/>
    <n v="1"/>
    <n v="0"/>
    <n v="2"/>
    <n v="0"/>
    <n v="3"/>
    <n v="1"/>
    <s v="Gd"/>
    <n v="6"/>
    <s v="Typ"/>
    <n v="0"/>
    <s v="NA"/>
    <s v="Attchd"/>
    <n v="1990"/>
    <s v="Unf"/>
    <n v="2"/>
    <n v="497"/>
    <s v="TA"/>
    <s v="TA"/>
    <s v="Y"/>
    <n v="168"/>
    <n v="27"/>
    <n v="0"/>
    <n v="0"/>
    <n v="0"/>
    <n v="0"/>
    <s v="NA"/>
    <s v="GdPrv"/>
    <s v="NA"/>
    <n v="0"/>
    <n v="6"/>
    <n v="2009"/>
    <s v="WD"/>
    <s v="Normal"/>
    <n v="173000"/>
  </r>
  <r>
    <n v="188"/>
    <n v="50"/>
    <s v="RL"/>
    <n v="60"/>
    <n v="10410"/>
    <s v="Pave"/>
    <s v="NA"/>
    <s v="Reg"/>
    <s v="Lvl"/>
    <s v="AllPub"/>
    <s v="Inside"/>
    <s v="Gtl"/>
    <x v="7"/>
    <x v="0"/>
    <s v="Norm"/>
    <x v="0"/>
    <x v="2"/>
    <n v="5"/>
    <n v="7"/>
    <x v="77"/>
    <n v="1987"/>
    <s v="Gable"/>
    <s v="CompShg"/>
    <s v="HdBoard"/>
    <s v="HdBoard"/>
    <s v="None"/>
    <n v="0"/>
    <s v="TA"/>
    <s v="TA"/>
    <s v="CBlock"/>
    <s v="Fa"/>
    <s v="TA"/>
    <s v="No"/>
    <s v="Unf"/>
    <n v="0"/>
    <s v="Unf"/>
    <n v="0"/>
    <n v="660"/>
    <n v="660"/>
    <s v="GasA"/>
    <s v="Ex"/>
    <s v="Y"/>
    <s v="SBrkr"/>
    <n v="808"/>
    <n v="704"/>
    <n v="144"/>
    <x v="45"/>
    <n v="0"/>
    <n v="0"/>
    <n v="2"/>
    <n v="1"/>
    <n v="3"/>
    <n v="1"/>
    <s v="TA"/>
    <n v="8"/>
    <s v="Min2"/>
    <n v="0"/>
    <s v="NA"/>
    <s v="Detchd"/>
    <n v="1916"/>
    <s v="Unf"/>
    <n v="1"/>
    <n v="180"/>
    <s v="Fa"/>
    <s v="Fa"/>
    <s v="N"/>
    <n v="0"/>
    <n v="0"/>
    <n v="0"/>
    <n v="140"/>
    <n v="0"/>
    <n v="0"/>
    <s v="NA"/>
    <s v="MnPrv"/>
    <s v="NA"/>
    <n v="0"/>
    <n v="8"/>
    <n v="2009"/>
    <s v="WD"/>
    <s v="Normal"/>
    <n v="135000"/>
  </r>
  <r>
    <n v="189"/>
    <n v="90"/>
    <s v="RL"/>
    <n v="64"/>
    <n v="7018"/>
    <s v="Pave"/>
    <s v="NA"/>
    <s v="Reg"/>
    <s v="Bnk"/>
    <s v="AllPub"/>
    <s v="Inside"/>
    <s v="Gtl"/>
    <x v="12"/>
    <x v="1"/>
    <s v="Norm"/>
    <x v="2"/>
    <x v="4"/>
    <n v="5"/>
    <n v="5"/>
    <x v="56"/>
    <n v="1979"/>
    <s v="Gable"/>
    <s v="CompShg"/>
    <s v="Plywood"/>
    <s v="Plywood"/>
    <s v="Stone"/>
    <n v="275"/>
    <s v="TA"/>
    <s v="TA"/>
    <s v="CBlock"/>
    <s v="Gd"/>
    <s v="TA"/>
    <s v="Av"/>
    <s v="GLQ"/>
    <n v="1086"/>
    <s v="Unf"/>
    <n v="0"/>
    <n v="0"/>
    <n v="1086"/>
    <s v="GasA"/>
    <s v="TA"/>
    <s v="Y"/>
    <s v="SBrkr"/>
    <n v="1224"/>
    <n v="0"/>
    <n v="0"/>
    <x v="84"/>
    <n v="2"/>
    <n v="0"/>
    <n v="0"/>
    <n v="2"/>
    <n v="2"/>
    <n v="2"/>
    <s v="TA"/>
    <n v="6"/>
    <s v="Typ"/>
    <n v="2"/>
    <s v="TA"/>
    <s v="Detchd"/>
    <n v="1979"/>
    <s v="Unf"/>
    <n v="2"/>
    <n v="528"/>
    <s v="TA"/>
    <s v="TA"/>
    <s v="Y"/>
    <n v="120"/>
    <n v="0"/>
    <n v="0"/>
    <n v="0"/>
    <n v="0"/>
    <n v="0"/>
    <s v="NA"/>
    <s v="NA"/>
    <s v="NA"/>
    <n v="0"/>
    <n v="6"/>
    <n v="2009"/>
    <s v="WD"/>
    <s v="Alloca"/>
    <n v="153337"/>
  </r>
  <r>
    <n v="190"/>
    <n v="120"/>
    <s v="RL"/>
    <n v="41"/>
    <n v="4923"/>
    <s v="Pave"/>
    <s v="NA"/>
    <s v="Reg"/>
    <s v="Lvl"/>
    <s v="AllPub"/>
    <s v="Inside"/>
    <s v="Gtl"/>
    <x v="18"/>
    <x v="0"/>
    <s v="Norm"/>
    <x v="3"/>
    <x v="1"/>
    <n v="8"/>
    <n v="5"/>
    <x v="2"/>
    <n v="2002"/>
    <s v="Gable"/>
    <s v="CompShg"/>
    <s v="CemntBd"/>
    <s v="CmentBd"/>
    <s v="None"/>
    <n v="0"/>
    <s v="Gd"/>
    <s v="TA"/>
    <s v="PConc"/>
    <s v="Ex"/>
    <s v="TA"/>
    <s v="Av"/>
    <s v="GLQ"/>
    <n v="1153"/>
    <s v="Unf"/>
    <n v="0"/>
    <n v="440"/>
    <n v="1593"/>
    <s v="GasA"/>
    <s v="Ex"/>
    <s v="Y"/>
    <s v="SBrkr"/>
    <n v="1593"/>
    <n v="0"/>
    <n v="0"/>
    <x v="172"/>
    <n v="1"/>
    <n v="0"/>
    <n v="1"/>
    <n v="1"/>
    <n v="0"/>
    <n v="1"/>
    <s v="Ex"/>
    <n v="5"/>
    <s v="Typ"/>
    <n v="1"/>
    <s v="Gd"/>
    <s v="Attchd"/>
    <n v="2001"/>
    <s v="Fin"/>
    <n v="2"/>
    <n v="682"/>
    <s v="TA"/>
    <s v="TA"/>
    <s v="Y"/>
    <n v="0"/>
    <n v="120"/>
    <n v="0"/>
    <n v="0"/>
    <n v="224"/>
    <n v="0"/>
    <s v="NA"/>
    <s v="NA"/>
    <s v="NA"/>
    <n v="0"/>
    <n v="8"/>
    <n v="2008"/>
    <s v="WD"/>
    <s v="Normal"/>
    <n v="286000"/>
  </r>
  <r>
    <n v="191"/>
    <n v="70"/>
    <s v="RL"/>
    <n v="70"/>
    <n v="10570"/>
    <s v="Pave"/>
    <s v="NA"/>
    <s v="Reg"/>
    <s v="Bnk"/>
    <s v="AllPub"/>
    <s v="Inside"/>
    <s v="Mod"/>
    <x v="2"/>
    <x v="0"/>
    <s v="Norm"/>
    <x v="0"/>
    <x v="0"/>
    <n v="8"/>
    <n v="8"/>
    <x v="78"/>
    <n v="1994"/>
    <s v="Hip"/>
    <s v="CompShg"/>
    <s v="BrkFace"/>
    <s v="BrkFace"/>
    <s v="None"/>
    <n v="0"/>
    <s v="Gd"/>
    <s v="TA"/>
    <s v="CBlock"/>
    <s v="Gd"/>
    <s v="Gd"/>
    <s v="No"/>
    <s v="Rec"/>
    <n v="297"/>
    <s v="Unf"/>
    <n v="0"/>
    <n v="556"/>
    <n v="853"/>
    <s v="GasA"/>
    <s v="TA"/>
    <s v="Y"/>
    <s v="SBrkr"/>
    <n v="1549"/>
    <n v="1178"/>
    <n v="0"/>
    <x v="173"/>
    <n v="0"/>
    <n v="0"/>
    <n v="2"/>
    <n v="1"/>
    <n v="3"/>
    <n v="1"/>
    <s v="Gd"/>
    <n v="10"/>
    <s v="Maj1"/>
    <n v="2"/>
    <s v="TA"/>
    <s v="Detchd"/>
    <n v="1932"/>
    <s v="Unf"/>
    <n v="2"/>
    <n v="440"/>
    <s v="TA"/>
    <s v="TA"/>
    <s v="Y"/>
    <n v="0"/>
    <n v="74"/>
    <n v="0"/>
    <n v="0"/>
    <n v="0"/>
    <n v="0"/>
    <s v="NA"/>
    <s v="NA"/>
    <s v="NA"/>
    <n v="0"/>
    <n v="12"/>
    <n v="2007"/>
    <s v="WD"/>
    <s v="Normal"/>
    <n v="315000"/>
  </r>
  <r>
    <n v="192"/>
    <n v="60"/>
    <s v="RL"/>
    <s v="NA"/>
    <n v="7472"/>
    <s v="Pave"/>
    <s v="NA"/>
    <s v="IR1"/>
    <s v="Lvl"/>
    <s v="AllPub"/>
    <s v="CulDSac"/>
    <s v="Gtl"/>
    <x v="11"/>
    <x v="0"/>
    <s v="Norm"/>
    <x v="0"/>
    <x v="0"/>
    <n v="7"/>
    <n v="9"/>
    <x v="41"/>
    <n v="2004"/>
    <s v="Gable"/>
    <s v="CompShg"/>
    <s v="HdBoard"/>
    <s v="HdBoard"/>
    <s v="BrkFace"/>
    <n v="138"/>
    <s v="TA"/>
    <s v="TA"/>
    <s v="CBlock"/>
    <s v="TA"/>
    <s v="TA"/>
    <s v="No"/>
    <s v="ALQ"/>
    <n v="626"/>
    <s v="Unf"/>
    <n v="0"/>
    <n v="99"/>
    <n v="725"/>
    <s v="GasA"/>
    <s v="Gd"/>
    <s v="Y"/>
    <s v="SBrkr"/>
    <n v="725"/>
    <n v="754"/>
    <n v="0"/>
    <x v="64"/>
    <n v="1"/>
    <n v="0"/>
    <n v="1"/>
    <n v="1"/>
    <n v="4"/>
    <n v="1"/>
    <s v="Gd"/>
    <n v="7"/>
    <s v="Typ"/>
    <n v="0"/>
    <s v="NA"/>
    <s v="Attchd"/>
    <n v="1972"/>
    <s v="Fin"/>
    <n v="2"/>
    <n v="484"/>
    <s v="TA"/>
    <s v="TA"/>
    <s v="Y"/>
    <n v="0"/>
    <n v="32"/>
    <n v="0"/>
    <n v="0"/>
    <n v="0"/>
    <n v="0"/>
    <s v="NA"/>
    <s v="NA"/>
    <s v="NA"/>
    <n v="0"/>
    <n v="6"/>
    <n v="2007"/>
    <s v="WD"/>
    <s v="Normal"/>
    <n v="184000"/>
  </r>
  <r>
    <n v="193"/>
    <n v="20"/>
    <s v="RL"/>
    <n v="68"/>
    <n v="9017"/>
    <s v="Pave"/>
    <s v="NA"/>
    <s v="IR1"/>
    <s v="Lvl"/>
    <s v="AllPub"/>
    <s v="Inside"/>
    <s v="Gtl"/>
    <x v="0"/>
    <x v="0"/>
    <s v="Norm"/>
    <x v="0"/>
    <x v="1"/>
    <n v="7"/>
    <n v="5"/>
    <x v="40"/>
    <n v="1999"/>
    <s v="Gable"/>
    <s v="CompShg"/>
    <s v="VinylSd"/>
    <s v="VinylSd"/>
    <s v="None"/>
    <n v="0"/>
    <s v="Gd"/>
    <s v="TA"/>
    <s v="PConc"/>
    <s v="Gd"/>
    <s v="TA"/>
    <s v="Av"/>
    <s v="GLQ"/>
    <n v="560"/>
    <s v="Unf"/>
    <n v="0"/>
    <n v="871"/>
    <n v="1431"/>
    <s v="GasA"/>
    <s v="Ex"/>
    <s v="Y"/>
    <s v="SBrkr"/>
    <n v="1431"/>
    <n v="0"/>
    <n v="0"/>
    <x v="174"/>
    <n v="1"/>
    <n v="0"/>
    <n v="2"/>
    <n v="0"/>
    <n v="3"/>
    <n v="1"/>
    <s v="Gd"/>
    <n v="6"/>
    <s v="Typ"/>
    <n v="0"/>
    <s v="NA"/>
    <s v="Attchd"/>
    <n v="1999"/>
    <s v="Fin"/>
    <n v="2"/>
    <n v="666"/>
    <s v="TA"/>
    <s v="TA"/>
    <s v="Y"/>
    <n v="0"/>
    <n v="35"/>
    <n v="0"/>
    <n v="0"/>
    <n v="0"/>
    <n v="0"/>
    <s v="NA"/>
    <s v="NA"/>
    <s v="NA"/>
    <n v="0"/>
    <n v="9"/>
    <n v="2009"/>
    <s v="WD"/>
    <s v="Normal"/>
    <n v="192000"/>
  </r>
  <r>
    <n v="194"/>
    <n v="160"/>
    <s v="RM"/>
    <n v="24"/>
    <n v="2522"/>
    <s v="Pave"/>
    <s v="NA"/>
    <s v="Reg"/>
    <s v="Lvl"/>
    <s v="AllPub"/>
    <s v="Inside"/>
    <s v="Gtl"/>
    <x v="15"/>
    <x v="0"/>
    <s v="Norm"/>
    <x v="4"/>
    <x v="0"/>
    <n v="7"/>
    <n v="5"/>
    <x v="6"/>
    <n v="2004"/>
    <s v="Gable"/>
    <s v="CompShg"/>
    <s v="VinylSd"/>
    <s v="VinylSd"/>
    <s v="Stone"/>
    <n v="50"/>
    <s v="Gd"/>
    <s v="TA"/>
    <s v="PConc"/>
    <s v="Gd"/>
    <s v="TA"/>
    <s v="No"/>
    <s v="Unf"/>
    <n v="0"/>
    <s v="Unf"/>
    <n v="0"/>
    <n v="970"/>
    <n v="970"/>
    <s v="GasA"/>
    <s v="Ex"/>
    <s v="Y"/>
    <s v="SBrkr"/>
    <n v="970"/>
    <n v="739"/>
    <n v="0"/>
    <x v="137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5"/>
    <n v="2006"/>
    <s v="WD"/>
    <s v="Normal"/>
    <n v="130000"/>
  </r>
  <r>
    <n v="195"/>
    <n v="20"/>
    <s v="RL"/>
    <n v="60"/>
    <n v="7180"/>
    <s v="Pave"/>
    <s v="NA"/>
    <s v="IR1"/>
    <s v="Lvl"/>
    <s v="AllPub"/>
    <s v="Inside"/>
    <s v="Gtl"/>
    <x v="0"/>
    <x v="0"/>
    <s v="Norm"/>
    <x v="0"/>
    <x v="1"/>
    <n v="5"/>
    <n v="7"/>
    <x v="41"/>
    <n v="1972"/>
    <s v="Hip"/>
    <s v="CompShg"/>
    <s v="HdBoard"/>
    <s v="HdBoard"/>
    <s v="None"/>
    <n v="0"/>
    <s v="TA"/>
    <s v="TA"/>
    <s v="CBlock"/>
    <s v="TA"/>
    <s v="TA"/>
    <s v="Av"/>
    <s v="ALQ"/>
    <n v="390"/>
    <s v="Unf"/>
    <n v="0"/>
    <n v="474"/>
    <n v="864"/>
    <s v="GasA"/>
    <s v="TA"/>
    <s v="Y"/>
    <s v="SBrkr"/>
    <n v="864"/>
    <n v="0"/>
    <n v="0"/>
    <x v="132"/>
    <n v="0"/>
    <n v="0"/>
    <n v="1"/>
    <n v="0"/>
    <n v="3"/>
    <n v="1"/>
    <s v="TA"/>
    <n v="5"/>
    <s v="Typ"/>
    <n v="0"/>
    <s v="NA"/>
    <s v="Detchd"/>
    <n v="1989"/>
    <s v="Unf"/>
    <n v="1"/>
    <n v="352"/>
    <s v="TA"/>
    <s v="TA"/>
    <s v="Y"/>
    <n v="0"/>
    <n v="0"/>
    <n v="0"/>
    <n v="0"/>
    <n v="0"/>
    <n v="0"/>
    <s v="NA"/>
    <s v="NA"/>
    <s v="NA"/>
    <n v="0"/>
    <n v="5"/>
    <n v="2008"/>
    <s v="WD"/>
    <s v="Normal"/>
    <n v="127000"/>
  </r>
  <r>
    <n v="196"/>
    <n v="160"/>
    <s v="RL"/>
    <n v="24"/>
    <n v="2280"/>
    <s v="Pave"/>
    <s v="NA"/>
    <s v="Reg"/>
    <s v="Lvl"/>
    <s v="AllPub"/>
    <s v="FR2"/>
    <s v="Gtl"/>
    <x v="20"/>
    <x v="0"/>
    <s v="Norm"/>
    <x v="4"/>
    <x v="0"/>
    <n v="6"/>
    <n v="6"/>
    <x v="1"/>
    <n v="1976"/>
    <s v="Gable"/>
    <s v="CompShg"/>
    <s v="Plywood"/>
    <s v="Brk Cmn"/>
    <s v="None"/>
    <n v="0"/>
    <s v="TA"/>
    <s v="TA"/>
    <s v="CBlock"/>
    <s v="Gd"/>
    <s v="TA"/>
    <s v="No"/>
    <s v="ALQ"/>
    <n v="566"/>
    <s v="Unf"/>
    <n v="0"/>
    <n v="289"/>
    <n v="855"/>
    <s v="GasA"/>
    <s v="TA"/>
    <s v="Y"/>
    <s v="SBrkr"/>
    <n v="855"/>
    <n v="601"/>
    <n v="0"/>
    <x v="113"/>
    <n v="0"/>
    <n v="0"/>
    <n v="2"/>
    <n v="1"/>
    <n v="3"/>
    <n v="1"/>
    <s v="TA"/>
    <n v="7"/>
    <s v="Typ"/>
    <n v="1"/>
    <s v="TA"/>
    <s v="Attchd"/>
    <n v="1976"/>
    <s v="Unf"/>
    <n v="2"/>
    <n v="440"/>
    <s v="TA"/>
    <s v="TA"/>
    <s v="Y"/>
    <n v="87"/>
    <n v="0"/>
    <n v="0"/>
    <n v="0"/>
    <n v="0"/>
    <n v="0"/>
    <s v="NA"/>
    <s v="NA"/>
    <s v="NA"/>
    <n v="0"/>
    <n v="7"/>
    <n v="2009"/>
    <s v="WD"/>
    <s v="Normal"/>
    <n v="148500"/>
  </r>
  <r>
    <n v="197"/>
    <n v="20"/>
    <s v="RL"/>
    <n v="79"/>
    <n v="9416"/>
    <s v="Pave"/>
    <s v="NA"/>
    <s v="Reg"/>
    <s v="Lvl"/>
    <s v="AllPub"/>
    <s v="Inside"/>
    <s v="Gtl"/>
    <x v="5"/>
    <x v="0"/>
    <s v="Norm"/>
    <x v="0"/>
    <x v="1"/>
    <n v="7"/>
    <n v="5"/>
    <x v="22"/>
    <n v="2007"/>
    <s v="Hip"/>
    <s v="CompShg"/>
    <s v="CemntBd"/>
    <s v="CmentBd"/>
    <s v="Stone"/>
    <n v="205"/>
    <s v="Ex"/>
    <s v="TA"/>
    <s v="PConc"/>
    <s v="Ex"/>
    <s v="TA"/>
    <s v="No"/>
    <s v="GLQ"/>
    <n v="1126"/>
    <s v="Unf"/>
    <n v="0"/>
    <n v="600"/>
    <n v="1726"/>
    <s v="GasA"/>
    <s v="Ex"/>
    <s v="Y"/>
    <s v="SBrkr"/>
    <n v="1726"/>
    <n v="0"/>
    <n v="0"/>
    <x v="175"/>
    <n v="1"/>
    <n v="0"/>
    <n v="2"/>
    <n v="0"/>
    <n v="3"/>
    <n v="1"/>
    <s v="Ex"/>
    <n v="8"/>
    <s v="Typ"/>
    <n v="1"/>
    <s v="Gd"/>
    <s v="Attchd"/>
    <n v="2007"/>
    <s v="Fin"/>
    <n v="3"/>
    <n v="786"/>
    <s v="TA"/>
    <s v="TA"/>
    <s v="Y"/>
    <n v="171"/>
    <n v="138"/>
    <n v="0"/>
    <n v="0"/>
    <n v="266"/>
    <n v="0"/>
    <s v="NA"/>
    <s v="NA"/>
    <s v="NA"/>
    <n v="0"/>
    <n v="9"/>
    <n v="2007"/>
    <s v="New"/>
    <s v="Partial"/>
    <n v="311872"/>
  </r>
  <r>
    <n v="198"/>
    <n v="75"/>
    <s v="RL"/>
    <n v="174"/>
    <n v="25419"/>
    <s v="Pave"/>
    <s v="NA"/>
    <s v="Reg"/>
    <s v="Lvl"/>
    <s v="AllPub"/>
    <s v="Corner"/>
    <s v="Gtl"/>
    <x v="11"/>
    <x v="3"/>
    <s v="Norm"/>
    <x v="0"/>
    <x v="0"/>
    <n v="8"/>
    <n v="4"/>
    <x v="79"/>
    <n v="1990"/>
    <s v="Gable"/>
    <s v="CompShg"/>
    <s v="Stucco"/>
    <s v="Stucco"/>
    <s v="None"/>
    <n v="0"/>
    <s v="Gd"/>
    <s v="Gd"/>
    <s v="PConc"/>
    <s v="TA"/>
    <s v="TA"/>
    <s v="No"/>
    <s v="GLQ"/>
    <n v="1036"/>
    <s v="LwQ"/>
    <n v="184"/>
    <n v="140"/>
    <n v="1360"/>
    <s v="GasA"/>
    <s v="Gd"/>
    <s v="Y"/>
    <s v="SBrkr"/>
    <n v="1360"/>
    <n v="1360"/>
    <n v="392"/>
    <x v="176"/>
    <n v="1"/>
    <n v="1"/>
    <n v="2"/>
    <n v="0"/>
    <n v="4"/>
    <n v="1"/>
    <s v="Gd"/>
    <n v="8"/>
    <s v="Typ"/>
    <n v="1"/>
    <s v="Ex"/>
    <s v="Detchd"/>
    <n v="1918"/>
    <s v="Unf"/>
    <n v="2"/>
    <n v="795"/>
    <s v="TA"/>
    <s v="TA"/>
    <s v="Y"/>
    <n v="0"/>
    <n v="16"/>
    <n v="552"/>
    <n v="0"/>
    <n v="0"/>
    <n v="512"/>
    <s v="Ex"/>
    <s v="GdPrv"/>
    <s v="NA"/>
    <n v="0"/>
    <n v="3"/>
    <n v="2006"/>
    <s v="WD"/>
    <s v="Abnorml"/>
    <n v="235000"/>
  </r>
  <r>
    <n v="199"/>
    <n v="75"/>
    <s v="RM"/>
    <n v="92"/>
    <n v="5520"/>
    <s v="Pave"/>
    <s v="NA"/>
    <s v="Reg"/>
    <s v="Lvl"/>
    <s v="AllPub"/>
    <s v="Corner"/>
    <s v="Gtl"/>
    <x v="7"/>
    <x v="0"/>
    <s v="Norm"/>
    <x v="0"/>
    <x v="7"/>
    <n v="6"/>
    <n v="6"/>
    <x v="80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755"/>
    <n v="755"/>
    <s v="GasA"/>
    <s v="Ex"/>
    <s v="Y"/>
    <s v="SBrkr"/>
    <n v="929"/>
    <n v="929"/>
    <n v="371"/>
    <x v="177"/>
    <n v="0"/>
    <n v="0"/>
    <n v="1"/>
    <n v="0"/>
    <n v="5"/>
    <n v="1"/>
    <s v="TA"/>
    <n v="8"/>
    <s v="Typ"/>
    <n v="0"/>
    <s v="NA"/>
    <s v="NA"/>
    <s v="NA"/>
    <s v="NA"/>
    <n v="0"/>
    <n v="0"/>
    <s v="NA"/>
    <s v="NA"/>
    <s v="Y"/>
    <n v="0"/>
    <n v="198"/>
    <n v="30"/>
    <n v="0"/>
    <n v="0"/>
    <n v="0"/>
    <s v="NA"/>
    <s v="MnPrv"/>
    <s v="NA"/>
    <n v="0"/>
    <n v="7"/>
    <n v="2009"/>
    <s v="WD"/>
    <s v="Abnorml"/>
    <n v="104000"/>
  </r>
  <r>
    <n v="200"/>
    <n v="20"/>
    <s v="RL"/>
    <n v="76"/>
    <n v="9591"/>
    <s v="Pave"/>
    <s v="NA"/>
    <s v="Reg"/>
    <s v="Lvl"/>
    <s v="AllPub"/>
    <s v="Inside"/>
    <s v="Gtl"/>
    <x v="10"/>
    <x v="0"/>
    <s v="Norm"/>
    <x v="0"/>
    <x v="1"/>
    <n v="8"/>
    <n v="5"/>
    <x v="6"/>
    <n v="2005"/>
    <s v="Hip"/>
    <s v="CompShg"/>
    <s v="VinylSd"/>
    <s v="VinylSd"/>
    <s v="BrkFace"/>
    <n v="262"/>
    <s v="Gd"/>
    <s v="TA"/>
    <s v="PConc"/>
    <s v="Ex"/>
    <s v="TA"/>
    <s v="Av"/>
    <s v="GLQ"/>
    <n v="1088"/>
    <s v="Unf"/>
    <n v="0"/>
    <n v="625"/>
    <n v="1713"/>
    <s v="GasA"/>
    <s v="Ex"/>
    <s v="Y"/>
    <s v="SBrkr"/>
    <n v="1713"/>
    <n v="0"/>
    <n v="0"/>
    <x v="178"/>
    <n v="1"/>
    <n v="0"/>
    <n v="2"/>
    <n v="0"/>
    <n v="3"/>
    <n v="1"/>
    <s v="Ex"/>
    <n v="7"/>
    <s v="Typ"/>
    <n v="1"/>
    <s v="Gd"/>
    <s v="Attchd"/>
    <n v="2004"/>
    <s v="Fin"/>
    <n v="3"/>
    <n v="856"/>
    <s v="TA"/>
    <s v="TA"/>
    <s v="Y"/>
    <n v="0"/>
    <n v="26"/>
    <n v="0"/>
    <n v="0"/>
    <n v="170"/>
    <n v="0"/>
    <s v="NA"/>
    <s v="NA"/>
    <s v="NA"/>
    <n v="0"/>
    <n v="1"/>
    <n v="2009"/>
    <s v="WD"/>
    <s v="Normal"/>
    <n v="274900"/>
  </r>
  <r>
    <n v="201"/>
    <n v="20"/>
    <s v="RM"/>
    <n v="80"/>
    <n v="8546"/>
    <s v="Pave"/>
    <s v="NA"/>
    <s v="Reg"/>
    <s v="Lvl"/>
    <s v="AllPub"/>
    <s v="Corner"/>
    <s v="Gtl"/>
    <x v="15"/>
    <x v="0"/>
    <s v="Norm"/>
    <x v="0"/>
    <x v="1"/>
    <n v="4"/>
    <n v="5"/>
    <x v="0"/>
    <n v="2004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121"/>
    <n v="1121"/>
    <s v="GasA"/>
    <s v="Ex"/>
    <s v="Y"/>
    <s v="SBrkr"/>
    <n v="1121"/>
    <n v="0"/>
    <n v="0"/>
    <x v="179"/>
    <n v="0"/>
    <n v="0"/>
    <n v="2"/>
    <n v="0"/>
    <n v="2"/>
    <n v="1"/>
    <s v="TA"/>
    <n v="5"/>
    <s v="Typ"/>
    <n v="0"/>
    <s v="NA"/>
    <s v="Attchd"/>
    <n v="2003"/>
    <s v="RFn"/>
    <n v="2"/>
    <n v="440"/>
    <s v="TA"/>
    <s v="TA"/>
    <s v="Y"/>
    <n v="132"/>
    <n v="64"/>
    <n v="0"/>
    <n v="0"/>
    <n v="0"/>
    <n v="0"/>
    <s v="NA"/>
    <s v="NA"/>
    <s v="NA"/>
    <n v="0"/>
    <n v="3"/>
    <n v="2010"/>
    <s v="WD"/>
    <s v="Normal"/>
    <n v="140000"/>
  </r>
  <r>
    <n v="202"/>
    <n v="20"/>
    <s v="RL"/>
    <n v="75"/>
    <n v="10125"/>
    <s v="Pave"/>
    <s v="NA"/>
    <s v="Reg"/>
    <s v="Lvl"/>
    <s v="AllPub"/>
    <s v="Inside"/>
    <s v="Gtl"/>
    <x v="4"/>
    <x v="0"/>
    <s v="Norm"/>
    <x v="0"/>
    <x v="1"/>
    <n v="6"/>
    <n v="6"/>
    <x v="54"/>
    <n v="1977"/>
    <s v="Gable"/>
    <s v="CompShg"/>
    <s v="Plywood"/>
    <s v="Plywood"/>
    <s v="None"/>
    <n v="0"/>
    <s v="TA"/>
    <s v="TA"/>
    <s v="CBlock"/>
    <s v="TA"/>
    <s v="TA"/>
    <s v="No"/>
    <s v="ALQ"/>
    <n v="641"/>
    <s v="LwQ"/>
    <n v="279"/>
    <n v="276"/>
    <n v="1196"/>
    <s v="GasA"/>
    <s v="TA"/>
    <s v="Y"/>
    <s v="SBrkr"/>
    <n v="1279"/>
    <n v="0"/>
    <n v="0"/>
    <x v="180"/>
    <n v="0"/>
    <n v="1"/>
    <n v="2"/>
    <n v="0"/>
    <n v="3"/>
    <n v="1"/>
    <s v="TA"/>
    <n v="6"/>
    <s v="Typ"/>
    <n v="2"/>
    <s v="Fa"/>
    <s v="Detchd"/>
    <n v="1980"/>
    <s v="Unf"/>
    <n v="2"/>
    <n v="473"/>
    <s v="TA"/>
    <s v="TA"/>
    <s v="Y"/>
    <n v="238"/>
    <n v="83"/>
    <n v="0"/>
    <n v="0"/>
    <n v="0"/>
    <n v="0"/>
    <s v="NA"/>
    <s v="MnPrv"/>
    <s v="NA"/>
    <n v="0"/>
    <n v="2"/>
    <n v="2008"/>
    <s v="WD"/>
    <s v="Normal"/>
    <n v="171500"/>
  </r>
  <r>
    <n v="203"/>
    <n v="50"/>
    <s v="RL"/>
    <n v="50"/>
    <n v="7000"/>
    <s v="Pave"/>
    <s v="NA"/>
    <s v="Reg"/>
    <s v="Lvl"/>
    <s v="AllPub"/>
    <s v="Corner"/>
    <s v="Gtl"/>
    <x v="7"/>
    <x v="3"/>
    <s v="Norm"/>
    <x v="0"/>
    <x v="2"/>
    <n v="6"/>
    <n v="6"/>
    <x v="67"/>
    <n v="1950"/>
    <s v="Gable"/>
    <s v="CompShg"/>
    <s v="MetalSd"/>
    <s v="MetalSd"/>
    <s v="None"/>
    <n v="0"/>
    <s v="TA"/>
    <s v="Gd"/>
    <s v="BrkTil"/>
    <s v="Fa"/>
    <s v="TA"/>
    <s v="No"/>
    <s v="LwQ"/>
    <n v="617"/>
    <s v="Unf"/>
    <n v="0"/>
    <n v="0"/>
    <n v="617"/>
    <s v="GasA"/>
    <s v="Gd"/>
    <s v="Y"/>
    <s v="SBrkr"/>
    <n v="865"/>
    <n v="445"/>
    <n v="0"/>
    <x v="181"/>
    <n v="0"/>
    <n v="0"/>
    <n v="2"/>
    <n v="0"/>
    <n v="2"/>
    <n v="1"/>
    <s v="TA"/>
    <n v="6"/>
    <s v="Min1"/>
    <n v="0"/>
    <s v="NA"/>
    <s v="Attchd"/>
    <n v="1924"/>
    <s v="Unf"/>
    <n v="1"/>
    <n v="398"/>
    <s v="TA"/>
    <s v="TA"/>
    <s v="Y"/>
    <n v="0"/>
    <n v="0"/>
    <n v="126"/>
    <n v="0"/>
    <n v="0"/>
    <n v="0"/>
    <s v="NA"/>
    <s v="NA"/>
    <s v="NA"/>
    <n v="0"/>
    <n v="5"/>
    <n v="2006"/>
    <s v="COD"/>
    <s v="Normal"/>
    <n v="112000"/>
  </r>
  <r>
    <n v="204"/>
    <n v="120"/>
    <s v="RM"/>
    <s v="NA"/>
    <n v="4438"/>
    <s v="Pave"/>
    <s v="NA"/>
    <s v="Reg"/>
    <s v="Lvl"/>
    <s v="AllPub"/>
    <s v="Inside"/>
    <s v="Gtl"/>
    <x v="0"/>
    <x v="0"/>
    <s v="Norm"/>
    <x v="3"/>
    <x v="1"/>
    <n v="6"/>
    <n v="5"/>
    <x v="6"/>
    <n v="2004"/>
    <s v="Gable"/>
    <s v="CompShg"/>
    <s v="VinylSd"/>
    <s v="VinylSd"/>
    <s v="BrkFace"/>
    <n v="205"/>
    <s v="Gd"/>
    <s v="TA"/>
    <s v="PConc"/>
    <s v="Gd"/>
    <s v="TA"/>
    <s v="Av"/>
    <s v="GLQ"/>
    <n v="662"/>
    <s v="Unf"/>
    <n v="0"/>
    <n v="186"/>
    <n v="848"/>
    <s v="GasA"/>
    <s v="Ex"/>
    <s v="Y"/>
    <s v="SBrkr"/>
    <n v="848"/>
    <n v="0"/>
    <n v="0"/>
    <x v="182"/>
    <n v="1"/>
    <n v="0"/>
    <n v="1"/>
    <n v="0"/>
    <n v="1"/>
    <n v="1"/>
    <s v="Gd"/>
    <n v="3"/>
    <s v="Typ"/>
    <n v="1"/>
    <s v="Gd"/>
    <s v="Attchd"/>
    <n v="2004"/>
    <s v="RFn"/>
    <n v="2"/>
    <n v="420"/>
    <s v="TA"/>
    <s v="TA"/>
    <s v="Y"/>
    <n v="149"/>
    <n v="0"/>
    <n v="0"/>
    <n v="0"/>
    <n v="0"/>
    <n v="0"/>
    <s v="NA"/>
    <s v="NA"/>
    <s v="NA"/>
    <n v="0"/>
    <n v="1"/>
    <n v="2008"/>
    <s v="WD"/>
    <s v="Normal"/>
    <n v="149000"/>
  </r>
  <r>
    <n v="205"/>
    <n v="50"/>
    <s v="RM"/>
    <n v="50"/>
    <n v="3500"/>
    <s v="Pave"/>
    <s v="Grvl"/>
    <s v="Reg"/>
    <s v="Lvl"/>
    <s v="AllPub"/>
    <s v="Inside"/>
    <s v="Gtl"/>
    <x v="7"/>
    <x v="0"/>
    <s v="Norm"/>
    <x v="0"/>
    <x v="2"/>
    <n v="5"/>
    <n v="7"/>
    <x v="81"/>
    <n v="1950"/>
    <s v="Gable"/>
    <s v="CompShg"/>
    <s v="AsbShng"/>
    <s v="AsbShng"/>
    <s v="None"/>
    <n v="0"/>
    <s v="TA"/>
    <s v="TA"/>
    <s v="CBlock"/>
    <s v="TA"/>
    <s v="TA"/>
    <s v="No"/>
    <s v="LwQ"/>
    <n v="312"/>
    <s v="Unf"/>
    <n v="0"/>
    <n v="408"/>
    <n v="720"/>
    <s v="GasA"/>
    <s v="TA"/>
    <s v="Y"/>
    <s v="SBrkr"/>
    <n v="720"/>
    <n v="564"/>
    <n v="0"/>
    <x v="183"/>
    <n v="0"/>
    <n v="0"/>
    <n v="1"/>
    <n v="1"/>
    <n v="2"/>
    <n v="1"/>
    <s v="TA"/>
    <n v="5"/>
    <s v="Typ"/>
    <n v="0"/>
    <s v="NA"/>
    <s v="Detchd"/>
    <n v="1948"/>
    <s v="Unf"/>
    <n v="1"/>
    <n v="240"/>
    <s v="TA"/>
    <s v="TA"/>
    <s v="Y"/>
    <n v="0"/>
    <n v="35"/>
    <n v="0"/>
    <n v="0"/>
    <n v="0"/>
    <n v="0"/>
    <s v="NA"/>
    <s v="MnWw"/>
    <s v="NA"/>
    <n v="0"/>
    <n v="4"/>
    <n v="2009"/>
    <s v="WD"/>
    <s v="Normal"/>
    <n v="110000"/>
  </r>
  <r>
    <n v="206"/>
    <n v="20"/>
    <s v="RL"/>
    <n v="99"/>
    <n v="11851"/>
    <s v="Pave"/>
    <s v="NA"/>
    <s v="Reg"/>
    <s v="Lvl"/>
    <s v="AllPub"/>
    <s v="Corner"/>
    <s v="Gtl"/>
    <x v="17"/>
    <x v="0"/>
    <s v="Norm"/>
    <x v="0"/>
    <x v="1"/>
    <n v="7"/>
    <n v="5"/>
    <x v="59"/>
    <n v="1990"/>
    <s v="Gable"/>
    <s v="CompShg"/>
    <s v="HdBoard"/>
    <s v="HdBoard"/>
    <s v="None"/>
    <n v="0"/>
    <s v="TA"/>
    <s v="TA"/>
    <s v="PConc"/>
    <s v="Gd"/>
    <s v="TA"/>
    <s v="No"/>
    <s v="Unf"/>
    <n v="0"/>
    <s v="Unf"/>
    <n v="0"/>
    <n v="1424"/>
    <n v="1424"/>
    <s v="GasA"/>
    <s v="Ex"/>
    <s v="Y"/>
    <s v="SBrkr"/>
    <n v="1442"/>
    <n v="0"/>
    <n v="0"/>
    <x v="184"/>
    <n v="0"/>
    <n v="0"/>
    <n v="2"/>
    <n v="0"/>
    <n v="3"/>
    <n v="1"/>
    <s v="TA"/>
    <n v="5"/>
    <s v="Typ"/>
    <n v="0"/>
    <s v="NA"/>
    <s v="Attchd"/>
    <n v="1990"/>
    <s v="RFn"/>
    <n v="2"/>
    <n v="500"/>
    <s v="TA"/>
    <s v="TA"/>
    <s v="Y"/>
    <n v="0"/>
    <n v="34"/>
    <n v="0"/>
    <n v="508"/>
    <n v="0"/>
    <n v="0"/>
    <s v="NA"/>
    <s v="NA"/>
    <s v="NA"/>
    <n v="0"/>
    <n v="5"/>
    <n v="2009"/>
    <s v="WD"/>
    <s v="Normal"/>
    <n v="180500"/>
  </r>
  <r>
    <n v="207"/>
    <n v="20"/>
    <s v="RL"/>
    <n v="40"/>
    <n v="13673"/>
    <s v="Pave"/>
    <s v="NA"/>
    <s v="IR1"/>
    <s v="Lvl"/>
    <s v="AllPub"/>
    <s v="CulDSac"/>
    <s v="Gtl"/>
    <x v="9"/>
    <x v="4"/>
    <s v="Norm"/>
    <x v="0"/>
    <x v="1"/>
    <n v="5"/>
    <n v="5"/>
    <x v="12"/>
    <n v="1962"/>
    <s v="Gable"/>
    <s v="CompShg"/>
    <s v="HdBoard"/>
    <s v="HdBoard"/>
    <s v="None"/>
    <n v="0"/>
    <s v="TA"/>
    <s v="Gd"/>
    <s v="CBlock"/>
    <s v="TA"/>
    <s v="TA"/>
    <s v="No"/>
    <s v="Unf"/>
    <n v="0"/>
    <s v="Unf"/>
    <n v="0"/>
    <n v="1140"/>
    <n v="1140"/>
    <s v="GasA"/>
    <s v="TA"/>
    <s v="Y"/>
    <s v="SBrkr"/>
    <n v="1696"/>
    <n v="0"/>
    <n v="0"/>
    <x v="185"/>
    <n v="0"/>
    <n v="0"/>
    <n v="1"/>
    <n v="1"/>
    <n v="3"/>
    <n v="1"/>
    <s v="TA"/>
    <n v="8"/>
    <s v="Min2"/>
    <n v="1"/>
    <s v="TA"/>
    <s v="Attchd"/>
    <n v="1962"/>
    <s v="RFn"/>
    <n v="1"/>
    <n v="349"/>
    <s v="TA"/>
    <s v="TA"/>
    <s v="Y"/>
    <n v="0"/>
    <n v="30"/>
    <n v="0"/>
    <n v="0"/>
    <n v="0"/>
    <n v="0"/>
    <s v="NA"/>
    <s v="NA"/>
    <s v="NA"/>
    <n v="0"/>
    <n v="3"/>
    <n v="2007"/>
    <s v="WD"/>
    <s v="Normal"/>
    <n v="143900"/>
  </r>
  <r>
    <n v="208"/>
    <n v="20"/>
    <s v="RL"/>
    <s v="NA"/>
    <n v="12493"/>
    <s v="Pave"/>
    <s v="NA"/>
    <s v="IR1"/>
    <s v="Lvl"/>
    <s v="AllPub"/>
    <s v="Inside"/>
    <s v="Gtl"/>
    <x v="11"/>
    <x v="0"/>
    <s v="Norm"/>
    <x v="0"/>
    <x v="1"/>
    <n v="4"/>
    <n v="5"/>
    <x v="14"/>
    <n v="1960"/>
    <s v="Gable"/>
    <s v="CompShg"/>
    <s v="Wd Sdng"/>
    <s v="Wd Sdng"/>
    <s v="None"/>
    <n v="0"/>
    <s v="TA"/>
    <s v="TA"/>
    <s v="PConc"/>
    <s v="TA"/>
    <s v="TA"/>
    <s v="No"/>
    <s v="ALQ"/>
    <n v="419"/>
    <s v="Rec"/>
    <n v="306"/>
    <n v="375"/>
    <n v="1100"/>
    <s v="GasA"/>
    <s v="TA"/>
    <s v="Y"/>
    <s v="SBrkr"/>
    <n v="1100"/>
    <n v="0"/>
    <n v="0"/>
    <x v="186"/>
    <n v="1"/>
    <n v="0"/>
    <n v="1"/>
    <n v="0"/>
    <n v="3"/>
    <n v="1"/>
    <s v="TA"/>
    <n v="6"/>
    <s v="Typ"/>
    <n v="1"/>
    <s v="Po"/>
    <s v="Attchd"/>
    <n v="1960"/>
    <s v="RFn"/>
    <n v="1"/>
    <n v="312"/>
    <s v="TA"/>
    <s v="TA"/>
    <s v="Y"/>
    <n v="355"/>
    <n v="0"/>
    <n v="0"/>
    <n v="0"/>
    <n v="0"/>
    <n v="0"/>
    <s v="NA"/>
    <s v="GdWo"/>
    <s v="NA"/>
    <n v="0"/>
    <n v="4"/>
    <n v="2008"/>
    <s v="WD"/>
    <s v="Normal"/>
    <n v="141000"/>
  </r>
  <r>
    <n v="209"/>
    <n v="60"/>
    <s v="RL"/>
    <s v="NA"/>
    <n v="14364"/>
    <s v="Pave"/>
    <s v="NA"/>
    <s v="IR1"/>
    <s v="Low"/>
    <s v="AllPub"/>
    <s v="Inside"/>
    <s v="Mod"/>
    <x v="12"/>
    <x v="0"/>
    <s v="Norm"/>
    <x v="0"/>
    <x v="0"/>
    <n v="7"/>
    <n v="5"/>
    <x v="62"/>
    <n v="1989"/>
    <s v="Gable"/>
    <s v="CompShg"/>
    <s v="Plywood"/>
    <s v="Plywood"/>
    <s v="BrkFace"/>
    <n v="128"/>
    <s v="Gd"/>
    <s v="TA"/>
    <s v="CBlock"/>
    <s v="Gd"/>
    <s v="TA"/>
    <s v="Gd"/>
    <s v="GLQ"/>
    <n v="1065"/>
    <s v="Unf"/>
    <n v="0"/>
    <n v="92"/>
    <n v="1157"/>
    <s v="GasA"/>
    <s v="Ex"/>
    <s v="Y"/>
    <s v="SBrkr"/>
    <n v="1180"/>
    <n v="882"/>
    <n v="0"/>
    <x v="187"/>
    <n v="1"/>
    <n v="0"/>
    <n v="2"/>
    <n v="1"/>
    <n v="3"/>
    <n v="1"/>
    <s v="TA"/>
    <n v="7"/>
    <s v="Typ"/>
    <n v="1"/>
    <s v="Gd"/>
    <s v="Attchd"/>
    <n v="1988"/>
    <s v="Fin"/>
    <n v="2"/>
    <n v="454"/>
    <s v="TA"/>
    <s v="TA"/>
    <s v="Y"/>
    <n v="60"/>
    <n v="55"/>
    <n v="0"/>
    <n v="0"/>
    <n v="154"/>
    <n v="0"/>
    <s v="NA"/>
    <s v="NA"/>
    <s v="NA"/>
    <n v="0"/>
    <n v="4"/>
    <n v="2007"/>
    <s v="WD"/>
    <s v="Normal"/>
    <n v="277000"/>
  </r>
  <r>
    <n v="210"/>
    <n v="20"/>
    <s v="RL"/>
    <n v="75"/>
    <n v="8250"/>
    <s v="Pave"/>
    <s v="NA"/>
    <s v="Reg"/>
    <s v="Lvl"/>
    <s v="AllPub"/>
    <s v="Inside"/>
    <s v="Gtl"/>
    <x v="11"/>
    <x v="0"/>
    <s v="Norm"/>
    <x v="0"/>
    <x v="1"/>
    <n v="6"/>
    <n v="7"/>
    <x v="39"/>
    <n v="1964"/>
    <s v="Hip"/>
    <s v="CompShg"/>
    <s v="HdBoard"/>
    <s v="HdBoard"/>
    <s v="Stone"/>
    <n v="260"/>
    <s v="TA"/>
    <s v="TA"/>
    <s v="CBlock"/>
    <s v="Gd"/>
    <s v="TA"/>
    <s v="No"/>
    <s v="Rec"/>
    <n v="787"/>
    <s v="Unf"/>
    <n v="0"/>
    <n v="305"/>
    <n v="1092"/>
    <s v="GasA"/>
    <s v="Ex"/>
    <s v="Y"/>
    <s v="SBrkr"/>
    <n v="1092"/>
    <n v="0"/>
    <n v="0"/>
    <x v="110"/>
    <n v="1"/>
    <n v="0"/>
    <n v="1"/>
    <n v="0"/>
    <n v="3"/>
    <n v="1"/>
    <s v="TA"/>
    <n v="6"/>
    <s v="Typ"/>
    <n v="0"/>
    <s v="NA"/>
    <s v="Attchd"/>
    <n v="1964"/>
    <s v="RFn"/>
    <n v="2"/>
    <n v="504"/>
    <s v="TA"/>
    <s v="Gd"/>
    <s v="Y"/>
    <n v="0"/>
    <n v="0"/>
    <n v="0"/>
    <n v="0"/>
    <n v="0"/>
    <n v="0"/>
    <s v="NA"/>
    <s v="MnPrv"/>
    <s v="NA"/>
    <n v="0"/>
    <n v="7"/>
    <n v="2008"/>
    <s v="WD"/>
    <s v="Normal"/>
    <n v="145000"/>
  </r>
  <r>
    <n v="211"/>
    <n v="30"/>
    <s v="RL"/>
    <n v="67"/>
    <n v="5604"/>
    <s v="Pave"/>
    <s v="NA"/>
    <s v="Reg"/>
    <s v="Lvl"/>
    <s v="AllPub"/>
    <s v="Inside"/>
    <s v="Gtl"/>
    <x v="15"/>
    <x v="0"/>
    <s v="Norm"/>
    <x v="0"/>
    <x v="1"/>
    <n v="5"/>
    <n v="6"/>
    <x v="82"/>
    <n v="1950"/>
    <s v="Gable"/>
    <s v="CompShg"/>
    <s v="Stucco"/>
    <s v="Stucco"/>
    <s v="None"/>
    <n v="0"/>
    <s v="TA"/>
    <s v="TA"/>
    <s v="CBlock"/>
    <s v="TA"/>
    <s v="TA"/>
    <s v="No"/>
    <s v="Rec"/>
    <n v="468"/>
    <s v="Unf"/>
    <n v="0"/>
    <n v="396"/>
    <n v="864"/>
    <s v="GasA"/>
    <s v="TA"/>
    <s v="N"/>
    <s v="FuseA"/>
    <n v="864"/>
    <n v="0"/>
    <n v="0"/>
    <x v="132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Y"/>
    <n v="0"/>
    <n v="0"/>
    <n v="96"/>
    <n v="0"/>
    <n v="0"/>
    <n v="0"/>
    <s v="NA"/>
    <s v="NA"/>
    <s v="NA"/>
    <n v="0"/>
    <n v="4"/>
    <n v="2008"/>
    <s v="WD"/>
    <s v="Normal"/>
    <n v="98000"/>
  </r>
  <r>
    <n v="212"/>
    <n v="20"/>
    <s v="RL"/>
    <n v="83"/>
    <n v="10420"/>
    <s v="Pave"/>
    <s v="NA"/>
    <s v="Reg"/>
    <s v="Lvl"/>
    <s v="AllPub"/>
    <s v="Corner"/>
    <s v="Gtl"/>
    <x v="15"/>
    <x v="0"/>
    <s v="Norm"/>
    <x v="0"/>
    <x v="1"/>
    <n v="6"/>
    <n v="5"/>
    <x v="51"/>
    <n v="2009"/>
    <s v="Gable"/>
    <s v="CompShg"/>
    <s v="VinylSd"/>
    <s v="VinylSd"/>
    <s v="None"/>
    <n v="0"/>
    <s v="TA"/>
    <s v="TA"/>
    <s v="PConc"/>
    <s v="Gd"/>
    <s v="TA"/>
    <s v="Mn"/>
    <s v="GLQ"/>
    <n v="36"/>
    <s v="Unf"/>
    <n v="0"/>
    <n v="1176"/>
    <n v="1212"/>
    <s v="GasA"/>
    <s v="Ex"/>
    <s v="Y"/>
    <s v="SBrkr"/>
    <n v="1212"/>
    <n v="0"/>
    <n v="0"/>
    <x v="188"/>
    <n v="0"/>
    <n v="0"/>
    <n v="2"/>
    <n v="0"/>
    <n v="3"/>
    <n v="1"/>
    <s v="Gd"/>
    <n v="6"/>
    <s v="Typ"/>
    <n v="0"/>
    <s v="NA"/>
    <s v="Attchd"/>
    <n v="2009"/>
    <s v="RFn"/>
    <n v="2"/>
    <n v="460"/>
    <s v="TA"/>
    <s v="TA"/>
    <s v="Y"/>
    <n v="100"/>
    <n v="22"/>
    <n v="0"/>
    <n v="0"/>
    <n v="0"/>
    <n v="0"/>
    <s v="NA"/>
    <s v="NA"/>
    <s v="NA"/>
    <n v="0"/>
    <n v="3"/>
    <n v="2010"/>
    <s v="WD"/>
    <s v="Normal"/>
    <n v="186000"/>
  </r>
  <r>
    <n v="213"/>
    <n v="60"/>
    <s v="FV"/>
    <n v="72"/>
    <n v="8640"/>
    <s v="Pave"/>
    <s v="NA"/>
    <s v="Reg"/>
    <s v="Lvl"/>
    <s v="AllPub"/>
    <s v="Inside"/>
    <s v="Gtl"/>
    <x v="5"/>
    <x v="0"/>
    <s v="Norm"/>
    <x v="0"/>
    <x v="0"/>
    <n v="7"/>
    <n v="5"/>
    <x v="51"/>
    <n v="2009"/>
    <s v="Gable"/>
    <s v="CompShg"/>
    <s v="VinylSd"/>
    <s v="VinylSd"/>
    <s v="None"/>
    <n v="0"/>
    <s v="TA"/>
    <s v="TA"/>
    <s v="PConc"/>
    <s v="Gd"/>
    <s v="TA"/>
    <s v="No"/>
    <s v="GLQ"/>
    <n v="822"/>
    <s v="Unf"/>
    <n v="0"/>
    <n v="78"/>
    <n v="900"/>
    <s v="GasA"/>
    <s v="Ex"/>
    <s v="Y"/>
    <s v="SBrkr"/>
    <n v="932"/>
    <n v="920"/>
    <n v="0"/>
    <x v="130"/>
    <n v="1"/>
    <n v="0"/>
    <n v="2"/>
    <n v="1"/>
    <n v="3"/>
    <n v="1"/>
    <s v="Gd"/>
    <n v="7"/>
    <s v="Typ"/>
    <n v="1"/>
    <s v="TA"/>
    <s v="Attchd"/>
    <n v="2009"/>
    <s v="RFn"/>
    <n v="2"/>
    <n v="644"/>
    <s v="TA"/>
    <s v="TA"/>
    <s v="Y"/>
    <n v="168"/>
    <n v="108"/>
    <n v="0"/>
    <n v="0"/>
    <n v="0"/>
    <n v="0"/>
    <s v="NA"/>
    <s v="NA"/>
    <s v="NA"/>
    <n v="0"/>
    <n v="7"/>
    <n v="2009"/>
    <s v="New"/>
    <s v="Partial"/>
    <n v="252678"/>
  </r>
  <r>
    <n v="214"/>
    <n v="20"/>
    <s v="RL"/>
    <n v="43"/>
    <n v="13568"/>
    <s v="Pave"/>
    <s v="NA"/>
    <s v="IR2"/>
    <s v="Lvl"/>
    <s v="AllPub"/>
    <s v="CulDSac"/>
    <s v="Gtl"/>
    <x v="0"/>
    <x v="0"/>
    <s v="Norm"/>
    <x v="0"/>
    <x v="1"/>
    <n v="5"/>
    <n v="5"/>
    <x v="49"/>
    <n v="1995"/>
    <s v="Gable"/>
    <s v="CompShg"/>
    <s v="VinylSd"/>
    <s v="VinylSd"/>
    <s v="None"/>
    <n v="0"/>
    <s v="TA"/>
    <s v="TA"/>
    <s v="PConc"/>
    <s v="Gd"/>
    <s v="TA"/>
    <s v="No"/>
    <s v="ALQ"/>
    <n v="716"/>
    <s v="Unf"/>
    <n v="0"/>
    <n v="274"/>
    <n v="990"/>
    <s v="GasA"/>
    <s v="Ex"/>
    <s v="Y"/>
    <s v="SBrkr"/>
    <n v="990"/>
    <n v="0"/>
    <n v="0"/>
    <x v="86"/>
    <n v="0"/>
    <n v="1"/>
    <n v="1"/>
    <n v="0"/>
    <n v="3"/>
    <n v="1"/>
    <s v="TA"/>
    <n v="5"/>
    <s v="Typ"/>
    <n v="0"/>
    <s v="NA"/>
    <s v="Attchd"/>
    <n v="1996"/>
    <s v="Unf"/>
    <n v="2"/>
    <n v="576"/>
    <s v="TA"/>
    <s v="TA"/>
    <s v="Y"/>
    <n v="224"/>
    <n v="0"/>
    <n v="0"/>
    <n v="0"/>
    <n v="0"/>
    <n v="0"/>
    <s v="NA"/>
    <s v="NA"/>
    <s v="NA"/>
    <n v="0"/>
    <n v="7"/>
    <n v="2006"/>
    <s v="WD"/>
    <s v="Normal"/>
    <n v="156000"/>
  </r>
  <r>
    <n v="215"/>
    <n v="60"/>
    <s v="RL"/>
    <s v="NA"/>
    <n v="10900"/>
    <s v="Pave"/>
    <s v="NA"/>
    <s v="IR1"/>
    <s v="Lvl"/>
    <s v="AllPub"/>
    <s v="FR2"/>
    <s v="Gtl"/>
    <x v="0"/>
    <x v="0"/>
    <s v="Norm"/>
    <x v="0"/>
    <x v="0"/>
    <n v="6"/>
    <n v="7"/>
    <x v="54"/>
    <n v="1977"/>
    <s v="Gable"/>
    <s v="CompShg"/>
    <s v="HdBoard"/>
    <s v="HdBoard"/>
    <s v="BrkFace"/>
    <n v="153"/>
    <s v="TA"/>
    <s v="TA"/>
    <s v="CBlock"/>
    <s v="Gd"/>
    <s v="TA"/>
    <s v="No"/>
    <s v="GLQ"/>
    <n v="378"/>
    <s v="Unf"/>
    <n v="0"/>
    <n v="311"/>
    <n v="689"/>
    <s v="GasA"/>
    <s v="Ex"/>
    <s v="Y"/>
    <s v="SBrkr"/>
    <n v="689"/>
    <n v="703"/>
    <n v="0"/>
    <x v="189"/>
    <n v="0"/>
    <n v="0"/>
    <n v="1"/>
    <n v="1"/>
    <n v="3"/>
    <n v="1"/>
    <s v="TA"/>
    <n v="6"/>
    <s v="Typ"/>
    <n v="0"/>
    <s v="NA"/>
    <s v="Attchd"/>
    <n v="1977"/>
    <s v="Fin"/>
    <n v="1"/>
    <n v="299"/>
    <s v="TA"/>
    <s v="TA"/>
    <s v="Y"/>
    <n v="0"/>
    <n v="36"/>
    <n v="0"/>
    <n v="0"/>
    <n v="0"/>
    <n v="0"/>
    <s v="NA"/>
    <s v="MnPrv"/>
    <s v="Shed"/>
    <n v="450"/>
    <n v="3"/>
    <n v="2010"/>
    <s v="WD"/>
    <s v="Normal"/>
    <n v="161750"/>
  </r>
  <r>
    <n v="216"/>
    <n v="20"/>
    <s v="RL"/>
    <n v="72"/>
    <n v="10011"/>
    <s v="Pave"/>
    <s v="NA"/>
    <s v="IR1"/>
    <s v="Lvl"/>
    <s v="AllPub"/>
    <s v="Inside"/>
    <s v="Gtl"/>
    <x v="11"/>
    <x v="0"/>
    <s v="Norm"/>
    <x v="0"/>
    <x v="1"/>
    <n v="5"/>
    <n v="6"/>
    <x v="24"/>
    <n v="1996"/>
    <s v="Gable"/>
    <s v="CompShg"/>
    <s v="HdBoard"/>
    <s v="HdBoard"/>
    <s v="BrkFace"/>
    <n v="64"/>
    <s v="TA"/>
    <s v="TA"/>
    <s v="CBlock"/>
    <s v="TA"/>
    <s v="TA"/>
    <s v="No"/>
    <s v="BLQ"/>
    <n v="360"/>
    <s v="Unf"/>
    <n v="0"/>
    <n v="710"/>
    <n v="1070"/>
    <s v="GasA"/>
    <s v="TA"/>
    <s v="Y"/>
    <s v="SBrkr"/>
    <n v="1236"/>
    <n v="0"/>
    <n v="0"/>
    <x v="190"/>
    <n v="0"/>
    <n v="1"/>
    <n v="1"/>
    <n v="0"/>
    <n v="2"/>
    <n v="1"/>
    <s v="Gd"/>
    <n v="6"/>
    <s v="Min1"/>
    <n v="1"/>
    <s v="Fa"/>
    <s v="Attchd"/>
    <n v="1957"/>
    <s v="Unf"/>
    <n v="1"/>
    <n v="447"/>
    <s v="TA"/>
    <s v="TA"/>
    <s v="Y"/>
    <n v="0"/>
    <n v="0"/>
    <n v="0"/>
    <n v="0"/>
    <n v="0"/>
    <n v="0"/>
    <s v="NA"/>
    <s v="MnPrv"/>
    <s v="NA"/>
    <n v="0"/>
    <n v="5"/>
    <n v="2006"/>
    <s v="WD"/>
    <s v="Normal"/>
    <n v="134450"/>
  </r>
  <r>
    <n v="217"/>
    <n v="20"/>
    <s v="RL"/>
    <n v="65"/>
    <n v="8450"/>
    <s v="Pave"/>
    <s v="NA"/>
    <s v="Reg"/>
    <s v="Lvl"/>
    <s v="AllPub"/>
    <s v="Inside"/>
    <s v="Gtl"/>
    <x v="0"/>
    <x v="0"/>
    <s v="Norm"/>
    <x v="0"/>
    <x v="1"/>
    <n v="7"/>
    <n v="5"/>
    <x v="6"/>
    <n v="2004"/>
    <s v="Gable"/>
    <s v="CompShg"/>
    <s v="VinylSd"/>
    <s v="VinylSd"/>
    <s v="BrkFace"/>
    <n v="266"/>
    <s v="Gd"/>
    <s v="TA"/>
    <s v="PConc"/>
    <s v="Gd"/>
    <s v="TA"/>
    <s v="Mn"/>
    <s v="GLQ"/>
    <n v="946"/>
    <s v="Unf"/>
    <n v="0"/>
    <n v="490"/>
    <n v="1436"/>
    <s v="GasA"/>
    <s v="Ex"/>
    <s v="Y"/>
    <s v="SBrkr"/>
    <n v="1436"/>
    <n v="0"/>
    <n v="0"/>
    <x v="191"/>
    <n v="1"/>
    <n v="0"/>
    <n v="2"/>
    <n v="0"/>
    <n v="3"/>
    <n v="1"/>
    <s v="Gd"/>
    <n v="8"/>
    <s v="Typ"/>
    <n v="0"/>
    <s v="NA"/>
    <s v="Attchd"/>
    <n v="2004"/>
    <s v="Unf"/>
    <n v="2"/>
    <n v="484"/>
    <s v="TA"/>
    <s v="TA"/>
    <s v="Y"/>
    <n v="139"/>
    <n v="98"/>
    <n v="0"/>
    <n v="0"/>
    <n v="0"/>
    <n v="0"/>
    <s v="NA"/>
    <s v="NA"/>
    <s v="NA"/>
    <n v="0"/>
    <n v="4"/>
    <n v="2008"/>
    <s v="WD"/>
    <s v="Normal"/>
    <n v="210000"/>
  </r>
  <r>
    <n v="218"/>
    <n v="70"/>
    <s v="RM"/>
    <n v="57"/>
    <n v="9906"/>
    <s v="Pave"/>
    <s v="Grvl"/>
    <s v="Reg"/>
    <s v="Lvl"/>
    <s v="AllPub"/>
    <s v="Inside"/>
    <s v="Gtl"/>
    <x v="7"/>
    <x v="0"/>
    <s v="Norm"/>
    <x v="0"/>
    <x v="0"/>
    <n v="4"/>
    <n v="4"/>
    <x v="82"/>
    <n v="195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686"/>
    <n v="686"/>
    <s v="GasA"/>
    <s v="Fa"/>
    <s v="N"/>
    <s v="SBrkr"/>
    <n v="810"/>
    <n v="518"/>
    <n v="0"/>
    <x v="39"/>
    <n v="0"/>
    <n v="0"/>
    <n v="1"/>
    <n v="0"/>
    <n v="3"/>
    <n v="1"/>
    <s v="TA"/>
    <n v="8"/>
    <s v="Typ"/>
    <n v="0"/>
    <s v="NA"/>
    <s v="Detchd"/>
    <n v="1940"/>
    <s v="Unf"/>
    <n v="1"/>
    <n v="210"/>
    <s v="TA"/>
    <s v="TA"/>
    <s v="Y"/>
    <n v="0"/>
    <n v="172"/>
    <n v="60"/>
    <n v="0"/>
    <n v="0"/>
    <n v="0"/>
    <s v="NA"/>
    <s v="NA"/>
    <s v="NA"/>
    <n v="0"/>
    <n v="9"/>
    <n v="2006"/>
    <s v="WD"/>
    <s v="Family"/>
    <n v="107000"/>
  </r>
  <r>
    <n v="219"/>
    <n v="50"/>
    <s v="RL"/>
    <s v="NA"/>
    <n v="15660"/>
    <s v="Pave"/>
    <s v="NA"/>
    <s v="IR1"/>
    <s v="Lvl"/>
    <s v="AllPub"/>
    <s v="Corner"/>
    <s v="Gtl"/>
    <x v="2"/>
    <x v="0"/>
    <s v="Norm"/>
    <x v="0"/>
    <x v="2"/>
    <n v="7"/>
    <n v="9"/>
    <x v="9"/>
    <n v="2006"/>
    <s v="Gable"/>
    <s v="CompShg"/>
    <s v="VinylSd"/>
    <s v="VinylSd"/>
    <s v="BrkFace"/>
    <n v="312"/>
    <s v="Gd"/>
    <s v="Gd"/>
    <s v="CBlock"/>
    <s v="TA"/>
    <s v="TA"/>
    <s v="No"/>
    <s v="BLQ"/>
    <n v="341"/>
    <s v="Unf"/>
    <n v="0"/>
    <n v="457"/>
    <n v="798"/>
    <s v="GasA"/>
    <s v="Ex"/>
    <s v="Y"/>
    <s v="SBrkr"/>
    <n v="1137"/>
    <n v="817"/>
    <n v="0"/>
    <x v="192"/>
    <n v="0"/>
    <n v="1"/>
    <n v="1"/>
    <n v="1"/>
    <n v="3"/>
    <n v="1"/>
    <s v="Gd"/>
    <n v="8"/>
    <s v="Typ"/>
    <n v="2"/>
    <s v="TA"/>
    <s v="Attchd"/>
    <n v="1939"/>
    <s v="Unf"/>
    <n v="2"/>
    <n v="431"/>
    <s v="TA"/>
    <s v="TA"/>
    <s v="Y"/>
    <n v="0"/>
    <n v="119"/>
    <n v="150"/>
    <n v="0"/>
    <n v="0"/>
    <n v="0"/>
    <s v="NA"/>
    <s v="NA"/>
    <s v="NA"/>
    <n v="0"/>
    <n v="5"/>
    <n v="2008"/>
    <s v="WD"/>
    <s v="Normal"/>
    <n v="311500"/>
  </r>
  <r>
    <n v="220"/>
    <n v="120"/>
    <s v="RL"/>
    <n v="43"/>
    <n v="3010"/>
    <s v="Pave"/>
    <s v="NA"/>
    <s v="Reg"/>
    <s v="Lvl"/>
    <s v="AllPub"/>
    <s v="Inside"/>
    <s v="Gtl"/>
    <x v="21"/>
    <x v="0"/>
    <s v="Norm"/>
    <x v="3"/>
    <x v="1"/>
    <n v="7"/>
    <n v="5"/>
    <x v="11"/>
    <n v="2006"/>
    <s v="Gable"/>
    <s v="CompShg"/>
    <s v="VinylSd"/>
    <s v="VinylSd"/>
    <s v="BrkFace"/>
    <n v="16"/>
    <s v="Gd"/>
    <s v="TA"/>
    <s v="PConc"/>
    <s v="Gd"/>
    <s v="TA"/>
    <s v="Av"/>
    <s v="GLQ"/>
    <n v="16"/>
    <s v="Unf"/>
    <n v="0"/>
    <n v="1232"/>
    <n v="1248"/>
    <s v="GasA"/>
    <s v="Ex"/>
    <s v="Y"/>
    <s v="SBrkr"/>
    <n v="1248"/>
    <n v="0"/>
    <n v="0"/>
    <x v="193"/>
    <n v="0"/>
    <n v="0"/>
    <n v="2"/>
    <n v="0"/>
    <n v="2"/>
    <n v="1"/>
    <s v="Gd"/>
    <n v="5"/>
    <s v="Typ"/>
    <n v="0"/>
    <s v="NA"/>
    <s v="Attchd"/>
    <n v="2005"/>
    <s v="Fin"/>
    <n v="2"/>
    <n v="438"/>
    <s v="TA"/>
    <s v="TA"/>
    <s v="Y"/>
    <n v="108"/>
    <n v="0"/>
    <n v="0"/>
    <n v="0"/>
    <n v="0"/>
    <n v="0"/>
    <s v="NA"/>
    <s v="NA"/>
    <s v="NA"/>
    <n v="0"/>
    <n v="3"/>
    <n v="2006"/>
    <s v="New"/>
    <s v="Partial"/>
    <n v="167240"/>
  </r>
  <r>
    <n v="221"/>
    <n v="20"/>
    <s v="RL"/>
    <n v="73"/>
    <n v="8990"/>
    <s v="Pave"/>
    <s v="NA"/>
    <s v="IR1"/>
    <s v="Lvl"/>
    <s v="AllPub"/>
    <s v="Inside"/>
    <s v="Gtl"/>
    <x v="0"/>
    <x v="0"/>
    <s v="Norm"/>
    <x v="0"/>
    <x v="1"/>
    <n v="7"/>
    <n v="5"/>
    <x v="13"/>
    <n v="2006"/>
    <s v="Gable"/>
    <s v="CompShg"/>
    <s v="VinylSd"/>
    <s v="VinylSd"/>
    <s v="None"/>
    <n v="0"/>
    <s v="Gd"/>
    <s v="TA"/>
    <s v="PConc"/>
    <s v="Gd"/>
    <s v="TA"/>
    <s v="Mn"/>
    <s v="Unf"/>
    <n v="0"/>
    <s v="Unf"/>
    <n v="0"/>
    <n v="1498"/>
    <n v="1498"/>
    <s v="GasA"/>
    <s v="Ex"/>
    <s v="Y"/>
    <s v="SBrkr"/>
    <n v="1498"/>
    <n v="0"/>
    <n v="0"/>
    <x v="194"/>
    <n v="0"/>
    <n v="0"/>
    <n v="2"/>
    <n v="0"/>
    <n v="2"/>
    <n v="1"/>
    <s v="Gd"/>
    <n v="5"/>
    <s v="Typ"/>
    <n v="0"/>
    <s v="NA"/>
    <s v="Attchd"/>
    <n v="2006"/>
    <s v="RFn"/>
    <n v="2"/>
    <n v="675"/>
    <s v="TA"/>
    <s v="TA"/>
    <s v="Y"/>
    <n v="351"/>
    <n v="33"/>
    <n v="0"/>
    <n v="0"/>
    <n v="0"/>
    <n v="0"/>
    <s v="NA"/>
    <s v="NA"/>
    <s v="NA"/>
    <n v="0"/>
    <n v="4"/>
    <n v="2006"/>
    <s v="New"/>
    <s v="Partial"/>
    <n v="204900"/>
  </r>
  <r>
    <n v="222"/>
    <n v="60"/>
    <s v="RL"/>
    <s v="NA"/>
    <n v="8068"/>
    <s v="Pave"/>
    <s v="NA"/>
    <s v="IR1"/>
    <s v="Lvl"/>
    <s v="AllPub"/>
    <s v="Inside"/>
    <s v="Gtl"/>
    <x v="17"/>
    <x v="0"/>
    <s v="Norm"/>
    <x v="0"/>
    <x v="0"/>
    <n v="6"/>
    <n v="5"/>
    <x v="20"/>
    <n v="2002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010"/>
    <n v="1010"/>
    <s v="GasA"/>
    <s v="Ex"/>
    <s v="Y"/>
    <s v="SBrkr"/>
    <n v="1010"/>
    <n v="1257"/>
    <n v="0"/>
    <x v="195"/>
    <n v="0"/>
    <n v="0"/>
    <n v="2"/>
    <n v="1"/>
    <n v="4"/>
    <n v="1"/>
    <s v="Gd"/>
    <n v="8"/>
    <s v="Typ"/>
    <n v="1"/>
    <s v="TA"/>
    <s v="BuiltIn"/>
    <n v="2002"/>
    <s v="RFn"/>
    <n v="2"/>
    <n v="390"/>
    <s v="TA"/>
    <s v="TA"/>
    <s v="Y"/>
    <n v="120"/>
    <n v="46"/>
    <n v="0"/>
    <n v="0"/>
    <n v="0"/>
    <n v="0"/>
    <s v="NA"/>
    <s v="NA"/>
    <s v="NA"/>
    <n v="0"/>
    <n v="12"/>
    <n v="2009"/>
    <s v="ConLI"/>
    <s v="Normal"/>
    <n v="200000"/>
  </r>
  <r>
    <n v="223"/>
    <n v="60"/>
    <s v="RL"/>
    <n v="85"/>
    <n v="11475"/>
    <s v="Pave"/>
    <s v="NA"/>
    <s v="Reg"/>
    <s v="Lvl"/>
    <s v="AllPub"/>
    <s v="Inside"/>
    <s v="Gtl"/>
    <x v="6"/>
    <x v="6"/>
    <s v="Norm"/>
    <x v="0"/>
    <x v="0"/>
    <n v="6"/>
    <n v="6"/>
    <x v="34"/>
    <n v="1975"/>
    <s v="Gable"/>
    <s v="CompShg"/>
    <s v="VinylSd"/>
    <s v="VinylSd"/>
    <s v="None"/>
    <n v="0"/>
    <s v="TA"/>
    <s v="TA"/>
    <s v="CBlock"/>
    <s v="Gd"/>
    <s v="TA"/>
    <s v="No"/>
    <s v="ALQ"/>
    <n v="550"/>
    <s v="Unf"/>
    <n v="0"/>
    <n v="163"/>
    <n v="713"/>
    <s v="GasA"/>
    <s v="TA"/>
    <s v="Y"/>
    <s v="SBrkr"/>
    <n v="811"/>
    <n v="741"/>
    <n v="0"/>
    <x v="196"/>
    <n v="1"/>
    <n v="0"/>
    <n v="2"/>
    <n v="1"/>
    <n v="3"/>
    <n v="1"/>
    <s v="TA"/>
    <n v="6"/>
    <s v="Typ"/>
    <n v="1"/>
    <s v="TA"/>
    <s v="Attchd"/>
    <n v="1975"/>
    <s v="RFn"/>
    <n v="2"/>
    <n v="434"/>
    <s v="TA"/>
    <s v="TA"/>
    <s v="Y"/>
    <n v="209"/>
    <n v="208"/>
    <n v="0"/>
    <n v="0"/>
    <n v="0"/>
    <n v="0"/>
    <s v="NA"/>
    <s v="MnPrv"/>
    <s v="NA"/>
    <n v="0"/>
    <n v="2"/>
    <n v="2006"/>
    <s v="WD"/>
    <s v="Normal"/>
    <n v="179900"/>
  </r>
  <r>
    <n v="224"/>
    <n v="20"/>
    <s v="RL"/>
    <n v="70"/>
    <n v="10500"/>
    <s v="Pave"/>
    <s v="NA"/>
    <s v="Reg"/>
    <s v="Lvl"/>
    <s v="AllPub"/>
    <s v="FR2"/>
    <s v="Gtl"/>
    <x v="11"/>
    <x v="0"/>
    <s v="Norm"/>
    <x v="0"/>
    <x v="1"/>
    <n v="4"/>
    <n v="6"/>
    <x v="63"/>
    <n v="1971"/>
    <s v="Gable"/>
    <s v="CompShg"/>
    <s v="HdBoard"/>
    <s v="HdBoard"/>
    <s v="None"/>
    <n v="0"/>
    <s v="TA"/>
    <s v="TA"/>
    <s v="CBlock"/>
    <s v="TA"/>
    <s v="TA"/>
    <s v="No"/>
    <s v="ALQ"/>
    <n v="524"/>
    <s v="LwQ"/>
    <n v="180"/>
    <n v="160"/>
    <n v="864"/>
    <s v="GasA"/>
    <s v="Gd"/>
    <s v="Y"/>
    <s v="SBrkr"/>
    <n v="864"/>
    <n v="0"/>
    <n v="0"/>
    <x v="132"/>
    <n v="0"/>
    <n v="0"/>
    <n v="1"/>
    <n v="0"/>
    <n v="2"/>
    <n v="1"/>
    <s v="TA"/>
    <n v="4"/>
    <s v="Typ"/>
    <n v="0"/>
    <s v="NA"/>
    <s v="Detchd"/>
    <n v="1989"/>
    <s v="Unf"/>
    <n v="2"/>
    <n v="576"/>
    <s v="TA"/>
    <s v="TA"/>
    <s v="Y"/>
    <n v="216"/>
    <n v="0"/>
    <n v="0"/>
    <n v="0"/>
    <n v="0"/>
    <n v="0"/>
    <s v="NA"/>
    <s v="NA"/>
    <s v="NA"/>
    <n v="0"/>
    <n v="3"/>
    <n v="2009"/>
    <s v="WD"/>
    <s v="Abnorml"/>
    <n v="97000"/>
  </r>
  <r>
    <n v="225"/>
    <n v="20"/>
    <s v="RL"/>
    <n v="103"/>
    <n v="13472"/>
    <s v="Pave"/>
    <s v="NA"/>
    <s v="Reg"/>
    <s v="Lvl"/>
    <s v="AllPub"/>
    <s v="Inside"/>
    <s v="Gtl"/>
    <x v="10"/>
    <x v="0"/>
    <s v="Norm"/>
    <x v="0"/>
    <x v="1"/>
    <n v="10"/>
    <n v="5"/>
    <x v="0"/>
    <n v="2003"/>
    <s v="Hip"/>
    <s v="CompShg"/>
    <s v="VinylSd"/>
    <s v="VinylSd"/>
    <s v="BrkFace"/>
    <n v="922"/>
    <s v="Ex"/>
    <s v="TA"/>
    <s v="PConc"/>
    <s v="Ex"/>
    <s v="TA"/>
    <s v="Gd"/>
    <s v="GLQ"/>
    <n v="56"/>
    <s v="Unf"/>
    <n v="0"/>
    <n v="2336"/>
    <n v="2392"/>
    <s v="GasA"/>
    <s v="Ex"/>
    <s v="Y"/>
    <s v="SBrkr"/>
    <n v="2392"/>
    <n v="0"/>
    <n v="0"/>
    <x v="197"/>
    <n v="0"/>
    <n v="0"/>
    <n v="2"/>
    <n v="0"/>
    <n v="3"/>
    <n v="1"/>
    <s v="Ex"/>
    <n v="8"/>
    <s v="Typ"/>
    <n v="1"/>
    <s v="Ex"/>
    <s v="Attchd"/>
    <n v="2003"/>
    <s v="Fin"/>
    <n v="3"/>
    <n v="968"/>
    <s v="TA"/>
    <s v="TA"/>
    <s v="Y"/>
    <n v="248"/>
    <n v="105"/>
    <n v="0"/>
    <n v="0"/>
    <n v="0"/>
    <n v="0"/>
    <s v="NA"/>
    <s v="NA"/>
    <s v="NA"/>
    <n v="0"/>
    <n v="6"/>
    <n v="2009"/>
    <s v="WD"/>
    <s v="Normal"/>
    <n v="386250"/>
  </r>
  <r>
    <n v="226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5"/>
    <n v="5"/>
    <x v="63"/>
    <n v="1971"/>
    <s v="Gable"/>
    <s v="CompShg"/>
    <s v="HdBoard"/>
    <s v="HdBoard"/>
    <s v="BrkFace"/>
    <n v="142"/>
    <s v="TA"/>
    <s v="TA"/>
    <s v="CBlock"/>
    <s v="TA"/>
    <s v="TA"/>
    <s v="No"/>
    <s v="Unf"/>
    <n v="0"/>
    <s v="Unf"/>
    <n v="0"/>
    <n v="630"/>
    <n v="630"/>
    <s v="GasA"/>
    <s v="TA"/>
    <s v="Y"/>
    <s v="SBrkr"/>
    <n v="630"/>
    <n v="672"/>
    <n v="0"/>
    <x v="198"/>
    <n v="0"/>
    <n v="0"/>
    <n v="2"/>
    <n v="1"/>
    <n v="3"/>
    <n v="1"/>
    <s v="TA"/>
    <n v="6"/>
    <s v="Typ"/>
    <n v="0"/>
    <s v="NA"/>
    <s v="Detchd"/>
    <n v="1991"/>
    <s v="Unf"/>
    <n v="1"/>
    <n v="280"/>
    <s v="TA"/>
    <s v="TA"/>
    <s v="Y"/>
    <n v="0"/>
    <n v="0"/>
    <n v="0"/>
    <n v="0"/>
    <n v="0"/>
    <n v="0"/>
    <s v="NA"/>
    <s v="NA"/>
    <s v="NA"/>
    <n v="0"/>
    <n v="5"/>
    <n v="2009"/>
    <s v="COD"/>
    <s v="Abnorml"/>
    <n v="112000"/>
  </r>
  <r>
    <n v="227"/>
    <n v="60"/>
    <s v="RL"/>
    <n v="82"/>
    <n v="9950"/>
    <s v="Pave"/>
    <s v="NA"/>
    <s v="IR1"/>
    <s v="Lvl"/>
    <s v="AllPub"/>
    <s v="Inside"/>
    <s v="Gtl"/>
    <x v="3"/>
    <x v="0"/>
    <s v="Norm"/>
    <x v="0"/>
    <x v="0"/>
    <n v="7"/>
    <n v="5"/>
    <x v="49"/>
    <n v="1995"/>
    <s v="Gable"/>
    <s v="CompShg"/>
    <s v="VinylSd"/>
    <s v="VinylSd"/>
    <s v="BrkFace"/>
    <n v="290"/>
    <s v="Gd"/>
    <s v="TA"/>
    <s v="PConc"/>
    <s v="Gd"/>
    <s v="TA"/>
    <s v="No"/>
    <s v="GLQ"/>
    <n v="565"/>
    <s v="Unf"/>
    <n v="0"/>
    <n v="638"/>
    <n v="1203"/>
    <s v="GasA"/>
    <s v="Ex"/>
    <s v="Y"/>
    <s v="SBrkr"/>
    <n v="1214"/>
    <n v="1306"/>
    <n v="0"/>
    <x v="199"/>
    <n v="0"/>
    <n v="0"/>
    <n v="2"/>
    <n v="1"/>
    <n v="4"/>
    <n v="1"/>
    <s v="Gd"/>
    <n v="9"/>
    <s v="Typ"/>
    <n v="1"/>
    <s v="TA"/>
    <s v="Attchd"/>
    <n v="1995"/>
    <s v="RFn"/>
    <n v="3"/>
    <n v="721"/>
    <s v="TA"/>
    <s v="TA"/>
    <s v="Y"/>
    <n v="224"/>
    <n v="114"/>
    <n v="0"/>
    <n v="0"/>
    <n v="0"/>
    <n v="0"/>
    <s v="NA"/>
    <s v="NA"/>
    <s v="NA"/>
    <n v="0"/>
    <n v="6"/>
    <n v="2007"/>
    <s v="WD"/>
    <s v="Abnorml"/>
    <n v="290000"/>
  </r>
  <r>
    <n v="228"/>
    <n v="160"/>
    <s v="RM"/>
    <n v="21"/>
    <n v="1869"/>
    <s v="Pave"/>
    <s v="NA"/>
    <s v="Reg"/>
    <s v="Lvl"/>
    <s v="AllPub"/>
    <s v="Inside"/>
    <s v="Gtl"/>
    <x v="22"/>
    <x v="0"/>
    <s v="Norm"/>
    <x v="4"/>
    <x v="0"/>
    <n v="6"/>
    <n v="6"/>
    <x v="16"/>
    <n v="1970"/>
    <s v="Gable"/>
    <s v="CompShg"/>
    <s v="HdBoard"/>
    <s v="HdBoard"/>
    <s v="BrkFace"/>
    <n v="127"/>
    <s v="TA"/>
    <s v="TA"/>
    <s v="CBlock"/>
    <s v="TA"/>
    <s v="TA"/>
    <s v="No"/>
    <s v="Rec"/>
    <n v="321"/>
    <s v="Unf"/>
    <n v="0"/>
    <n v="162"/>
    <n v="483"/>
    <s v="GasA"/>
    <s v="TA"/>
    <s v="Y"/>
    <s v="SBrkr"/>
    <n v="483"/>
    <n v="504"/>
    <n v="0"/>
    <x v="200"/>
    <n v="0"/>
    <n v="0"/>
    <n v="1"/>
    <n v="1"/>
    <n v="2"/>
    <n v="1"/>
    <s v="TA"/>
    <n v="5"/>
    <s v="Typ"/>
    <n v="0"/>
    <s v="NA"/>
    <s v="Detchd"/>
    <n v="1987"/>
    <s v="Unf"/>
    <n v="1"/>
    <n v="280"/>
    <s v="TA"/>
    <s v="TA"/>
    <s v="Y"/>
    <n v="0"/>
    <n v="0"/>
    <n v="0"/>
    <n v="0"/>
    <n v="0"/>
    <n v="0"/>
    <s v="NA"/>
    <s v="NA"/>
    <s v="NA"/>
    <n v="0"/>
    <n v="9"/>
    <n v="2008"/>
    <s v="WD"/>
    <s v="Normal"/>
    <n v="106000"/>
  </r>
  <r>
    <n v="229"/>
    <n v="20"/>
    <s v="RL"/>
    <n v="70"/>
    <n v="8521"/>
    <s v="Pave"/>
    <s v="NA"/>
    <s v="Reg"/>
    <s v="Lvl"/>
    <s v="AllPub"/>
    <s v="FR2"/>
    <s v="Gtl"/>
    <x v="9"/>
    <x v="1"/>
    <s v="Norm"/>
    <x v="0"/>
    <x v="1"/>
    <n v="5"/>
    <n v="5"/>
    <x v="17"/>
    <n v="1967"/>
    <s v="Gable"/>
    <s v="CompShg"/>
    <s v="HdBoard"/>
    <s v="HdBoard"/>
    <s v="None"/>
    <n v="0"/>
    <s v="TA"/>
    <s v="TA"/>
    <s v="CBlock"/>
    <s v="TA"/>
    <s v="TA"/>
    <s v="No"/>
    <s v="ALQ"/>
    <n v="842"/>
    <s v="Unf"/>
    <n v="0"/>
    <n v="70"/>
    <n v="912"/>
    <s v="GasA"/>
    <s v="TA"/>
    <s v="Y"/>
    <s v="SBrkr"/>
    <n v="912"/>
    <n v="0"/>
    <n v="0"/>
    <x v="12"/>
    <n v="0"/>
    <n v="0"/>
    <n v="1"/>
    <n v="0"/>
    <n v="3"/>
    <n v="1"/>
    <s v="TA"/>
    <n v="5"/>
    <s v="Typ"/>
    <n v="1"/>
    <s v="Fa"/>
    <s v="Detchd"/>
    <n v="1974"/>
    <s v="Unf"/>
    <n v="1"/>
    <n v="336"/>
    <s v="TA"/>
    <s v="TA"/>
    <s v="Y"/>
    <n v="0"/>
    <n v="0"/>
    <n v="0"/>
    <n v="0"/>
    <n v="0"/>
    <n v="0"/>
    <s v="NA"/>
    <s v="MnPrv"/>
    <s v="NA"/>
    <n v="0"/>
    <n v="5"/>
    <n v="2010"/>
    <s v="WD"/>
    <s v="Normal"/>
    <n v="125000"/>
  </r>
  <r>
    <n v="230"/>
    <n v="120"/>
    <s v="RL"/>
    <n v="43"/>
    <n v="3182"/>
    <s v="Pave"/>
    <s v="NA"/>
    <s v="Reg"/>
    <s v="Lvl"/>
    <s v="AllPub"/>
    <s v="Inside"/>
    <s v="Gtl"/>
    <x v="21"/>
    <x v="0"/>
    <s v="Norm"/>
    <x v="3"/>
    <x v="1"/>
    <n v="7"/>
    <n v="5"/>
    <x v="11"/>
    <n v="2006"/>
    <s v="Gable"/>
    <s v="CompShg"/>
    <s v="VinylSd"/>
    <s v="VinylSd"/>
    <s v="BrkFace"/>
    <n v="16"/>
    <s v="Gd"/>
    <s v="TA"/>
    <s v="PConc"/>
    <s v="Gd"/>
    <s v="TA"/>
    <s v="Av"/>
    <s v="GLQ"/>
    <n v="16"/>
    <s v="Unf"/>
    <n v="0"/>
    <n v="1357"/>
    <n v="1373"/>
    <s v="GasA"/>
    <s v="Ex"/>
    <s v="Y"/>
    <s v="SBrkr"/>
    <n v="1555"/>
    <n v="0"/>
    <n v="0"/>
    <x v="201"/>
    <n v="0"/>
    <n v="0"/>
    <n v="2"/>
    <n v="0"/>
    <n v="2"/>
    <n v="1"/>
    <s v="Gd"/>
    <n v="7"/>
    <s v="Typ"/>
    <n v="1"/>
    <s v="TA"/>
    <s v="Attchd"/>
    <n v="2005"/>
    <s v="Fin"/>
    <n v="2"/>
    <n v="430"/>
    <s v="TA"/>
    <s v="TA"/>
    <s v="Y"/>
    <n v="143"/>
    <n v="20"/>
    <n v="0"/>
    <n v="0"/>
    <n v="0"/>
    <n v="0"/>
    <s v="NA"/>
    <s v="NA"/>
    <s v="NA"/>
    <n v="0"/>
    <n v="5"/>
    <n v="2009"/>
    <s v="WD"/>
    <s v="Normal"/>
    <n v="192500"/>
  </r>
  <r>
    <n v="231"/>
    <n v="20"/>
    <s v="RL"/>
    <n v="73"/>
    <n v="8760"/>
    <s v="Pave"/>
    <s v="NA"/>
    <s v="Reg"/>
    <s v="Lvl"/>
    <s v="AllPub"/>
    <s v="Inside"/>
    <s v="Gtl"/>
    <x v="11"/>
    <x v="0"/>
    <s v="Norm"/>
    <x v="0"/>
    <x v="1"/>
    <n v="6"/>
    <n v="6"/>
    <x v="28"/>
    <n v="1959"/>
    <s v="Hip"/>
    <s v="CompShg"/>
    <s v="MetalSd"/>
    <s v="MetalSd"/>
    <s v="BrkFace"/>
    <n v="220"/>
    <s v="TA"/>
    <s v="TA"/>
    <s v="CBlock"/>
    <s v="TA"/>
    <s v="TA"/>
    <s v="No"/>
    <s v="Unf"/>
    <n v="0"/>
    <s v="Unf"/>
    <n v="0"/>
    <n v="1194"/>
    <n v="1194"/>
    <s v="GasA"/>
    <s v="TA"/>
    <s v="Y"/>
    <s v="SBrkr"/>
    <n v="1194"/>
    <n v="0"/>
    <n v="0"/>
    <x v="202"/>
    <n v="1"/>
    <n v="0"/>
    <n v="1"/>
    <n v="0"/>
    <n v="3"/>
    <n v="1"/>
    <s v="TA"/>
    <n v="6"/>
    <s v="Typ"/>
    <n v="0"/>
    <s v="NA"/>
    <s v="Attchd"/>
    <n v="1959"/>
    <s v="RFn"/>
    <n v="1"/>
    <n v="312"/>
    <s v="TA"/>
    <s v="TA"/>
    <s v="Y"/>
    <n v="0"/>
    <n v="0"/>
    <n v="120"/>
    <n v="0"/>
    <n v="0"/>
    <n v="0"/>
    <s v="NA"/>
    <s v="NA"/>
    <s v="NA"/>
    <n v="0"/>
    <n v="4"/>
    <n v="2010"/>
    <s v="WD"/>
    <s v="Normal"/>
    <n v="148000"/>
  </r>
  <r>
    <n v="232"/>
    <n v="60"/>
    <s v="RL"/>
    <n v="174"/>
    <n v="15138"/>
    <s v="Pave"/>
    <s v="NA"/>
    <s v="IR1"/>
    <s v="Lvl"/>
    <s v="AllPub"/>
    <s v="Inside"/>
    <s v="Gtl"/>
    <x v="3"/>
    <x v="0"/>
    <s v="Norm"/>
    <x v="0"/>
    <x v="0"/>
    <n v="8"/>
    <n v="5"/>
    <x v="49"/>
    <n v="1996"/>
    <s v="Gable"/>
    <s v="CompShg"/>
    <s v="VinylSd"/>
    <s v="VinylSd"/>
    <s v="BrkFace"/>
    <n v="506"/>
    <s v="Gd"/>
    <s v="TA"/>
    <s v="PConc"/>
    <s v="Gd"/>
    <s v="TA"/>
    <s v="No"/>
    <s v="GLQ"/>
    <n v="689"/>
    <s v="Unf"/>
    <n v="0"/>
    <n v="773"/>
    <n v="1462"/>
    <s v="GasA"/>
    <s v="Ex"/>
    <s v="Y"/>
    <s v="SBrkr"/>
    <n v="1490"/>
    <n v="1304"/>
    <n v="0"/>
    <x v="203"/>
    <n v="1"/>
    <n v="0"/>
    <n v="2"/>
    <n v="1"/>
    <n v="4"/>
    <n v="1"/>
    <s v="Ex"/>
    <n v="9"/>
    <s v="Typ"/>
    <n v="1"/>
    <s v="TA"/>
    <s v="Attchd"/>
    <n v="1995"/>
    <s v="Fin"/>
    <n v="3"/>
    <n v="810"/>
    <s v="TA"/>
    <s v="TA"/>
    <s v="Y"/>
    <n v="0"/>
    <n v="146"/>
    <n v="202"/>
    <n v="0"/>
    <n v="0"/>
    <n v="0"/>
    <s v="NA"/>
    <s v="NA"/>
    <s v="NA"/>
    <n v="0"/>
    <n v="7"/>
    <n v="2009"/>
    <s v="WD"/>
    <s v="Normal"/>
    <n v="403000"/>
  </r>
  <r>
    <n v="233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6"/>
    <n v="5"/>
    <x v="41"/>
    <n v="1972"/>
    <s v="Gable"/>
    <s v="CompShg"/>
    <s v="HdBoard"/>
    <s v="HdBoard"/>
    <s v="BrkFace"/>
    <n v="297"/>
    <s v="TA"/>
    <s v="TA"/>
    <s v="CBlock"/>
    <s v="TA"/>
    <s v="TA"/>
    <s v="No"/>
    <s v="Unf"/>
    <n v="0"/>
    <s v="Unf"/>
    <n v="0"/>
    <n v="483"/>
    <n v="483"/>
    <s v="GasA"/>
    <s v="TA"/>
    <s v="Y"/>
    <s v="SBrkr"/>
    <n v="483"/>
    <n v="504"/>
    <n v="0"/>
    <x v="200"/>
    <n v="0"/>
    <n v="0"/>
    <n v="1"/>
    <n v="1"/>
    <n v="2"/>
    <n v="1"/>
    <s v="TA"/>
    <n v="5"/>
    <s v="Typ"/>
    <n v="1"/>
    <s v="Po"/>
    <s v="Attchd"/>
    <n v="1972"/>
    <s v="Unf"/>
    <n v="1"/>
    <n v="288"/>
    <s v="TA"/>
    <s v="TA"/>
    <s v="Y"/>
    <n v="0"/>
    <n v="0"/>
    <n v="0"/>
    <n v="0"/>
    <n v="0"/>
    <n v="0"/>
    <s v="NA"/>
    <s v="NA"/>
    <s v="NA"/>
    <n v="0"/>
    <n v="6"/>
    <n v="2006"/>
    <s v="WD"/>
    <s v="Normal"/>
    <n v="94500"/>
  </r>
  <r>
    <n v="234"/>
    <n v="20"/>
    <s v="RL"/>
    <n v="75"/>
    <n v="10650"/>
    <s v="Pave"/>
    <s v="NA"/>
    <s v="Reg"/>
    <s v="Lvl"/>
    <s v="AllPub"/>
    <s v="Corner"/>
    <s v="Gtl"/>
    <x v="0"/>
    <x v="0"/>
    <s v="Norm"/>
    <x v="0"/>
    <x v="1"/>
    <n v="5"/>
    <n v="6"/>
    <x v="1"/>
    <n v="1976"/>
    <s v="Gable"/>
    <s v="CompShg"/>
    <s v="HdBoard"/>
    <s v="HdBoard"/>
    <s v="None"/>
    <n v="0"/>
    <s v="TA"/>
    <s v="TA"/>
    <s v="CBlock"/>
    <s v="TA"/>
    <s v="Gd"/>
    <s v="Av"/>
    <s v="LwQ"/>
    <n v="182"/>
    <s v="ALQ"/>
    <n v="712"/>
    <n v="0"/>
    <n v="894"/>
    <s v="GasA"/>
    <s v="TA"/>
    <s v="Y"/>
    <s v="SBrkr"/>
    <n v="894"/>
    <n v="0"/>
    <n v="0"/>
    <x v="204"/>
    <n v="1"/>
    <n v="0"/>
    <n v="1"/>
    <n v="0"/>
    <n v="3"/>
    <n v="1"/>
    <s v="TA"/>
    <n v="5"/>
    <s v="Typ"/>
    <n v="0"/>
    <s v="NA"/>
    <s v="Attchd"/>
    <n v="1976"/>
    <s v="Unf"/>
    <n v="1"/>
    <n v="308"/>
    <s v="TA"/>
    <s v="TA"/>
    <s v="Y"/>
    <n v="365"/>
    <n v="0"/>
    <n v="0"/>
    <n v="0"/>
    <n v="0"/>
    <n v="0"/>
    <s v="NA"/>
    <s v="MnPrv"/>
    <s v="NA"/>
    <n v="0"/>
    <n v="2"/>
    <n v="2010"/>
    <s v="WD"/>
    <s v="Normal"/>
    <n v="128200"/>
  </r>
  <r>
    <n v="235"/>
    <n v="60"/>
    <s v="RL"/>
    <s v="NA"/>
    <n v="7851"/>
    <s v="Pave"/>
    <s v="NA"/>
    <s v="Reg"/>
    <s v="Lvl"/>
    <s v="AllPub"/>
    <s v="Inside"/>
    <s v="Gtl"/>
    <x v="17"/>
    <x v="0"/>
    <s v="Norm"/>
    <x v="0"/>
    <x v="0"/>
    <n v="6"/>
    <n v="5"/>
    <x v="20"/>
    <n v="2002"/>
    <s v="Gable"/>
    <s v="CompShg"/>
    <s v="VinylSd"/>
    <s v="VinylSd"/>
    <s v="NA"/>
    <s v="NA"/>
    <s v="Gd"/>
    <s v="TA"/>
    <s v="PConc"/>
    <s v="Gd"/>
    <s v="TA"/>
    <s v="No"/>
    <s v="GLQ"/>
    <n v="625"/>
    <s v="Unf"/>
    <n v="0"/>
    <n v="235"/>
    <n v="860"/>
    <s v="GasA"/>
    <s v="Ex"/>
    <s v="Y"/>
    <s v="SBrkr"/>
    <n v="860"/>
    <n v="1100"/>
    <n v="0"/>
    <x v="205"/>
    <n v="1"/>
    <n v="0"/>
    <n v="2"/>
    <n v="1"/>
    <n v="4"/>
    <n v="1"/>
    <s v="Gd"/>
    <n v="8"/>
    <s v="Typ"/>
    <n v="2"/>
    <s v="TA"/>
    <s v="BuiltIn"/>
    <n v="2002"/>
    <s v="Fin"/>
    <n v="2"/>
    <n v="440"/>
    <s v="TA"/>
    <s v="TA"/>
    <s v="Y"/>
    <n v="288"/>
    <n v="48"/>
    <n v="0"/>
    <n v="0"/>
    <n v="0"/>
    <n v="0"/>
    <s v="NA"/>
    <s v="NA"/>
    <s v="NA"/>
    <n v="0"/>
    <n v="5"/>
    <n v="2010"/>
    <s v="WD"/>
    <s v="Normal"/>
    <n v="216500"/>
  </r>
  <r>
    <n v="236"/>
    <n v="160"/>
    <s v="RM"/>
    <n v="21"/>
    <n v="1680"/>
    <s v="Pave"/>
    <s v="NA"/>
    <s v="Reg"/>
    <s v="Lvl"/>
    <s v="AllPub"/>
    <s v="Inside"/>
    <s v="Gtl"/>
    <x v="22"/>
    <x v="0"/>
    <s v="Norm"/>
    <x v="3"/>
    <x v="0"/>
    <n v="6"/>
    <n v="3"/>
    <x v="63"/>
    <n v="1971"/>
    <s v="Gable"/>
    <s v="CompShg"/>
    <s v="HdBoard"/>
    <s v="HdBoard"/>
    <s v="BrkFace"/>
    <n v="604"/>
    <s v="TA"/>
    <s v="TA"/>
    <s v="CBlock"/>
    <s v="TA"/>
    <s v="TA"/>
    <s v="No"/>
    <s v="ALQ"/>
    <n v="358"/>
    <s v="Unf"/>
    <n v="0"/>
    <n v="125"/>
    <n v="483"/>
    <s v="GasA"/>
    <s v="TA"/>
    <s v="Y"/>
    <s v="SBrkr"/>
    <n v="483"/>
    <n v="504"/>
    <n v="0"/>
    <x v="200"/>
    <n v="0"/>
    <n v="0"/>
    <n v="1"/>
    <n v="1"/>
    <n v="2"/>
    <n v="1"/>
    <s v="TA"/>
    <n v="5"/>
    <s v="Typ"/>
    <n v="0"/>
    <s v="NA"/>
    <s v="Detchd"/>
    <n v="1971"/>
    <s v="Unf"/>
    <n v="1"/>
    <n v="264"/>
    <s v="TA"/>
    <s v="TA"/>
    <s v="Y"/>
    <n v="0"/>
    <n v="0"/>
    <n v="0"/>
    <n v="0"/>
    <n v="0"/>
    <n v="0"/>
    <s v="NA"/>
    <s v="NA"/>
    <s v="NA"/>
    <n v="0"/>
    <n v="8"/>
    <n v="2008"/>
    <s v="WD"/>
    <s v="Normal"/>
    <n v="89500"/>
  </r>
  <r>
    <n v="237"/>
    <n v="20"/>
    <s v="RL"/>
    <n v="65"/>
    <n v="8773"/>
    <s v="Pave"/>
    <s v="NA"/>
    <s v="Reg"/>
    <s v="Lvl"/>
    <s v="AllPub"/>
    <s v="FR2"/>
    <s v="Gtl"/>
    <x v="0"/>
    <x v="0"/>
    <s v="Norm"/>
    <x v="0"/>
    <x v="1"/>
    <n v="7"/>
    <n v="5"/>
    <x v="6"/>
    <n v="2004"/>
    <s v="Gable"/>
    <s v="CompShg"/>
    <s v="VinylSd"/>
    <s v="VinylSd"/>
    <s v="BrkFace"/>
    <n v="98"/>
    <s v="Gd"/>
    <s v="TA"/>
    <s v="PConc"/>
    <s v="Gd"/>
    <s v="TA"/>
    <s v="Av"/>
    <s v="GLQ"/>
    <n v="24"/>
    <s v="Unf"/>
    <n v="0"/>
    <n v="1390"/>
    <n v="1414"/>
    <s v="GasA"/>
    <s v="Ex"/>
    <s v="Y"/>
    <s v="SBrkr"/>
    <n v="1414"/>
    <n v="0"/>
    <n v="0"/>
    <x v="206"/>
    <n v="0"/>
    <n v="0"/>
    <n v="2"/>
    <n v="0"/>
    <n v="3"/>
    <n v="1"/>
    <s v="Gd"/>
    <n v="6"/>
    <s v="Typ"/>
    <n v="0"/>
    <s v="NA"/>
    <s v="Attchd"/>
    <n v="2004"/>
    <s v="RFn"/>
    <n v="2"/>
    <n v="494"/>
    <s v="TA"/>
    <s v="TA"/>
    <s v="Y"/>
    <n v="132"/>
    <n v="105"/>
    <n v="0"/>
    <n v="0"/>
    <n v="0"/>
    <n v="0"/>
    <s v="NA"/>
    <s v="NA"/>
    <s v="NA"/>
    <n v="0"/>
    <n v="5"/>
    <n v="2010"/>
    <s v="WD"/>
    <s v="Normal"/>
    <n v="185500"/>
  </r>
  <r>
    <n v="238"/>
    <n v="60"/>
    <s v="RL"/>
    <s v="NA"/>
    <n v="9453"/>
    <s v="Pave"/>
    <s v="NA"/>
    <s v="IR1"/>
    <s v="Lvl"/>
    <s v="AllPub"/>
    <s v="CulDSac"/>
    <s v="Gtl"/>
    <x v="12"/>
    <x v="8"/>
    <s v="Norm"/>
    <x v="0"/>
    <x v="0"/>
    <n v="7"/>
    <n v="7"/>
    <x v="5"/>
    <n v="2003"/>
    <s v="Gable"/>
    <s v="CompShg"/>
    <s v="HdBoard"/>
    <s v="HdBoard"/>
    <s v="None"/>
    <n v="0"/>
    <s v="Gd"/>
    <s v="TA"/>
    <s v="PConc"/>
    <s v="Gd"/>
    <s v="TA"/>
    <s v="No"/>
    <s v="BLQ"/>
    <n v="402"/>
    <s v="Unf"/>
    <n v="0"/>
    <n v="594"/>
    <n v="996"/>
    <s v="GasA"/>
    <s v="Ex"/>
    <s v="Y"/>
    <s v="SBrkr"/>
    <n v="1014"/>
    <n v="730"/>
    <n v="0"/>
    <x v="207"/>
    <n v="0"/>
    <n v="0"/>
    <n v="2"/>
    <n v="1"/>
    <n v="3"/>
    <n v="1"/>
    <s v="Gd"/>
    <n v="7"/>
    <s v="Typ"/>
    <n v="0"/>
    <s v="NA"/>
    <s v="Attchd"/>
    <n v="1993"/>
    <s v="RFn"/>
    <n v="2"/>
    <n v="457"/>
    <s v="TA"/>
    <s v="TA"/>
    <s v="Y"/>
    <n v="370"/>
    <n v="70"/>
    <n v="0"/>
    <n v="238"/>
    <n v="0"/>
    <n v="0"/>
    <s v="NA"/>
    <s v="NA"/>
    <s v="NA"/>
    <n v="0"/>
    <n v="2"/>
    <n v="2010"/>
    <s v="WD"/>
    <s v="Normal"/>
    <n v="194500"/>
  </r>
  <r>
    <n v="239"/>
    <n v="20"/>
    <s v="RL"/>
    <n v="93"/>
    <n v="12030"/>
    <s v="Pave"/>
    <s v="NA"/>
    <s v="Reg"/>
    <s v="Lvl"/>
    <s v="AllPub"/>
    <s v="Inside"/>
    <s v="Gtl"/>
    <x v="10"/>
    <x v="0"/>
    <s v="Norm"/>
    <x v="0"/>
    <x v="1"/>
    <n v="8"/>
    <n v="5"/>
    <x v="22"/>
    <n v="2007"/>
    <s v="Hip"/>
    <s v="CompShg"/>
    <s v="VinylSd"/>
    <s v="VinylSd"/>
    <s v="BrkFace"/>
    <n v="254"/>
    <s v="Ex"/>
    <s v="TA"/>
    <s v="PConc"/>
    <s v="Ex"/>
    <s v="TA"/>
    <s v="No"/>
    <s v="Unf"/>
    <n v="0"/>
    <s v="Unf"/>
    <n v="0"/>
    <n v="1694"/>
    <n v="1694"/>
    <s v="GasA"/>
    <s v="Ex"/>
    <s v="Y"/>
    <s v="SBrkr"/>
    <n v="1694"/>
    <n v="0"/>
    <n v="0"/>
    <x v="6"/>
    <n v="0"/>
    <n v="0"/>
    <n v="2"/>
    <n v="0"/>
    <n v="3"/>
    <n v="1"/>
    <s v="Gd"/>
    <n v="7"/>
    <s v="Typ"/>
    <n v="0"/>
    <s v="NA"/>
    <s v="Attchd"/>
    <n v="2007"/>
    <s v="Fin"/>
    <n v="3"/>
    <n v="818"/>
    <s v="TA"/>
    <s v="TA"/>
    <s v="Y"/>
    <n v="168"/>
    <n v="228"/>
    <n v="0"/>
    <n v="0"/>
    <n v="0"/>
    <n v="0"/>
    <s v="NA"/>
    <s v="NA"/>
    <s v="NA"/>
    <n v="0"/>
    <n v="12"/>
    <n v="2007"/>
    <s v="New"/>
    <s v="Partial"/>
    <n v="318000"/>
  </r>
  <r>
    <n v="240"/>
    <n v="50"/>
    <s v="RL"/>
    <n v="52"/>
    <n v="8741"/>
    <s v="Pave"/>
    <s v="NA"/>
    <s v="Reg"/>
    <s v="Lvl"/>
    <s v="AllPub"/>
    <s v="Inside"/>
    <s v="Gtl"/>
    <x v="15"/>
    <x v="0"/>
    <s v="Norm"/>
    <x v="0"/>
    <x v="2"/>
    <n v="6"/>
    <n v="4"/>
    <x v="43"/>
    <n v="1950"/>
    <s v="Gable"/>
    <s v="CompShg"/>
    <s v="VinylSd"/>
    <s v="VinylSd"/>
    <s v="None"/>
    <n v="0"/>
    <s v="TA"/>
    <s v="TA"/>
    <s v="CBlock"/>
    <s v="TA"/>
    <s v="Fa"/>
    <s v="No"/>
    <s v="LwQ"/>
    <n v="94"/>
    <s v="Unf"/>
    <n v="0"/>
    <n v="641"/>
    <n v="735"/>
    <s v="GasA"/>
    <s v="TA"/>
    <s v="Y"/>
    <s v="FuseA"/>
    <n v="798"/>
    <n v="689"/>
    <n v="0"/>
    <x v="208"/>
    <n v="0"/>
    <n v="0"/>
    <n v="1"/>
    <n v="1"/>
    <n v="3"/>
    <n v="1"/>
    <s v="TA"/>
    <n v="7"/>
    <s v="Typ"/>
    <n v="1"/>
    <s v="Gd"/>
    <s v="Detchd"/>
    <n v="1949"/>
    <s v="Unf"/>
    <n v="1"/>
    <n v="220"/>
    <s v="TA"/>
    <s v="TA"/>
    <s v="Y"/>
    <n v="0"/>
    <n v="140"/>
    <n v="0"/>
    <n v="0"/>
    <n v="0"/>
    <n v="0"/>
    <s v="NA"/>
    <s v="MnPrv"/>
    <s v="NA"/>
    <n v="0"/>
    <n v="4"/>
    <n v="2010"/>
    <s v="WD"/>
    <s v="Normal"/>
    <n v="113000"/>
  </r>
  <r>
    <n v="241"/>
    <n v="20"/>
    <s v="FV"/>
    <n v="75"/>
    <n v="9000"/>
    <s v="Pave"/>
    <s v="NA"/>
    <s v="Reg"/>
    <s v="Lvl"/>
    <s v="AllPub"/>
    <s v="Inside"/>
    <s v="Gtl"/>
    <x v="5"/>
    <x v="0"/>
    <s v="Norm"/>
    <x v="0"/>
    <x v="1"/>
    <n v="8"/>
    <n v="5"/>
    <x v="74"/>
    <n v="2008"/>
    <s v="Gable"/>
    <s v="CompShg"/>
    <s v="VinylSd"/>
    <s v="VinylSd"/>
    <s v="Stone"/>
    <n v="36"/>
    <s v="Gd"/>
    <s v="TA"/>
    <s v="PConc"/>
    <s v="Gd"/>
    <s v="TA"/>
    <s v="Av"/>
    <s v="GLQ"/>
    <n v="1078"/>
    <s v="Unf"/>
    <n v="0"/>
    <n v="488"/>
    <n v="1566"/>
    <s v="GasA"/>
    <s v="Ex"/>
    <s v="Y"/>
    <s v="SBrkr"/>
    <n v="1566"/>
    <n v="0"/>
    <n v="0"/>
    <x v="209"/>
    <n v="1"/>
    <n v="0"/>
    <n v="2"/>
    <n v="0"/>
    <n v="3"/>
    <n v="1"/>
    <s v="Gd"/>
    <n v="7"/>
    <s v="Typ"/>
    <n v="0"/>
    <s v="NA"/>
    <s v="Attchd"/>
    <n v="2008"/>
    <s v="RFn"/>
    <n v="2"/>
    <n v="750"/>
    <s v="TA"/>
    <s v="TA"/>
    <s v="Y"/>
    <n v="144"/>
    <n v="168"/>
    <n v="0"/>
    <n v="0"/>
    <n v="0"/>
    <n v="0"/>
    <s v="NA"/>
    <s v="NA"/>
    <s v="NA"/>
    <n v="0"/>
    <n v="4"/>
    <n v="2010"/>
    <s v="WD"/>
    <s v="Normal"/>
    <n v="262500"/>
  </r>
  <r>
    <n v="242"/>
    <n v="30"/>
    <s v="RM"/>
    <n v="40"/>
    <n v="3880"/>
    <s v="Pave"/>
    <s v="NA"/>
    <s v="Reg"/>
    <s v="Lvl"/>
    <s v="AllPub"/>
    <s v="Inside"/>
    <s v="Gtl"/>
    <x v="7"/>
    <x v="0"/>
    <s v="Norm"/>
    <x v="0"/>
    <x v="1"/>
    <n v="5"/>
    <n v="9"/>
    <x v="43"/>
    <n v="1997"/>
    <s v="Gable"/>
    <s v="CompShg"/>
    <s v="VinylSd"/>
    <s v="VinylSd"/>
    <s v="None"/>
    <n v="0"/>
    <s v="TA"/>
    <s v="Gd"/>
    <s v="CBlock"/>
    <s v="TA"/>
    <s v="TA"/>
    <s v="No"/>
    <s v="ALQ"/>
    <n v="329"/>
    <s v="Unf"/>
    <n v="0"/>
    <n v="357"/>
    <n v="686"/>
    <s v="GasA"/>
    <s v="Gd"/>
    <s v="Y"/>
    <s v="SBrkr"/>
    <n v="866"/>
    <n v="0"/>
    <n v="0"/>
    <x v="210"/>
    <n v="0"/>
    <n v="0"/>
    <n v="1"/>
    <n v="0"/>
    <n v="2"/>
    <n v="1"/>
    <s v="Gd"/>
    <n v="4"/>
    <s v="Typ"/>
    <n v="0"/>
    <s v="NA"/>
    <s v="NA"/>
    <s v="NA"/>
    <s v="NA"/>
    <n v="0"/>
    <n v="0"/>
    <s v="NA"/>
    <s v="NA"/>
    <s v="Y"/>
    <n v="58"/>
    <n v="42"/>
    <n v="0"/>
    <n v="0"/>
    <n v="0"/>
    <n v="0"/>
    <s v="NA"/>
    <s v="NA"/>
    <s v="NA"/>
    <n v="0"/>
    <n v="8"/>
    <n v="2007"/>
    <s v="WD"/>
    <s v="Normal"/>
    <n v="110500"/>
  </r>
  <r>
    <n v="243"/>
    <n v="50"/>
    <s v="RM"/>
    <n v="63"/>
    <n v="5000"/>
    <s v="Pave"/>
    <s v="NA"/>
    <s v="Reg"/>
    <s v="Lvl"/>
    <s v="AllPub"/>
    <s v="Corner"/>
    <s v="Gtl"/>
    <x v="7"/>
    <x v="0"/>
    <s v="Norm"/>
    <x v="0"/>
    <x v="2"/>
    <n v="5"/>
    <n v="4"/>
    <x v="83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540"/>
    <n v="540"/>
    <s v="GasA"/>
    <s v="Gd"/>
    <s v="N"/>
    <s v="FuseA"/>
    <n v="889"/>
    <n v="551"/>
    <n v="0"/>
    <x v="211"/>
    <n v="0"/>
    <n v="0"/>
    <n v="1"/>
    <n v="0"/>
    <n v="3"/>
    <n v="1"/>
    <s v="TA"/>
    <n v="6"/>
    <s v="Typ"/>
    <n v="0"/>
    <s v="NA"/>
    <s v="Attchd"/>
    <n v="1940"/>
    <s v="Unf"/>
    <n v="1"/>
    <n v="352"/>
    <s v="Fa"/>
    <s v="TA"/>
    <s v="Y"/>
    <n v="0"/>
    <n v="0"/>
    <n v="77"/>
    <n v="0"/>
    <n v="0"/>
    <n v="0"/>
    <s v="NA"/>
    <s v="NA"/>
    <s v="NA"/>
    <n v="0"/>
    <n v="4"/>
    <n v="2006"/>
    <s v="WD"/>
    <s v="Normal"/>
    <n v="79000"/>
  </r>
  <r>
    <n v="244"/>
    <n v="160"/>
    <s v="RL"/>
    <n v="75"/>
    <n v="10762"/>
    <s v="Pave"/>
    <s v="NA"/>
    <s v="Reg"/>
    <s v="Lvl"/>
    <s v="AllPub"/>
    <s v="Corner"/>
    <s v="Gtl"/>
    <x v="12"/>
    <x v="0"/>
    <s v="Norm"/>
    <x v="3"/>
    <x v="0"/>
    <n v="6"/>
    <n v="6"/>
    <x v="84"/>
    <n v="1980"/>
    <s v="Gable"/>
    <s v="CompShg"/>
    <s v="Plywood"/>
    <s v="Plywood"/>
    <s v="None"/>
    <n v="0"/>
    <s v="TA"/>
    <s v="TA"/>
    <s v="CBlock"/>
    <s v="Gd"/>
    <s v="TA"/>
    <s v="No"/>
    <s v="Unf"/>
    <n v="0"/>
    <s v="Unf"/>
    <n v="0"/>
    <n v="626"/>
    <n v="626"/>
    <s v="GasA"/>
    <s v="TA"/>
    <s v="Y"/>
    <s v="SBrkr"/>
    <n v="626"/>
    <n v="591"/>
    <n v="0"/>
    <x v="171"/>
    <n v="0"/>
    <n v="0"/>
    <n v="1"/>
    <n v="1"/>
    <n v="3"/>
    <n v="1"/>
    <s v="TA"/>
    <n v="6"/>
    <s v="Typ"/>
    <n v="1"/>
    <s v="TA"/>
    <s v="Attchd"/>
    <n v="1980"/>
    <s v="RFn"/>
    <n v="1"/>
    <n v="288"/>
    <s v="TA"/>
    <s v="TA"/>
    <s v="Y"/>
    <n v="0"/>
    <n v="28"/>
    <n v="0"/>
    <n v="0"/>
    <n v="0"/>
    <n v="0"/>
    <s v="NA"/>
    <s v="NA"/>
    <s v="NA"/>
    <n v="0"/>
    <n v="4"/>
    <n v="2009"/>
    <s v="WD"/>
    <s v="Normal"/>
    <n v="120000"/>
  </r>
  <r>
    <n v="245"/>
    <n v="60"/>
    <s v="RL"/>
    <s v="NA"/>
    <n v="8880"/>
    <s v="Pave"/>
    <s v="NA"/>
    <s v="IR1"/>
    <s v="Lvl"/>
    <s v="AllPub"/>
    <s v="Inside"/>
    <s v="Gtl"/>
    <x v="12"/>
    <x v="0"/>
    <s v="Norm"/>
    <x v="0"/>
    <x v="0"/>
    <n v="7"/>
    <n v="5"/>
    <x v="29"/>
    <n v="2002"/>
    <s v="Gable"/>
    <s v="CompShg"/>
    <s v="VinylSd"/>
    <s v="VinylSd"/>
    <s v="None"/>
    <n v="0"/>
    <s v="Gd"/>
    <s v="TA"/>
    <s v="PConc"/>
    <s v="Gd"/>
    <s v="TA"/>
    <s v="No"/>
    <s v="GLQ"/>
    <n v="695"/>
    <s v="Unf"/>
    <n v="0"/>
    <n v="253"/>
    <n v="948"/>
    <s v="GasA"/>
    <s v="Ex"/>
    <s v="Y"/>
    <s v="SBrkr"/>
    <n v="1222"/>
    <n v="888"/>
    <n v="0"/>
    <x v="212"/>
    <n v="1"/>
    <n v="0"/>
    <n v="2"/>
    <n v="1"/>
    <n v="3"/>
    <n v="1"/>
    <s v="Gd"/>
    <n v="8"/>
    <s v="Typ"/>
    <n v="2"/>
    <s v="Fa"/>
    <s v="Attchd"/>
    <n v="1994"/>
    <s v="RFn"/>
    <n v="2"/>
    <n v="463"/>
    <s v="TA"/>
    <s v="TA"/>
    <s v="Y"/>
    <n v="0"/>
    <n v="130"/>
    <n v="0"/>
    <n v="0"/>
    <n v="0"/>
    <n v="0"/>
    <s v="NA"/>
    <s v="NA"/>
    <s v="NA"/>
    <n v="0"/>
    <n v="5"/>
    <n v="2010"/>
    <s v="WD"/>
    <s v="Normal"/>
    <n v="205000"/>
  </r>
  <r>
    <n v="246"/>
    <n v="20"/>
    <s v="RL"/>
    <n v="80"/>
    <n v="10400"/>
    <s v="Pave"/>
    <s v="NA"/>
    <s v="Reg"/>
    <s v="Lvl"/>
    <s v="AllPub"/>
    <s v="Inside"/>
    <s v="Gtl"/>
    <x v="6"/>
    <x v="0"/>
    <s v="Norm"/>
    <x v="0"/>
    <x v="1"/>
    <n v="7"/>
    <n v="5"/>
    <x v="62"/>
    <n v="1988"/>
    <s v="Gable"/>
    <s v="CompShg"/>
    <s v="Wd Sdng"/>
    <s v="Wd Sdng"/>
    <s v="BrkFace"/>
    <n v="102"/>
    <s v="TA"/>
    <s v="TA"/>
    <s v="CBlock"/>
    <s v="Gd"/>
    <s v="TA"/>
    <s v="Av"/>
    <s v="GLQ"/>
    <n v="929"/>
    <s v="Unf"/>
    <n v="0"/>
    <n v="916"/>
    <n v="1845"/>
    <s v="GasA"/>
    <s v="Gd"/>
    <s v="Y"/>
    <s v="SBrkr"/>
    <n v="1872"/>
    <n v="0"/>
    <n v="0"/>
    <x v="213"/>
    <n v="0"/>
    <n v="1"/>
    <n v="2"/>
    <n v="0"/>
    <n v="3"/>
    <n v="1"/>
    <s v="TA"/>
    <n v="6"/>
    <s v="Typ"/>
    <n v="1"/>
    <s v="TA"/>
    <s v="Attchd"/>
    <n v="1988"/>
    <s v="Fin"/>
    <n v="2"/>
    <n v="604"/>
    <s v="TA"/>
    <s v="TA"/>
    <s v="Y"/>
    <n v="197"/>
    <n v="39"/>
    <n v="0"/>
    <n v="0"/>
    <n v="0"/>
    <n v="0"/>
    <s v="NA"/>
    <s v="NA"/>
    <s v="NA"/>
    <n v="0"/>
    <n v="6"/>
    <n v="2006"/>
    <s v="WD"/>
    <s v="Normal"/>
    <n v="241500"/>
  </r>
  <r>
    <n v="247"/>
    <n v="190"/>
    <s v="RM"/>
    <n v="69"/>
    <n v="9142"/>
    <s v="Pave"/>
    <s v="Grvl"/>
    <s v="Reg"/>
    <s v="Lvl"/>
    <s v="AllPub"/>
    <s v="Inside"/>
    <s v="Gtl"/>
    <x v="7"/>
    <x v="0"/>
    <s v="Norm"/>
    <x v="1"/>
    <x v="0"/>
    <n v="6"/>
    <n v="8"/>
    <x v="48"/>
    <n v="1950"/>
    <s v="Gable"/>
    <s v="CompShg"/>
    <s v="AsbShng"/>
    <s v="AsbShng"/>
    <s v="None"/>
    <n v="0"/>
    <s v="TA"/>
    <s v="Fa"/>
    <s v="Stone"/>
    <s v="Fa"/>
    <s v="TA"/>
    <s v="No"/>
    <s v="Unf"/>
    <n v="0"/>
    <s v="Unf"/>
    <n v="0"/>
    <n v="1020"/>
    <n v="1020"/>
    <s v="GasA"/>
    <s v="Gd"/>
    <s v="N"/>
    <s v="FuseP"/>
    <n v="908"/>
    <n v="1020"/>
    <n v="0"/>
    <x v="214"/>
    <n v="0"/>
    <n v="0"/>
    <n v="2"/>
    <n v="0"/>
    <n v="4"/>
    <n v="2"/>
    <s v="Fa"/>
    <n v="9"/>
    <s v="Typ"/>
    <n v="0"/>
    <s v="NA"/>
    <s v="Detchd"/>
    <n v="1910"/>
    <s v="Unf"/>
    <n v="1"/>
    <n v="440"/>
    <s v="Po"/>
    <s v="Po"/>
    <s v="Y"/>
    <n v="0"/>
    <n v="60"/>
    <n v="112"/>
    <n v="0"/>
    <n v="0"/>
    <n v="0"/>
    <s v="NA"/>
    <s v="NA"/>
    <s v="NA"/>
    <n v="0"/>
    <n v="4"/>
    <n v="2006"/>
    <s v="WD"/>
    <s v="Normal"/>
    <n v="137000"/>
  </r>
  <r>
    <n v="248"/>
    <n v="20"/>
    <s v="RL"/>
    <n v="75"/>
    <n v="11310"/>
    <s v="Pave"/>
    <s v="NA"/>
    <s v="Reg"/>
    <s v="Lvl"/>
    <s v="AllPub"/>
    <s v="Inside"/>
    <s v="Gtl"/>
    <x v="11"/>
    <x v="0"/>
    <s v="Norm"/>
    <x v="0"/>
    <x v="1"/>
    <n v="6"/>
    <n v="5"/>
    <x v="30"/>
    <n v="1954"/>
    <s v="Hip"/>
    <s v="CompShg"/>
    <s v="Wd Sdng"/>
    <s v="BrkFace"/>
    <s v="None"/>
    <n v="0"/>
    <s v="TA"/>
    <s v="TA"/>
    <s v="CBlock"/>
    <s v="TA"/>
    <s v="TA"/>
    <s v="No"/>
    <s v="Unf"/>
    <n v="0"/>
    <s v="Unf"/>
    <n v="0"/>
    <n v="1367"/>
    <n v="1367"/>
    <s v="GasA"/>
    <s v="Ex"/>
    <s v="Y"/>
    <s v="SBrkr"/>
    <n v="1375"/>
    <n v="0"/>
    <n v="0"/>
    <x v="215"/>
    <n v="0"/>
    <n v="0"/>
    <n v="1"/>
    <n v="0"/>
    <n v="2"/>
    <n v="1"/>
    <s v="TA"/>
    <n v="5"/>
    <s v="Typ"/>
    <n v="1"/>
    <s v="TA"/>
    <s v="Attchd"/>
    <n v="1954"/>
    <s v="Unf"/>
    <n v="2"/>
    <n v="451"/>
    <s v="TA"/>
    <s v="TA"/>
    <s v="Y"/>
    <n v="0"/>
    <n v="30"/>
    <n v="0"/>
    <n v="0"/>
    <n v="0"/>
    <n v="0"/>
    <s v="NA"/>
    <s v="NA"/>
    <s v="NA"/>
    <n v="0"/>
    <n v="6"/>
    <n v="2006"/>
    <s v="WD"/>
    <s v="Normal"/>
    <n v="140000"/>
  </r>
  <r>
    <n v="249"/>
    <n v="60"/>
    <s v="RL"/>
    <n v="72"/>
    <n v="11317"/>
    <s v="Pave"/>
    <s v="NA"/>
    <s v="Reg"/>
    <s v="Lvl"/>
    <s v="AllPub"/>
    <s v="Inside"/>
    <s v="Gtl"/>
    <x v="0"/>
    <x v="0"/>
    <s v="Norm"/>
    <x v="0"/>
    <x v="0"/>
    <n v="7"/>
    <n v="5"/>
    <x v="0"/>
    <n v="2003"/>
    <s v="Gable"/>
    <s v="CompShg"/>
    <s v="VinylSd"/>
    <s v="VinylSd"/>
    <s v="BrkFace"/>
    <n v="101"/>
    <s v="Gd"/>
    <s v="TA"/>
    <s v="PConc"/>
    <s v="Gd"/>
    <s v="TA"/>
    <s v="No"/>
    <s v="Unf"/>
    <n v="0"/>
    <s v="Unf"/>
    <n v="0"/>
    <n v="840"/>
    <n v="840"/>
    <s v="GasA"/>
    <s v="Ex"/>
    <s v="Y"/>
    <s v="SBrkr"/>
    <n v="840"/>
    <n v="828"/>
    <n v="0"/>
    <x v="216"/>
    <n v="0"/>
    <n v="0"/>
    <n v="2"/>
    <n v="1"/>
    <n v="3"/>
    <n v="1"/>
    <s v="Gd"/>
    <n v="8"/>
    <s v="Typ"/>
    <n v="0"/>
    <s v="NA"/>
    <s v="Attchd"/>
    <n v="2003"/>
    <s v="RFn"/>
    <n v="2"/>
    <n v="500"/>
    <s v="TA"/>
    <s v="TA"/>
    <s v="Y"/>
    <n v="144"/>
    <n v="68"/>
    <n v="0"/>
    <n v="0"/>
    <n v="0"/>
    <n v="0"/>
    <s v="NA"/>
    <s v="NA"/>
    <s v="NA"/>
    <n v="0"/>
    <n v="9"/>
    <n v="2007"/>
    <s v="WD"/>
    <s v="Normal"/>
    <n v="180000"/>
  </r>
  <r>
    <n v="250"/>
    <n v="50"/>
    <s v="RL"/>
    <s v="NA"/>
    <n v="159000"/>
    <s v="Pave"/>
    <s v="NA"/>
    <s v="IR2"/>
    <s v="Low"/>
    <s v="AllPub"/>
    <s v="CulDSac"/>
    <s v="Sev"/>
    <x v="19"/>
    <x v="0"/>
    <s v="Norm"/>
    <x v="0"/>
    <x v="2"/>
    <n v="6"/>
    <n v="7"/>
    <x v="18"/>
    <n v="2006"/>
    <s v="Gable"/>
    <s v="CompShg"/>
    <s v="Wd Sdng"/>
    <s v="HdBoard"/>
    <s v="BrkCmn"/>
    <n v="472"/>
    <s v="Gd"/>
    <s v="TA"/>
    <s v="CBlock"/>
    <s v="Gd"/>
    <s v="TA"/>
    <s v="Gd"/>
    <s v="Rec"/>
    <n v="697"/>
    <s v="Unf"/>
    <n v="0"/>
    <n v="747"/>
    <n v="1444"/>
    <s v="GasA"/>
    <s v="Gd"/>
    <s v="Y"/>
    <s v="SBrkr"/>
    <n v="1444"/>
    <n v="700"/>
    <n v="0"/>
    <x v="217"/>
    <n v="0"/>
    <n v="1"/>
    <n v="2"/>
    <n v="0"/>
    <n v="4"/>
    <n v="1"/>
    <s v="Gd"/>
    <n v="7"/>
    <s v="Typ"/>
    <n v="2"/>
    <s v="TA"/>
    <s v="Attchd"/>
    <n v="1958"/>
    <s v="Fin"/>
    <n v="2"/>
    <n v="389"/>
    <s v="TA"/>
    <s v="TA"/>
    <s v="Y"/>
    <n v="0"/>
    <n v="98"/>
    <n v="0"/>
    <n v="0"/>
    <n v="0"/>
    <n v="0"/>
    <s v="NA"/>
    <s v="NA"/>
    <s v="Shed"/>
    <n v="500"/>
    <n v="6"/>
    <n v="2007"/>
    <s v="WD"/>
    <s v="Normal"/>
    <n v="277000"/>
  </r>
  <r>
    <n v="251"/>
    <n v="30"/>
    <s v="RL"/>
    <n v="55"/>
    <n v="5350"/>
    <s v="Pave"/>
    <s v="NA"/>
    <s v="IR1"/>
    <s v="Lvl"/>
    <s v="AllPub"/>
    <s v="Inside"/>
    <s v="Gtl"/>
    <x v="8"/>
    <x v="0"/>
    <s v="Norm"/>
    <x v="0"/>
    <x v="1"/>
    <n v="3"/>
    <n v="2"/>
    <x v="70"/>
    <n v="1966"/>
    <s v="Gable"/>
    <s v="CompShg"/>
    <s v="Wd Sdng"/>
    <s v="Plywood"/>
    <s v="None"/>
    <n v="0"/>
    <s v="TA"/>
    <s v="Po"/>
    <s v="CBlock"/>
    <s v="TA"/>
    <s v="TA"/>
    <s v="No"/>
    <s v="Unf"/>
    <n v="0"/>
    <s v="Unf"/>
    <n v="0"/>
    <n v="728"/>
    <n v="728"/>
    <s v="GasA"/>
    <s v="Ex"/>
    <s v="Y"/>
    <s v="SBrkr"/>
    <n v="1306"/>
    <n v="0"/>
    <n v="0"/>
    <x v="218"/>
    <n v="0"/>
    <n v="0"/>
    <n v="1"/>
    <n v="0"/>
    <n v="3"/>
    <n v="1"/>
    <s v="Fa"/>
    <n v="6"/>
    <s v="Mod"/>
    <n v="0"/>
    <s v="NA"/>
    <s v="NA"/>
    <s v="NA"/>
    <s v="NA"/>
    <n v="0"/>
    <n v="0"/>
    <s v="NA"/>
    <s v="NA"/>
    <s v="Y"/>
    <n v="263"/>
    <n v="0"/>
    <n v="0"/>
    <n v="0"/>
    <n v="0"/>
    <n v="0"/>
    <s v="NA"/>
    <s v="GdWo"/>
    <s v="Shed"/>
    <n v="450"/>
    <n v="5"/>
    <n v="2010"/>
    <s v="WD"/>
    <s v="Normal"/>
    <n v="76500"/>
  </r>
  <r>
    <n v="252"/>
    <n v="120"/>
    <s v="RM"/>
    <n v="44"/>
    <n v="4750"/>
    <s v="Pave"/>
    <s v="NA"/>
    <s v="IR1"/>
    <s v="HLS"/>
    <s v="AllPub"/>
    <s v="Inside"/>
    <s v="Mod"/>
    <x v="2"/>
    <x v="0"/>
    <s v="Norm"/>
    <x v="3"/>
    <x v="1"/>
    <n v="8"/>
    <n v="5"/>
    <x v="13"/>
    <n v="2007"/>
    <s v="Hip"/>
    <s v="CompShg"/>
    <s v="VinylSd"/>
    <s v="VinylSd"/>
    <s v="Stone"/>
    <n v="481"/>
    <s v="Gd"/>
    <s v="TA"/>
    <s v="PConc"/>
    <s v="Gd"/>
    <s v="TA"/>
    <s v="Gd"/>
    <s v="GLQ"/>
    <n v="1573"/>
    <s v="Unf"/>
    <n v="0"/>
    <n v="0"/>
    <n v="1573"/>
    <s v="GasA"/>
    <s v="Ex"/>
    <s v="Y"/>
    <s v="SBrkr"/>
    <n v="1625"/>
    <n v="0"/>
    <n v="0"/>
    <x v="219"/>
    <n v="1"/>
    <n v="1"/>
    <n v="2"/>
    <n v="0"/>
    <n v="2"/>
    <n v="1"/>
    <s v="Gd"/>
    <n v="5"/>
    <s v="Typ"/>
    <n v="1"/>
    <s v="Gd"/>
    <s v="Attchd"/>
    <n v="2006"/>
    <s v="Fin"/>
    <n v="2"/>
    <n v="538"/>
    <s v="TA"/>
    <s v="TA"/>
    <s v="Y"/>
    <n v="123"/>
    <n v="0"/>
    <n v="0"/>
    <n v="0"/>
    <n v="153"/>
    <n v="0"/>
    <s v="NA"/>
    <s v="NA"/>
    <s v="NA"/>
    <n v="0"/>
    <n v="12"/>
    <n v="2007"/>
    <s v="WD"/>
    <s v="Family"/>
    <n v="235000"/>
  </r>
  <r>
    <n v="253"/>
    <n v="60"/>
    <s v="RL"/>
    <n v="65"/>
    <n v="8366"/>
    <s v="Pave"/>
    <s v="NA"/>
    <s v="IR1"/>
    <s v="Lvl"/>
    <s v="AllPub"/>
    <s v="Inside"/>
    <s v="Gtl"/>
    <x v="12"/>
    <x v="0"/>
    <s v="Norm"/>
    <x v="0"/>
    <x v="0"/>
    <n v="6"/>
    <n v="5"/>
    <x v="6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98"/>
    <n v="798"/>
    <s v="GasA"/>
    <s v="Ex"/>
    <s v="Y"/>
    <s v="SBrkr"/>
    <n v="798"/>
    <n v="842"/>
    <n v="0"/>
    <x v="220"/>
    <n v="0"/>
    <n v="0"/>
    <n v="2"/>
    <n v="1"/>
    <n v="3"/>
    <n v="1"/>
    <s v="Gd"/>
    <n v="6"/>
    <s v="Typ"/>
    <n v="0"/>
    <s v="NA"/>
    <s v="Attchd"/>
    <n v="2004"/>
    <s v="RFn"/>
    <n v="2"/>
    <n v="520"/>
    <s v="TA"/>
    <s v="TA"/>
    <s v="Y"/>
    <n v="138"/>
    <n v="45"/>
    <n v="0"/>
    <n v="0"/>
    <n v="0"/>
    <n v="0"/>
    <s v="NA"/>
    <s v="NA"/>
    <s v="NA"/>
    <n v="0"/>
    <n v="12"/>
    <n v="2008"/>
    <s v="WD"/>
    <s v="Normal"/>
    <n v="173000"/>
  </r>
  <r>
    <n v="254"/>
    <n v="80"/>
    <s v="RL"/>
    <n v="85"/>
    <n v="9350"/>
    <s v="Pave"/>
    <s v="NA"/>
    <s v="Reg"/>
    <s v="Lvl"/>
    <s v="AllPub"/>
    <s v="Inside"/>
    <s v="Gtl"/>
    <x v="11"/>
    <x v="0"/>
    <s v="Norm"/>
    <x v="0"/>
    <x v="5"/>
    <n v="6"/>
    <n v="7"/>
    <x v="39"/>
    <n v="1991"/>
    <s v="Hip"/>
    <s v="CompShg"/>
    <s v="HdBoard"/>
    <s v="HdBoard"/>
    <s v="BrkFace"/>
    <n v="108"/>
    <s v="TA"/>
    <s v="TA"/>
    <s v="CBlock"/>
    <s v="Gd"/>
    <s v="TA"/>
    <s v="Gd"/>
    <s v="LwQ"/>
    <n v="270"/>
    <s v="ALQ"/>
    <n v="580"/>
    <n v="452"/>
    <n v="1302"/>
    <s v="GasA"/>
    <s v="Ex"/>
    <s v="Y"/>
    <s v="SBrkr"/>
    <n v="1302"/>
    <n v="0"/>
    <n v="0"/>
    <x v="198"/>
    <n v="0"/>
    <n v="1"/>
    <n v="2"/>
    <n v="0"/>
    <n v="3"/>
    <n v="1"/>
    <s v="Gd"/>
    <n v="7"/>
    <s v="Min1"/>
    <n v="0"/>
    <s v="NA"/>
    <s v="Attchd"/>
    <n v="1964"/>
    <s v="RFn"/>
    <n v="1"/>
    <n v="309"/>
    <s v="TA"/>
    <s v="TA"/>
    <s v="Y"/>
    <n v="333"/>
    <n v="0"/>
    <n v="0"/>
    <n v="0"/>
    <n v="0"/>
    <n v="0"/>
    <s v="NA"/>
    <s v="MnPrv"/>
    <s v="NA"/>
    <n v="0"/>
    <n v="10"/>
    <n v="2007"/>
    <s v="CWD"/>
    <s v="Normal"/>
    <n v="158000"/>
  </r>
  <r>
    <n v="255"/>
    <n v="20"/>
    <s v="RL"/>
    <n v="70"/>
    <n v="8400"/>
    <s v="Pave"/>
    <s v="NA"/>
    <s v="Reg"/>
    <s v="Lvl"/>
    <s v="AllPub"/>
    <s v="Inside"/>
    <s v="Gtl"/>
    <x v="11"/>
    <x v="0"/>
    <s v="Norm"/>
    <x v="0"/>
    <x v="1"/>
    <n v="5"/>
    <n v="6"/>
    <x v="24"/>
    <n v="1957"/>
    <s v="Gable"/>
    <s v="CompShg"/>
    <s v="MetalSd"/>
    <s v="MetalSd"/>
    <s v="None"/>
    <n v="0"/>
    <s v="TA"/>
    <s v="Gd"/>
    <s v="CBlock"/>
    <s v="TA"/>
    <s v="TA"/>
    <s v="No"/>
    <s v="Rec"/>
    <n v="922"/>
    <s v="Unf"/>
    <n v="0"/>
    <n v="392"/>
    <n v="1314"/>
    <s v="GasA"/>
    <s v="TA"/>
    <s v="Y"/>
    <s v="SBrkr"/>
    <n v="1314"/>
    <n v="0"/>
    <n v="0"/>
    <x v="221"/>
    <n v="1"/>
    <n v="0"/>
    <n v="1"/>
    <n v="0"/>
    <n v="3"/>
    <n v="1"/>
    <s v="TA"/>
    <n v="5"/>
    <s v="Typ"/>
    <n v="0"/>
    <s v="NA"/>
    <s v="Attchd"/>
    <n v="1957"/>
    <s v="RFn"/>
    <n v="1"/>
    <n v="294"/>
    <s v="TA"/>
    <s v="TA"/>
    <s v="Y"/>
    <n v="250"/>
    <n v="0"/>
    <n v="0"/>
    <n v="0"/>
    <n v="0"/>
    <n v="0"/>
    <s v="NA"/>
    <s v="NA"/>
    <s v="NA"/>
    <n v="0"/>
    <n v="6"/>
    <n v="2010"/>
    <s v="WD"/>
    <s v="Normal"/>
    <n v="145000"/>
  </r>
  <r>
    <n v="256"/>
    <n v="60"/>
    <s v="RL"/>
    <n v="66"/>
    <n v="8738"/>
    <s v="Pave"/>
    <s v="NA"/>
    <s v="IR1"/>
    <s v="Lvl"/>
    <s v="AllPub"/>
    <s v="Inside"/>
    <s v="Gtl"/>
    <x v="17"/>
    <x v="0"/>
    <s v="Norm"/>
    <x v="0"/>
    <x v="0"/>
    <n v="7"/>
    <n v="5"/>
    <x v="40"/>
    <n v="1999"/>
    <s v="Gable"/>
    <s v="CompShg"/>
    <s v="VinylSd"/>
    <s v="VinylSd"/>
    <s v="BrkFace"/>
    <n v="302"/>
    <s v="Gd"/>
    <s v="TA"/>
    <s v="PConc"/>
    <s v="Gd"/>
    <s v="TA"/>
    <s v="No"/>
    <s v="Unf"/>
    <n v="0"/>
    <s v="Unf"/>
    <n v="0"/>
    <n v="975"/>
    <n v="975"/>
    <s v="GasA"/>
    <s v="Ex"/>
    <s v="Y"/>
    <s v="SBrkr"/>
    <n v="1005"/>
    <n v="1286"/>
    <n v="0"/>
    <x v="89"/>
    <n v="0"/>
    <n v="0"/>
    <n v="2"/>
    <n v="1"/>
    <n v="4"/>
    <n v="1"/>
    <s v="Gd"/>
    <n v="8"/>
    <s v="Typ"/>
    <n v="1"/>
    <s v="TA"/>
    <s v="BuiltIn"/>
    <n v="1999"/>
    <s v="Fin"/>
    <n v="2"/>
    <n v="429"/>
    <s v="TA"/>
    <s v="TA"/>
    <s v="Y"/>
    <n v="192"/>
    <n v="0"/>
    <n v="0"/>
    <n v="0"/>
    <n v="0"/>
    <n v="0"/>
    <s v="NA"/>
    <s v="NA"/>
    <s v="NA"/>
    <n v="0"/>
    <n v="2"/>
    <n v="2006"/>
    <s v="WD"/>
    <s v="Normal"/>
    <n v="230000"/>
  </r>
  <r>
    <n v="257"/>
    <n v="60"/>
    <s v="FV"/>
    <n v="64"/>
    <n v="8791"/>
    <s v="Pave"/>
    <s v="NA"/>
    <s v="IR1"/>
    <s v="Lvl"/>
    <s v="AllPub"/>
    <s v="Inside"/>
    <s v="Gtl"/>
    <x v="5"/>
    <x v="0"/>
    <s v="Norm"/>
    <x v="0"/>
    <x v="0"/>
    <n v="6"/>
    <n v="5"/>
    <x v="0"/>
    <n v="2003"/>
    <s v="Gable"/>
    <s v="CompShg"/>
    <s v="VinylSd"/>
    <s v="VinylSd"/>
    <s v="None"/>
    <n v="0"/>
    <s v="Gd"/>
    <s v="TA"/>
    <s v="PConc"/>
    <s v="Gd"/>
    <s v="TA"/>
    <s v="No"/>
    <s v="Rec"/>
    <n v="503"/>
    <s v="Unf"/>
    <n v="0"/>
    <n v="361"/>
    <n v="864"/>
    <s v="GasA"/>
    <s v="Ex"/>
    <s v="Y"/>
    <s v="SBrkr"/>
    <n v="864"/>
    <n v="864"/>
    <n v="0"/>
    <x v="136"/>
    <n v="0"/>
    <n v="0"/>
    <n v="2"/>
    <n v="1"/>
    <n v="3"/>
    <n v="1"/>
    <s v="Gd"/>
    <n v="7"/>
    <s v="Typ"/>
    <n v="0"/>
    <s v="NA"/>
    <s v="Attchd"/>
    <n v="2003"/>
    <s v="RFn"/>
    <n v="2"/>
    <n v="673"/>
    <s v="TA"/>
    <s v="TA"/>
    <s v="Y"/>
    <n v="216"/>
    <n v="56"/>
    <n v="0"/>
    <n v="0"/>
    <n v="0"/>
    <n v="0"/>
    <s v="NA"/>
    <s v="NA"/>
    <s v="NA"/>
    <n v="0"/>
    <n v="5"/>
    <n v="2008"/>
    <s v="WD"/>
    <s v="Normal"/>
    <n v="207500"/>
  </r>
  <r>
    <n v="258"/>
    <n v="20"/>
    <s v="RL"/>
    <n v="68"/>
    <n v="8814"/>
    <s v="Pave"/>
    <s v="NA"/>
    <s v="Reg"/>
    <s v="Lvl"/>
    <s v="AllPub"/>
    <s v="Inside"/>
    <s v="Gtl"/>
    <x v="0"/>
    <x v="0"/>
    <s v="Norm"/>
    <x v="0"/>
    <x v="1"/>
    <n v="7"/>
    <n v="5"/>
    <x v="13"/>
    <n v="2006"/>
    <s v="Gable"/>
    <s v="CompShg"/>
    <s v="VinylSd"/>
    <s v="VinylSd"/>
    <s v="Stone"/>
    <n v="180"/>
    <s v="Gd"/>
    <s v="TA"/>
    <s v="PConc"/>
    <s v="Gd"/>
    <s v="TA"/>
    <s v="No"/>
    <s v="GLQ"/>
    <n v="1334"/>
    <s v="Unf"/>
    <n v="0"/>
    <n v="270"/>
    <n v="1604"/>
    <s v="GasA"/>
    <s v="Ex"/>
    <s v="Y"/>
    <s v="SBrkr"/>
    <n v="1604"/>
    <n v="0"/>
    <n v="0"/>
    <x v="222"/>
    <n v="1"/>
    <n v="0"/>
    <n v="2"/>
    <n v="1"/>
    <n v="3"/>
    <n v="1"/>
    <s v="Gd"/>
    <n v="8"/>
    <s v="Typ"/>
    <n v="1"/>
    <s v="Gd"/>
    <s v="Attchd"/>
    <n v="2006"/>
    <s v="RFn"/>
    <n v="2"/>
    <n v="660"/>
    <s v="TA"/>
    <s v="TA"/>
    <s v="Y"/>
    <n v="123"/>
    <n v="110"/>
    <n v="0"/>
    <n v="0"/>
    <n v="0"/>
    <n v="0"/>
    <s v="NA"/>
    <s v="NA"/>
    <s v="NA"/>
    <n v="0"/>
    <n v="3"/>
    <n v="2009"/>
    <s v="WD"/>
    <s v="Abnorml"/>
    <n v="220000"/>
  </r>
  <r>
    <n v="259"/>
    <n v="60"/>
    <s v="RL"/>
    <n v="80"/>
    <n v="12435"/>
    <s v="Pave"/>
    <s v="NA"/>
    <s v="Reg"/>
    <s v="Lvl"/>
    <s v="AllPub"/>
    <s v="Inside"/>
    <s v="Gtl"/>
    <x v="0"/>
    <x v="0"/>
    <s v="Norm"/>
    <x v="0"/>
    <x v="0"/>
    <n v="7"/>
    <n v="5"/>
    <x v="2"/>
    <n v="2001"/>
    <s v="Gable"/>
    <s v="CompShg"/>
    <s v="VinylSd"/>
    <s v="VinylSd"/>
    <s v="BrkFace"/>
    <n v="172"/>
    <s v="Gd"/>
    <s v="TA"/>
    <s v="PConc"/>
    <s v="Gd"/>
    <s v="TA"/>
    <s v="No"/>
    <s v="GLQ"/>
    <n v="361"/>
    <s v="Unf"/>
    <n v="0"/>
    <n v="602"/>
    <n v="963"/>
    <s v="GasA"/>
    <s v="Ex"/>
    <s v="Y"/>
    <s v="SBrkr"/>
    <n v="963"/>
    <n v="829"/>
    <n v="0"/>
    <x v="223"/>
    <n v="0"/>
    <n v="0"/>
    <n v="2"/>
    <n v="1"/>
    <n v="3"/>
    <n v="1"/>
    <s v="Gd"/>
    <n v="7"/>
    <s v="Typ"/>
    <n v="1"/>
    <s v="TA"/>
    <s v="Attchd"/>
    <n v="2001"/>
    <s v="RFn"/>
    <n v="2"/>
    <n v="564"/>
    <s v="TA"/>
    <s v="TA"/>
    <s v="Y"/>
    <n v="0"/>
    <n v="96"/>
    <n v="0"/>
    <n v="245"/>
    <n v="0"/>
    <n v="0"/>
    <s v="NA"/>
    <s v="NA"/>
    <s v="NA"/>
    <n v="0"/>
    <n v="5"/>
    <n v="2008"/>
    <s v="WD"/>
    <s v="Normal"/>
    <n v="231500"/>
  </r>
  <r>
    <n v="260"/>
    <n v="20"/>
    <s v="RM"/>
    <n v="70"/>
    <n v="12702"/>
    <s v="Pave"/>
    <s v="NA"/>
    <s v="Reg"/>
    <s v="Lvl"/>
    <s v="AllPub"/>
    <s v="Inside"/>
    <s v="Gtl"/>
    <x v="7"/>
    <x v="0"/>
    <s v="Norm"/>
    <x v="0"/>
    <x v="1"/>
    <n v="5"/>
    <n v="5"/>
    <x v="46"/>
    <n v="1956"/>
    <s v="Gable"/>
    <s v="CompShg"/>
    <s v="BrkFace"/>
    <s v="BrkFace"/>
    <s v="None"/>
    <n v="0"/>
    <s v="TA"/>
    <s v="TA"/>
    <s v="PConc"/>
    <s v="NA"/>
    <s v="NA"/>
    <s v="NA"/>
    <s v="NA"/>
    <n v="0"/>
    <s v="NA"/>
    <n v="0"/>
    <n v="0"/>
    <n v="0"/>
    <s v="GasA"/>
    <s v="Gd"/>
    <s v="Y"/>
    <s v="FuseA"/>
    <n v="882"/>
    <n v="0"/>
    <n v="0"/>
    <x v="152"/>
    <n v="0"/>
    <n v="0"/>
    <n v="1"/>
    <n v="0"/>
    <n v="2"/>
    <n v="1"/>
    <s v="TA"/>
    <n v="4"/>
    <s v="Typ"/>
    <n v="0"/>
    <s v="NA"/>
    <s v="Detchd"/>
    <n v="1956"/>
    <s v="Unf"/>
    <n v="1"/>
    <n v="308"/>
    <s v="TA"/>
    <s v="TA"/>
    <s v="Y"/>
    <n v="0"/>
    <n v="45"/>
    <n v="0"/>
    <n v="0"/>
    <n v="0"/>
    <n v="0"/>
    <s v="NA"/>
    <s v="NA"/>
    <s v="NA"/>
    <n v="0"/>
    <n v="12"/>
    <n v="2008"/>
    <s v="WD"/>
    <s v="Normal"/>
    <n v="97000"/>
  </r>
  <r>
    <n v="261"/>
    <n v="80"/>
    <s v="RL"/>
    <n v="120"/>
    <n v="19296"/>
    <s v="Pave"/>
    <s v="NA"/>
    <s v="Reg"/>
    <s v="Lvl"/>
    <s v="AllPub"/>
    <s v="Corner"/>
    <s v="Gtl"/>
    <x v="11"/>
    <x v="3"/>
    <s v="Norm"/>
    <x v="0"/>
    <x v="5"/>
    <n v="6"/>
    <n v="5"/>
    <x v="12"/>
    <n v="1962"/>
    <s v="Gable"/>
    <s v="CompShg"/>
    <s v="Wd Sdng"/>
    <s v="Wd Sdng"/>
    <s v="BrkFace"/>
    <n v="399"/>
    <s v="TA"/>
    <s v="TA"/>
    <s v="CBlock"/>
    <s v="TA"/>
    <s v="TA"/>
    <s v="Gd"/>
    <s v="Rec"/>
    <n v="672"/>
    <s v="ALQ"/>
    <n v="690"/>
    <n v="0"/>
    <n v="1362"/>
    <s v="GasA"/>
    <s v="TA"/>
    <s v="Y"/>
    <s v="SBrkr"/>
    <n v="1382"/>
    <n v="0"/>
    <n v="0"/>
    <x v="158"/>
    <n v="1"/>
    <n v="0"/>
    <n v="1"/>
    <n v="0"/>
    <n v="3"/>
    <n v="1"/>
    <s v="TA"/>
    <n v="6"/>
    <s v="Typ"/>
    <n v="1"/>
    <s v="TA"/>
    <s v="Attchd"/>
    <n v="1991"/>
    <s v="Unf"/>
    <n v="2"/>
    <n v="884"/>
    <s v="TA"/>
    <s v="TA"/>
    <s v="Y"/>
    <n v="0"/>
    <n v="0"/>
    <n v="252"/>
    <n v="0"/>
    <n v="0"/>
    <n v="0"/>
    <s v="NA"/>
    <s v="GdWo"/>
    <s v="NA"/>
    <n v="0"/>
    <n v="5"/>
    <n v="2009"/>
    <s v="WD"/>
    <s v="Normal"/>
    <n v="176000"/>
  </r>
  <r>
    <n v="262"/>
    <n v="60"/>
    <s v="RL"/>
    <n v="69"/>
    <n v="9588"/>
    <s v="Pave"/>
    <s v="NA"/>
    <s v="IR1"/>
    <s v="Lvl"/>
    <s v="AllPub"/>
    <s v="Inside"/>
    <s v="Gtl"/>
    <x v="0"/>
    <x v="0"/>
    <s v="Norm"/>
    <x v="0"/>
    <x v="0"/>
    <n v="8"/>
    <n v="5"/>
    <x v="22"/>
    <n v="2007"/>
    <s v="Gable"/>
    <s v="CompShg"/>
    <s v="CemntBd"/>
    <s v="CmentBd"/>
    <s v="Stone"/>
    <n v="270"/>
    <s v="Gd"/>
    <s v="TA"/>
    <s v="PConc"/>
    <s v="Ex"/>
    <s v="TA"/>
    <s v="No"/>
    <s v="Unf"/>
    <n v="0"/>
    <s v="Unf"/>
    <n v="0"/>
    <n v="1482"/>
    <n v="1482"/>
    <s v="GasA"/>
    <s v="Ex"/>
    <s v="Y"/>
    <s v="SBrkr"/>
    <n v="1482"/>
    <n v="1092"/>
    <n v="0"/>
    <x v="224"/>
    <n v="0"/>
    <n v="0"/>
    <n v="2"/>
    <n v="1"/>
    <n v="3"/>
    <n v="1"/>
    <s v="Ex"/>
    <n v="10"/>
    <s v="Typ"/>
    <n v="1"/>
    <s v="Gd"/>
    <s v="BuiltIn"/>
    <n v="2007"/>
    <s v="Fin"/>
    <n v="3"/>
    <n v="868"/>
    <s v="TA"/>
    <s v="TA"/>
    <s v="Y"/>
    <n v="0"/>
    <n v="148"/>
    <n v="0"/>
    <n v="0"/>
    <n v="0"/>
    <n v="0"/>
    <s v="NA"/>
    <s v="NA"/>
    <s v="NA"/>
    <n v="0"/>
    <n v="11"/>
    <n v="2007"/>
    <s v="New"/>
    <s v="Partial"/>
    <n v="276000"/>
  </r>
  <r>
    <n v="263"/>
    <n v="80"/>
    <s v="RL"/>
    <n v="88"/>
    <n v="8471"/>
    <s v="Pave"/>
    <s v="NA"/>
    <s v="IR1"/>
    <s v="Lvl"/>
    <s v="AllPub"/>
    <s v="Corner"/>
    <s v="Gtl"/>
    <x v="9"/>
    <x v="0"/>
    <s v="Norm"/>
    <x v="0"/>
    <x v="5"/>
    <n v="6"/>
    <n v="7"/>
    <x v="54"/>
    <n v="1995"/>
    <s v="Gable"/>
    <s v="CompShg"/>
    <s v="HdBoard"/>
    <s v="Plywood"/>
    <s v="BrkFace"/>
    <n v="46"/>
    <s v="TA"/>
    <s v="TA"/>
    <s v="CBlock"/>
    <s v="Gd"/>
    <s v="Gd"/>
    <s v="Av"/>
    <s v="ALQ"/>
    <n v="506"/>
    <s v="Unf"/>
    <n v="0"/>
    <n v="0"/>
    <n v="506"/>
    <s v="GasA"/>
    <s v="TA"/>
    <s v="Y"/>
    <s v="SBrkr"/>
    <n v="1212"/>
    <n v="0"/>
    <n v="0"/>
    <x v="188"/>
    <n v="1"/>
    <n v="0"/>
    <n v="1"/>
    <n v="0"/>
    <n v="3"/>
    <n v="1"/>
    <s v="TA"/>
    <n v="6"/>
    <s v="Typ"/>
    <n v="1"/>
    <s v="TA"/>
    <s v="Attchd"/>
    <n v="1978"/>
    <s v="Unf"/>
    <n v="2"/>
    <n v="492"/>
    <s v="TA"/>
    <s v="TA"/>
    <s v="Y"/>
    <n v="292"/>
    <n v="12"/>
    <n v="0"/>
    <n v="0"/>
    <n v="0"/>
    <n v="0"/>
    <s v="NA"/>
    <s v="GdWo"/>
    <s v="NA"/>
    <n v="0"/>
    <n v="7"/>
    <n v="2006"/>
    <s v="WD"/>
    <s v="Normal"/>
    <n v="151000"/>
  </r>
  <r>
    <n v="264"/>
    <n v="50"/>
    <s v="RM"/>
    <n v="50"/>
    <n v="5500"/>
    <s v="Pave"/>
    <s v="NA"/>
    <s v="Reg"/>
    <s v="Lvl"/>
    <s v="AllPub"/>
    <s v="Corner"/>
    <s v="Gtl"/>
    <x v="7"/>
    <x v="0"/>
    <s v="Norm"/>
    <x v="0"/>
    <x v="2"/>
    <n v="5"/>
    <n v="7"/>
    <x v="15"/>
    <n v="2001"/>
    <s v="Gable"/>
    <s v="CompShg"/>
    <s v="Wd Sdng"/>
    <s v="Wd Sdng"/>
    <s v="None"/>
    <n v="0"/>
    <s v="TA"/>
    <s v="TA"/>
    <s v="BrkTil"/>
    <s v="TA"/>
    <s v="TA"/>
    <s v="No"/>
    <s v="LwQ"/>
    <n v="234"/>
    <s v="ALQ"/>
    <n v="692"/>
    <n v="0"/>
    <n v="926"/>
    <s v="GasA"/>
    <s v="TA"/>
    <s v="Y"/>
    <s v="SBrkr"/>
    <n v="926"/>
    <n v="0"/>
    <n v="390"/>
    <x v="225"/>
    <n v="1"/>
    <n v="0"/>
    <n v="1"/>
    <n v="0"/>
    <n v="3"/>
    <n v="1"/>
    <s v="TA"/>
    <n v="6"/>
    <s v="Typ"/>
    <n v="0"/>
    <s v="NA"/>
    <s v="Detchd"/>
    <n v="1974"/>
    <s v="Unf"/>
    <n v="2"/>
    <n v="484"/>
    <s v="TA"/>
    <s v="TA"/>
    <s v="Y"/>
    <n v="0"/>
    <n v="0"/>
    <n v="0"/>
    <n v="0"/>
    <n v="0"/>
    <n v="0"/>
    <s v="NA"/>
    <s v="NA"/>
    <s v="NA"/>
    <n v="0"/>
    <n v="4"/>
    <n v="2010"/>
    <s v="WD"/>
    <s v="Normal"/>
    <n v="130000"/>
  </r>
  <r>
    <n v="265"/>
    <n v="30"/>
    <s v="RM"/>
    <n v="30"/>
    <n v="5232"/>
    <s v="Pave"/>
    <s v="Grvl"/>
    <s v="IR3"/>
    <s v="Bnk"/>
    <s v="AllPub"/>
    <s v="Inside"/>
    <s v="Gtl"/>
    <x v="7"/>
    <x v="3"/>
    <s v="Norm"/>
    <x v="0"/>
    <x v="1"/>
    <n v="5"/>
    <n v="5"/>
    <x v="82"/>
    <n v="2004"/>
    <s v="Gable"/>
    <s v="CompShg"/>
    <s v="Wd Sdng"/>
    <s v="Wd Sdng"/>
    <s v="None"/>
    <n v="0"/>
    <s v="TA"/>
    <s v="TA"/>
    <s v="BrkTil"/>
    <s v="Fa"/>
    <s v="TA"/>
    <s v="No"/>
    <s v="Unf"/>
    <n v="0"/>
    <s v="Unf"/>
    <n v="0"/>
    <n v="680"/>
    <n v="680"/>
    <s v="GasA"/>
    <s v="Gd"/>
    <s v="N"/>
    <s v="FuseP"/>
    <n v="764"/>
    <n v="0"/>
    <n v="0"/>
    <x v="226"/>
    <n v="0"/>
    <n v="0"/>
    <n v="1"/>
    <n v="0"/>
    <n v="2"/>
    <n v="1"/>
    <s v="TA"/>
    <n v="4"/>
    <s v="Typ"/>
    <n v="0"/>
    <s v="NA"/>
    <s v="Detchd"/>
    <n v="1965"/>
    <s v="Unf"/>
    <n v="2"/>
    <n v="504"/>
    <s v="TA"/>
    <s v="TA"/>
    <s v="N"/>
    <n v="0"/>
    <n v="0"/>
    <n v="0"/>
    <n v="0"/>
    <n v="0"/>
    <n v="0"/>
    <s v="NA"/>
    <s v="NA"/>
    <s v="NA"/>
    <n v="0"/>
    <n v="6"/>
    <n v="2008"/>
    <s v="WD"/>
    <s v="Normal"/>
    <n v="73000"/>
  </r>
  <r>
    <n v="266"/>
    <n v="20"/>
    <s v="RL"/>
    <n v="78"/>
    <n v="12090"/>
    <s v="Pave"/>
    <s v="NA"/>
    <s v="IR1"/>
    <s v="Lvl"/>
    <s v="AllPub"/>
    <s v="Inside"/>
    <s v="Gtl"/>
    <x v="6"/>
    <x v="0"/>
    <s v="Norm"/>
    <x v="0"/>
    <x v="1"/>
    <n v="6"/>
    <n v="6"/>
    <x v="38"/>
    <n v="1981"/>
    <s v="Gable"/>
    <s v="CompShg"/>
    <s v="MetalSd"/>
    <s v="MetalSd"/>
    <s v="BrkFace"/>
    <n v="210"/>
    <s v="TA"/>
    <s v="Gd"/>
    <s v="CBlock"/>
    <s v="Gd"/>
    <s v="TA"/>
    <s v="No"/>
    <s v="GLQ"/>
    <n v="588"/>
    <s v="LwQ"/>
    <n v="228"/>
    <n v="606"/>
    <n v="1422"/>
    <s v="GasA"/>
    <s v="TA"/>
    <s v="Y"/>
    <s v="SBrkr"/>
    <n v="1422"/>
    <n v="0"/>
    <n v="0"/>
    <x v="227"/>
    <n v="0"/>
    <n v="0"/>
    <n v="2"/>
    <n v="0"/>
    <n v="3"/>
    <n v="1"/>
    <s v="Gd"/>
    <n v="7"/>
    <s v="Typ"/>
    <n v="1"/>
    <s v="TA"/>
    <s v="Attchd"/>
    <n v="1981"/>
    <s v="Fin"/>
    <n v="2"/>
    <n v="576"/>
    <s v="TA"/>
    <s v="TA"/>
    <s v="Y"/>
    <n v="276"/>
    <n v="0"/>
    <n v="0"/>
    <n v="0"/>
    <n v="0"/>
    <n v="0"/>
    <s v="NA"/>
    <s v="GdPrv"/>
    <s v="NA"/>
    <n v="0"/>
    <n v="6"/>
    <n v="2008"/>
    <s v="WD"/>
    <s v="Normal"/>
    <n v="175500"/>
  </r>
  <r>
    <n v="267"/>
    <n v="60"/>
    <s v="RL"/>
    <n v="70"/>
    <n v="11207"/>
    <s v="Pave"/>
    <s v="NA"/>
    <s v="IR1"/>
    <s v="HLS"/>
    <s v="AllPub"/>
    <s v="FR2"/>
    <s v="Gtl"/>
    <x v="17"/>
    <x v="0"/>
    <s v="Norm"/>
    <x v="0"/>
    <x v="0"/>
    <n v="6"/>
    <n v="5"/>
    <x v="35"/>
    <n v="1997"/>
    <s v="Gable"/>
    <s v="CompShg"/>
    <s v="VinylSd"/>
    <s v="VinylSd"/>
    <s v="None"/>
    <n v="0"/>
    <s v="TA"/>
    <s v="TA"/>
    <s v="PConc"/>
    <s v="Gd"/>
    <s v="TA"/>
    <s v="Av"/>
    <s v="GLQ"/>
    <n v="714"/>
    <s v="Unf"/>
    <n v="0"/>
    <n v="88"/>
    <n v="802"/>
    <s v="GasA"/>
    <s v="Gd"/>
    <s v="Y"/>
    <s v="SBrkr"/>
    <n v="802"/>
    <n v="709"/>
    <n v="0"/>
    <x v="228"/>
    <n v="1"/>
    <n v="0"/>
    <n v="2"/>
    <n v="1"/>
    <n v="3"/>
    <n v="1"/>
    <s v="TA"/>
    <n v="8"/>
    <s v="Typ"/>
    <n v="1"/>
    <s v="TA"/>
    <s v="Attchd"/>
    <n v="1997"/>
    <s v="Fin"/>
    <n v="2"/>
    <n v="413"/>
    <s v="TA"/>
    <s v="TA"/>
    <s v="Y"/>
    <n v="95"/>
    <n v="75"/>
    <n v="0"/>
    <n v="0"/>
    <n v="0"/>
    <n v="0"/>
    <s v="NA"/>
    <s v="NA"/>
    <s v="NA"/>
    <n v="0"/>
    <n v="6"/>
    <n v="2006"/>
    <s v="WD"/>
    <s v="Normal"/>
    <n v="185000"/>
  </r>
  <r>
    <n v="268"/>
    <n v="75"/>
    <s v="RL"/>
    <n v="60"/>
    <n v="8400"/>
    <s v="Pave"/>
    <s v="NA"/>
    <s v="Reg"/>
    <s v="Bnk"/>
    <s v="AllPub"/>
    <s v="Inside"/>
    <s v="Mod"/>
    <x v="23"/>
    <x v="0"/>
    <s v="Norm"/>
    <x v="0"/>
    <x v="7"/>
    <n v="5"/>
    <n v="8"/>
    <x v="9"/>
    <n v="1997"/>
    <s v="Gable"/>
    <s v="CompShg"/>
    <s v="Wd Sdng"/>
    <s v="Wd Sdng"/>
    <s v="None"/>
    <n v="0"/>
    <s v="TA"/>
    <s v="TA"/>
    <s v="PConc"/>
    <s v="TA"/>
    <s v="TA"/>
    <s v="No"/>
    <s v="LwQ"/>
    <n v="378"/>
    <s v="Unf"/>
    <n v="0"/>
    <n v="342"/>
    <n v="720"/>
    <s v="GasA"/>
    <s v="Ex"/>
    <s v="Y"/>
    <s v="SBrkr"/>
    <n v="1052"/>
    <n v="720"/>
    <n v="420"/>
    <x v="229"/>
    <n v="0"/>
    <n v="0"/>
    <n v="2"/>
    <n v="1"/>
    <n v="4"/>
    <n v="1"/>
    <s v="Gd"/>
    <n v="8"/>
    <s v="Typ"/>
    <n v="1"/>
    <s v="Gd"/>
    <s v="Detchd"/>
    <n v="1939"/>
    <s v="Unf"/>
    <n v="1"/>
    <n v="240"/>
    <s v="TA"/>
    <s v="TA"/>
    <s v="Y"/>
    <n v="262"/>
    <n v="24"/>
    <n v="0"/>
    <n v="0"/>
    <n v="0"/>
    <n v="0"/>
    <s v="NA"/>
    <s v="NA"/>
    <s v="NA"/>
    <n v="0"/>
    <n v="7"/>
    <n v="2008"/>
    <s v="WD"/>
    <s v="Normal"/>
    <n v="179500"/>
  </r>
  <r>
    <n v="269"/>
    <n v="30"/>
    <s v="RM"/>
    <n v="71"/>
    <n v="6900"/>
    <s v="Pave"/>
    <s v="NA"/>
    <s v="Reg"/>
    <s v="Lvl"/>
    <s v="AllPub"/>
    <s v="Inside"/>
    <s v="Gtl"/>
    <x v="13"/>
    <x v="0"/>
    <s v="Norm"/>
    <x v="0"/>
    <x v="1"/>
    <n v="5"/>
    <n v="6"/>
    <x v="70"/>
    <n v="1955"/>
    <s v="Gable"/>
    <s v="CompShg"/>
    <s v="VinylSd"/>
    <s v="VinylSd"/>
    <s v="None"/>
    <n v="0"/>
    <s v="TA"/>
    <s v="TA"/>
    <s v="CBlock"/>
    <s v="TA"/>
    <s v="TA"/>
    <s v="No"/>
    <s v="ALQ"/>
    <n v="403"/>
    <s v="Rec"/>
    <n v="125"/>
    <n v="212"/>
    <n v="740"/>
    <s v="GasA"/>
    <s v="Ex"/>
    <s v="Y"/>
    <s v="SBrkr"/>
    <n v="778"/>
    <n v="0"/>
    <n v="0"/>
    <x v="230"/>
    <n v="0"/>
    <n v="0"/>
    <n v="1"/>
    <n v="0"/>
    <n v="2"/>
    <n v="1"/>
    <s v="TA"/>
    <n v="4"/>
    <s v="Typ"/>
    <n v="1"/>
    <s v="Gd"/>
    <s v="Detchd"/>
    <n v="1966"/>
    <s v="Fin"/>
    <n v="1"/>
    <n v="924"/>
    <s v="Ex"/>
    <s v="Ex"/>
    <s v="Y"/>
    <n v="0"/>
    <n v="25"/>
    <n v="0"/>
    <n v="0"/>
    <n v="0"/>
    <n v="0"/>
    <s v="NA"/>
    <s v="NA"/>
    <s v="NA"/>
    <n v="0"/>
    <n v="2"/>
    <n v="2008"/>
    <s v="WD"/>
    <s v="Normal"/>
    <n v="120500"/>
  </r>
  <r>
    <n v="270"/>
    <n v="20"/>
    <s v="RL"/>
    <s v="NA"/>
    <n v="7917"/>
    <s v="Pave"/>
    <s v="NA"/>
    <s v="IR1"/>
    <s v="Lvl"/>
    <s v="AllPub"/>
    <s v="Corner"/>
    <s v="Gtl"/>
    <x v="15"/>
    <x v="0"/>
    <s v="Norm"/>
    <x v="0"/>
    <x v="1"/>
    <n v="6"/>
    <n v="7"/>
    <x v="1"/>
    <n v="1976"/>
    <s v="Hip"/>
    <s v="CompShg"/>
    <s v="HdBoard"/>
    <s v="HdBoard"/>
    <s v="BrkFace"/>
    <n v="174"/>
    <s v="TA"/>
    <s v="Gd"/>
    <s v="CBlock"/>
    <s v="TA"/>
    <s v="Gd"/>
    <s v="No"/>
    <s v="BLQ"/>
    <n v="751"/>
    <s v="Unf"/>
    <n v="0"/>
    <n v="392"/>
    <n v="1143"/>
    <s v="GasA"/>
    <s v="TA"/>
    <s v="Y"/>
    <s v="SBrkr"/>
    <n v="1113"/>
    <n v="0"/>
    <n v="0"/>
    <x v="231"/>
    <n v="1"/>
    <n v="0"/>
    <n v="1"/>
    <n v="1"/>
    <n v="3"/>
    <n v="1"/>
    <s v="TA"/>
    <n v="6"/>
    <s v="Typ"/>
    <n v="1"/>
    <s v="Fa"/>
    <s v="Attchd"/>
    <n v="1987"/>
    <s v="RFn"/>
    <n v="1"/>
    <n v="504"/>
    <s v="TA"/>
    <s v="Gd"/>
    <s v="Y"/>
    <n v="370"/>
    <n v="30"/>
    <n v="0"/>
    <n v="0"/>
    <n v="0"/>
    <n v="0"/>
    <s v="NA"/>
    <s v="GdPrv"/>
    <s v="NA"/>
    <n v="0"/>
    <n v="5"/>
    <n v="2007"/>
    <s v="WD"/>
    <s v="Normal"/>
    <n v="148000"/>
  </r>
  <r>
    <n v="271"/>
    <n v="60"/>
    <s v="FV"/>
    <n v="84"/>
    <n v="10728"/>
    <s v="Pave"/>
    <s v="NA"/>
    <s v="Reg"/>
    <s v="Lvl"/>
    <s v="AllPub"/>
    <s v="Inside"/>
    <s v="Gtl"/>
    <x v="5"/>
    <x v="0"/>
    <s v="Norm"/>
    <x v="0"/>
    <x v="0"/>
    <n v="8"/>
    <n v="5"/>
    <x v="13"/>
    <n v="2006"/>
    <s v="Gable"/>
    <s v="CompShg"/>
    <s v="VinylSd"/>
    <s v="VinylSd"/>
    <s v="None"/>
    <n v="0"/>
    <s v="Gd"/>
    <s v="TA"/>
    <s v="PConc"/>
    <s v="Gd"/>
    <s v="TA"/>
    <s v="Mn"/>
    <s v="Unf"/>
    <n v="0"/>
    <s v="Unf"/>
    <n v="0"/>
    <n v="1095"/>
    <n v="1095"/>
    <s v="GasA"/>
    <s v="Gd"/>
    <s v="Y"/>
    <s v="SBrkr"/>
    <n v="1095"/>
    <n v="844"/>
    <n v="0"/>
    <x v="232"/>
    <n v="0"/>
    <n v="0"/>
    <n v="2"/>
    <n v="1"/>
    <n v="3"/>
    <n v="1"/>
    <s v="Gd"/>
    <n v="8"/>
    <s v="Typ"/>
    <n v="1"/>
    <s v="Gd"/>
    <s v="Attchd"/>
    <n v="2006"/>
    <s v="RFn"/>
    <n v="3"/>
    <n v="1053"/>
    <s v="TA"/>
    <s v="TA"/>
    <s v="Y"/>
    <n v="192"/>
    <n v="51"/>
    <n v="0"/>
    <n v="0"/>
    <n v="0"/>
    <n v="0"/>
    <s v="NA"/>
    <s v="NA"/>
    <s v="NA"/>
    <n v="0"/>
    <n v="8"/>
    <n v="2006"/>
    <s v="New"/>
    <s v="Partial"/>
    <n v="266000"/>
  </r>
  <r>
    <n v="272"/>
    <n v="20"/>
    <s v="RL"/>
    <n v="73"/>
    <n v="39104"/>
    <s v="Pave"/>
    <s v="NA"/>
    <s v="IR1"/>
    <s v="Low"/>
    <s v="AllPub"/>
    <s v="CulDSac"/>
    <s v="Sev"/>
    <x v="19"/>
    <x v="0"/>
    <s v="Norm"/>
    <x v="0"/>
    <x v="1"/>
    <n v="7"/>
    <n v="7"/>
    <x v="30"/>
    <n v="2005"/>
    <s v="Flat"/>
    <s v="Membran"/>
    <s v="Plywood"/>
    <s v="Plywood"/>
    <s v="None"/>
    <n v="0"/>
    <s v="TA"/>
    <s v="TA"/>
    <s v="CBlock"/>
    <s v="Gd"/>
    <s v="TA"/>
    <s v="Gd"/>
    <s v="LwQ"/>
    <n v="226"/>
    <s v="GLQ"/>
    <n v="1063"/>
    <n v="96"/>
    <n v="1385"/>
    <s v="GasA"/>
    <s v="Ex"/>
    <s v="Y"/>
    <s v="SBrkr"/>
    <n v="1363"/>
    <n v="0"/>
    <n v="0"/>
    <x v="233"/>
    <n v="1"/>
    <n v="0"/>
    <n v="1"/>
    <n v="0"/>
    <n v="2"/>
    <n v="1"/>
    <s v="TA"/>
    <n v="5"/>
    <s v="Mod"/>
    <n v="2"/>
    <s v="TA"/>
    <s v="Attchd"/>
    <n v="1954"/>
    <s v="Unf"/>
    <n v="2"/>
    <n v="439"/>
    <s v="TA"/>
    <s v="TA"/>
    <s v="Y"/>
    <n v="81"/>
    <n v="0"/>
    <n v="0"/>
    <n v="0"/>
    <n v="0"/>
    <n v="0"/>
    <s v="NA"/>
    <s v="NA"/>
    <s v="NA"/>
    <n v="0"/>
    <n v="4"/>
    <n v="2008"/>
    <s v="WD"/>
    <s v="Normal"/>
    <n v="241500"/>
  </r>
  <r>
    <n v="273"/>
    <n v="60"/>
    <s v="RL"/>
    <n v="92"/>
    <n v="11764"/>
    <s v="Pave"/>
    <s v="NA"/>
    <s v="IR1"/>
    <s v="Lvl"/>
    <s v="AllPub"/>
    <s v="CulDSac"/>
    <s v="Gtl"/>
    <x v="3"/>
    <x v="0"/>
    <s v="Norm"/>
    <x v="0"/>
    <x v="0"/>
    <n v="8"/>
    <n v="7"/>
    <x v="40"/>
    <n v="2007"/>
    <s v="Gable"/>
    <s v="CompShg"/>
    <s v="VinylSd"/>
    <s v="VinylSd"/>
    <s v="BrkFace"/>
    <n v="348"/>
    <s v="Gd"/>
    <s v="TA"/>
    <s v="PConc"/>
    <s v="Gd"/>
    <s v="TA"/>
    <s v="No"/>
    <s v="GLQ"/>
    <n v="524"/>
    <s v="Unf"/>
    <n v="0"/>
    <n v="628"/>
    <n v="1152"/>
    <s v="GasA"/>
    <s v="Ex"/>
    <s v="Y"/>
    <s v="SBrkr"/>
    <n v="1164"/>
    <n v="1106"/>
    <n v="0"/>
    <x v="234"/>
    <n v="0"/>
    <n v="0"/>
    <n v="2"/>
    <n v="1"/>
    <n v="4"/>
    <n v="1"/>
    <s v="Gd"/>
    <n v="9"/>
    <s v="Typ"/>
    <n v="1"/>
    <s v="Gd"/>
    <s v="Attchd"/>
    <n v="1999"/>
    <s v="Fin"/>
    <n v="3"/>
    <n v="671"/>
    <s v="TA"/>
    <s v="TA"/>
    <s v="Y"/>
    <n v="132"/>
    <n v="57"/>
    <n v="0"/>
    <n v="0"/>
    <n v="0"/>
    <n v="0"/>
    <s v="NA"/>
    <s v="NA"/>
    <s v="NA"/>
    <n v="0"/>
    <n v="4"/>
    <n v="2010"/>
    <s v="WD"/>
    <s v="Normal"/>
    <n v="290000"/>
  </r>
  <r>
    <n v="274"/>
    <n v="20"/>
    <s v="RL"/>
    <n v="80"/>
    <n v="9600"/>
    <s v="Pave"/>
    <s v="NA"/>
    <s v="Reg"/>
    <s v="Lvl"/>
    <s v="AllPub"/>
    <s v="Inside"/>
    <s v="Gtl"/>
    <x v="11"/>
    <x v="1"/>
    <s v="Norm"/>
    <x v="0"/>
    <x v="1"/>
    <n v="6"/>
    <n v="6"/>
    <x v="18"/>
    <n v="1988"/>
    <s v="Hip"/>
    <s v="CompShg"/>
    <s v="Wd Sdng"/>
    <s v="Wd Sdng"/>
    <s v="BrkCmn"/>
    <n v="183"/>
    <s v="TA"/>
    <s v="TA"/>
    <s v="CBlock"/>
    <s v="TA"/>
    <s v="TA"/>
    <s v="No"/>
    <s v="Rec"/>
    <n v="620"/>
    <s v="LwQ"/>
    <n v="620"/>
    <n v="0"/>
    <n v="1240"/>
    <s v="GasA"/>
    <s v="Gd"/>
    <s v="Y"/>
    <s v="SBrkr"/>
    <n v="1632"/>
    <n v="0"/>
    <n v="0"/>
    <x v="235"/>
    <n v="1"/>
    <n v="0"/>
    <n v="2"/>
    <n v="0"/>
    <n v="3"/>
    <n v="1"/>
    <s v="TA"/>
    <n v="6"/>
    <s v="Min1"/>
    <n v="1"/>
    <s v="Gd"/>
    <s v="Attchd"/>
    <n v="1958"/>
    <s v="RFn"/>
    <n v="1"/>
    <n v="338"/>
    <s v="TA"/>
    <s v="TA"/>
    <s v="Y"/>
    <n v="289"/>
    <n v="0"/>
    <n v="0"/>
    <n v="0"/>
    <n v="0"/>
    <n v="0"/>
    <s v="NA"/>
    <s v="MnPrv"/>
    <s v="NA"/>
    <n v="0"/>
    <n v="4"/>
    <n v="2009"/>
    <s v="WD"/>
    <s v="Normal"/>
    <n v="139000"/>
  </r>
  <r>
    <n v="275"/>
    <n v="20"/>
    <s v="RL"/>
    <n v="76"/>
    <n v="8314"/>
    <s v="Pave"/>
    <s v="NA"/>
    <s v="Reg"/>
    <s v="Lvl"/>
    <s v="AllPub"/>
    <s v="Corner"/>
    <s v="Gtl"/>
    <x v="4"/>
    <x v="0"/>
    <s v="Norm"/>
    <x v="0"/>
    <x v="1"/>
    <n v="5"/>
    <n v="7"/>
    <x v="44"/>
    <n v="1982"/>
    <s v="Gable"/>
    <s v="CompShg"/>
    <s v="HdBoard"/>
    <s v="ImStucc"/>
    <s v="None"/>
    <n v="0"/>
    <s v="TA"/>
    <s v="TA"/>
    <s v="CBlock"/>
    <s v="TA"/>
    <s v="TA"/>
    <s v="Gd"/>
    <s v="ALQ"/>
    <n v="546"/>
    <s v="Unf"/>
    <n v="0"/>
    <n v="270"/>
    <n v="816"/>
    <s v="GasA"/>
    <s v="TA"/>
    <s v="Y"/>
    <s v="SBrkr"/>
    <n v="816"/>
    <n v="0"/>
    <n v="0"/>
    <x v="50"/>
    <n v="0"/>
    <n v="0"/>
    <n v="1"/>
    <n v="0"/>
    <n v="2"/>
    <n v="1"/>
    <s v="TA"/>
    <n v="5"/>
    <s v="Typ"/>
    <n v="0"/>
    <s v="NA"/>
    <s v="Attchd"/>
    <n v="1982"/>
    <s v="Unf"/>
    <n v="1"/>
    <n v="264"/>
    <s v="TA"/>
    <s v="TA"/>
    <s v="Y"/>
    <n v="168"/>
    <n v="0"/>
    <n v="0"/>
    <n v="0"/>
    <n v="0"/>
    <n v="0"/>
    <s v="NA"/>
    <s v="NA"/>
    <s v="NA"/>
    <n v="0"/>
    <n v="6"/>
    <n v="2007"/>
    <s v="WD"/>
    <s v="Normal"/>
    <n v="124500"/>
  </r>
  <r>
    <n v="276"/>
    <n v="50"/>
    <s v="RL"/>
    <n v="55"/>
    <n v="7264"/>
    <s v="Pave"/>
    <s v="NA"/>
    <s v="Reg"/>
    <s v="Lvl"/>
    <s v="AllPub"/>
    <s v="Inside"/>
    <s v="Gtl"/>
    <x v="8"/>
    <x v="0"/>
    <s v="Norm"/>
    <x v="0"/>
    <x v="2"/>
    <n v="7"/>
    <n v="7"/>
    <x v="82"/>
    <n v="2007"/>
    <s v="Gable"/>
    <s v="CompShg"/>
    <s v="Wd Sdng"/>
    <s v="Wd Sdng"/>
    <s v="None"/>
    <n v="0"/>
    <s v="Gd"/>
    <s v="Gd"/>
    <s v="BrkTil"/>
    <s v="TA"/>
    <s v="TA"/>
    <s v="No"/>
    <s v="Unf"/>
    <n v="0"/>
    <s v="Unf"/>
    <n v="0"/>
    <n v="952"/>
    <n v="952"/>
    <s v="GasW"/>
    <s v="Gd"/>
    <s v="N"/>
    <s v="SBrkr"/>
    <n v="952"/>
    <n v="596"/>
    <n v="0"/>
    <x v="236"/>
    <n v="0"/>
    <n v="0"/>
    <n v="2"/>
    <n v="1"/>
    <n v="3"/>
    <n v="1"/>
    <s v="Ex"/>
    <n v="5"/>
    <s v="Typ"/>
    <n v="0"/>
    <s v="NA"/>
    <s v="Detchd"/>
    <n v="1978"/>
    <s v="Unf"/>
    <n v="2"/>
    <n v="672"/>
    <s v="TA"/>
    <s v="TA"/>
    <s v="Y"/>
    <n v="74"/>
    <n v="0"/>
    <n v="0"/>
    <n v="0"/>
    <n v="144"/>
    <n v="0"/>
    <s v="NA"/>
    <s v="NA"/>
    <s v="NA"/>
    <n v="0"/>
    <n v="10"/>
    <n v="2009"/>
    <s v="WD"/>
    <s v="Normal"/>
    <n v="205000"/>
  </r>
  <r>
    <n v="277"/>
    <n v="20"/>
    <s v="RL"/>
    <n v="129"/>
    <n v="9196"/>
    <s v="Pave"/>
    <s v="NA"/>
    <s v="IR1"/>
    <s v="Lvl"/>
    <s v="AllPub"/>
    <s v="Inside"/>
    <s v="Gtl"/>
    <x v="4"/>
    <x v="0"/>
    <s v="Norm"/>
    <x v="0"/>
    <x v="1"/>
    <n v="7"/>
    <n v="5"/>
    <x v="0"/>
    <n v="2003"/>
    <s v="Gable"/>
    <s v="CompShg"/>
    <s v="VinylSd"/>
    <s v="VinylSd"/>
    <s v="None"/>
    <n v="0"/>
    <s v="Gd"/>
    <s v="TA"/>
    <s v="PConc"/>
    <s v="Ex"/>
    <s v="TA"/>
    <s v="No"/>
    <s v="Unf"/>
    <n v="0"/>
    <s v="Unf"/>
    <n v="0"/>
    <n v="1560"/>
    <n v="1560"/>
    <s v="GasA"/>
    <s v="Ex"/>
    <s v="Y"/>
    <s v="SBrkr"/>
    <n v="1560"/>
    <n v="0"/>
    <n v="0"/>
    <x v="83"/>
    <n v="0"/>
    <n v="0"/>
    <n v="2"/>
    <n v="0"/>
    <n v="3"/>
    <n v="1"/>
    <s v="Gd"/>
    <n v="7"/>
    <s v="Typ"/>
    <n v="0"/>
    <s v="NA"/>
    <s v="Attchd"/>
    <n v="2003"/>
    <s v="Fin"/>
    <n v="2"/>
    <n v="573"/>
    <s v="TA"/>
    <s v="TA"/>
    <s v="Y"/>
    <n v="100"/>
    <n v="150"/>
    <n v="0"/>
    <n v="0"/>
    <n v="0"/>
    <n v="0"/>
    <s v="NA"/>
    <s v="NA"/>
    <s v="NA"/>
    <n v="0"/>
    <n v="4"/>
    <n v="2010"/>
    <s v="WD"/>
    <s v="Normal"/>
    <n v="201000"/>
  </r>
  <r>
    <n v="278"/>
    <n v="20"/>
    <s v="RL"/>
    <n v="140"/>
    <n v="19138"/>
    <s v="Pave"/>
    <s v="NA"/>
    <s v="Reg"/>
    <s v="Lvl"/>
    <s v="AllPub"/>
    <s v="Corner"/>
    <s v="Gtl"/>
    <x v="17"/>
    <x v="0"/>
    <s v="Norm"/>
    <x v="0"/>
    <x v="1"/>
    <n v="4"/>
    <n v="5"/>
    <x v="23"/>
    <n v="1951"/>
    <s v="Gable"/>
    <s v="CompShg"/>
    <s v="VinylSd"/>
    <s v="VinylSd"/>
    <s v="None"/>
    <n v="0"/>
    <s v="TA"/>
    <s v="TA"/>
    <s v="CBlock"/>
    <s v="TA"/>
    <s v="TA"/>
    <s v="No"/>
    <s v="LwQ"/>
    <n v="120"/>
    <s v="Unf"/>
    <n v="0"/>
    <n v="744"/>
    <n v="864"/>
    <s v="GasA"/>
    <s v="Ex"/>
    <s v="Y"/>
    <s v="SBrkr"/>
    <n v="864"/>
    <n v="0"/>
    <n v="0"/>
    <x v="132"/>
    <n v="0"/>
    <n v="0"/>
    <n v="1"/>
    <n v="0"/>
    <n v="2"/>
    <n v="1"/>
    <s v="TA"/>
    <n v="4"/>
    <s v="Typ"/>
    <n v="0"/>
    <s v="NA"/>
    <s v="Detchd"/>
    <n v="1951"/>
    <s v="Unf"/>
    <n v="2"/>
    <n v="400"/>
    <s v="TA"/>
    <s v="TA"/>
    <s v="Y"/>
    <n v="0"/>
    <n v="0"/>
    <n v="0"/>
    <n v="0"/>
    <n v="0"/>
    <n v="0"/>
    <s v="NA"/>
    <s v="NA"/>
    <s v="NA"/>
    <n v="0"/>
    <n v="6"/>
    <n v="2010"/>
    <s v="WD"/>
    <s v="Normal"/>
    <n v="141000"/>
  </r>
  <r>
    <n v="279"/>
    <n v="20"/>
    <s v="RL"/>
    <n v="107"/>
    <n v="14450"/>
    <s v="Pave"/>
    <s v="NA"/>
    <s v="Reg"/>
    <s v="Lvl"/>
    <s v="AllPub"/>
    <s v="Inside"/>
    <s v="Gtl"/>
    <x v="10"/>
    <x v="0"/>
    <s v="Norm"/>
    <x v="0"/>
    <x v="1"/>
    <n v="9"/>
    <n v="5"/>
    <x v="13"/>
    <n v="2007"/>
    <s v="Gable"/>
    <s v="CompShg"/>
    <s v="CemntBd"/>
    <s v="CmentBd"/>
    <s v="BrkFace"/>
    <n v="315"/>
    <s v="Ex"/>
    <s v="TA"/>
    <s v="PConc"/>
    <s v="Ex"/>
    <s v="TA"/>
    <s v="Gd"/>
    <s v="Unf"/>
    <n v="0"/>
    <s v="Unf"/>
    <n v="0"/>
    <n v="2121"/>
    <n v="2121"/>
    <s v="GasA"/>
    <s v="Ex"/>
    <s v="Y"/>
    <s v="SBrkr"/>
    <n v="2121"/>
    <n v="0"/>
    <n v="0"/>
    <x v="237"/>
    <n v="0"/>
    <n v="0"/>
    <n v="2"/>
    <n v="1"/>
    <n v="3"/>
    <n v="1"/>
    <s v="Ex"/>
    <n v="8"/>
    <s v="Typ"/>
    <n v="1"/>
    <s v="Ex"/>
    <s v="Attchd"/>
    <n v="2007"/>
    <s v="Fin"/>
    <n v="3"/>
    <n v="732"/>
    <s v="TA"/>
    <s v="TA"/>
    <s v="Y"/>
    <n v="124"/>
    <n v="98"/>
    <n v="0"/>
    <n v="0"/>
    <n v="142"/>
    <n v="0"/>
    <s v="NA"/>
    <s v="NA"/>
    <s v="NA"/>
    <n v="0"/>
    <n v="5"/>
    <n v="2007"/>
    <s v="New"/>
    <s v="Partial"/>
    <n v="415298"/>
  </r>
  <r>
    <n v="280"/>
    <n v="60"/>
    <s v="RL"/>
    <n v="83"/>
    <n v="10005"/>
    <s v="Pave"/>
    <s v="NA"/>
    <s v="Reg"/>
    <s v="Lvl"/>
    <s v="AllPub"/>
    <s v="Inside"/>
    <s v="Gtl"/>
    <x v="19"/>
    <x v="0"/>
    <s v="Norm"/>
    <x v="0"/>
    <x v="0"/>
    <n v="7"/>
    <n v="5"/>
    <x v="54"/>
    <n v="1977"/>
    <s v="Hip"/>
    <s v="CompShg"/>
    <s v="Plywood"/>
    <s v="Plywood"/>
    <s v="BrkFace"/>
    <n v="299"/>
    <s v="TA"/>
    <s v="TA"/>
    <s v="CBlock"/>
    <s v="Gd"/>
    <s v="TA"/>
    <s v="No"/>
    <s v="BLQ"/>
    <n v="392"/>
    <s v="Unf"/>
    <n v="0"/>
    <n v="768"/>
    <n v="1160"/>
    <s v="GasA"/>
    <s v="Ex"/>
    <s v="Y"/>
    <s v="SBrkr"/>
    <n v="1156"/>
    <n v="866"/>
    <n v="0"/>
    <x v="238"/>
    <n v="0"/>
    <n v="0"/>
    <n v="2"/>
    <n v="1"/>
    <n v="4"/>
    <n v="1"/>
    <s v="TA"/>
    <n v="8"/>
    <s v="Typ"/>
    <n v="1"/>
    <s v="TA"/>
    <s v="Attchd"/>
    <n v="1977"/>
    <s v="Fin"/>
    <n v="2"/>
    <n v="505"/>
    <s v="TA"/>
    <s v="TA"/>
    <s v="Y"/>
    <n v="288"/>
    <n v="117"/>
    <n v="0"/>
    <n v="0"/>
    <n v="0"/>
    <n v="0"/>
    <s v="NA"/>
    <s v="NA"/>
    <s v="NA"/>
    <n v="0"/>
    <n v="3"/>
    <n v="2008"/>
    <s v="WD"/>
    <s v="Normal"/>
    <n v="192000"/>
  </r>
  <r>
    <n v="281"/>
    <n v="60"/>
    <s v="RL"/>
    <n v="82"/>
    <n v="11287"/>
    <s v="Pave"/>
    <s v="NA"/>
    <s v="Reg"/>
    <s v="Lvl"/>
    <s v="AllPub"/>
    <s v="Inside"/>
    <s v="Gtl"/>
    <x v="12"/>
    <x v="0"/>
    <s v="Norm"/>
    <x v="0"/>
    <x v="0"/>
    <n v="7"/>
    <n v="6"/>
    <x v="85"/>
    <n v="1989"/>
    <s v="Gable"/>
    <s v="CompShg"/>
    <s v="Plywood"/>
    <s v="Plywood"/>
    <s v="BrkFace"/>
    <n v="340"/>
    <s v="Gd"/>
    <s v="TA"/>
    <s v="CBlock"/>
    <s v="Gd"/>
    <s v="TA"/>
    <s v="Av"/>
    <s v="GLQ"/>
    <n v="421"/>
    <s v="Unf"/>
    <n v="0"/>
    <n v="386"/>
    <n v="807"/>
    <s v="GasA"/>
    <s v="Gd"/>
    <s v="Y"/>
    <s v="SBrkr"/>
    <n v="1175"/>
    <n v="807"/>
    <n v="0"/>
    <x v="239"/>
    <n v="0"/>
    <n v="0"/>
    <n v="2"/>
    <n v="1"/>
    <n v="3"/>
    <n v="1"/>
    <s v="Gd"/>
    <n v="7"/>
    <s v="Typ"/>
    <n v="1"/>
    <s v="TA"/>
    <s v="Attchd"/>
    <n v="1989"/>
    <s v="Fin"/>
    <n v="2"/>
    <n v="575"/>
    <s v="TA"/>
    <s v="TA"/>
    <s v="Y"/>
    <n v="0"/>
    <n v="84"/>
    <n v="0"/>
    <n v="196"/>
    <n v="0"/>
    <n v="0"/>
    <s v="NA"/>
    <s v="NA"/>
    <s v="NA"/>
    <n v="0"/>
    <n v="1"/>
    <n v="2007"/>
    <s v="WD"/>
    <s v="Normal"/>
    <n v="228500"/>
  </r>
  <r>
    <n v="282"/>
    <n v="20"/>
    <s v="FV"/>
    <n v="60"/>
    <n v="7200"/>
    <s v="Pave"/>
    <s v="Pave"/>
    <s v="Reg"/>
    <s v="Lvl"/>
    <s v="AllPub"/>
    <s v="Inside"/>
    <s v="Gtl"/>
    <x v="5"/>
    <x v="0"/>
    <s v="Norm"/>
    <x v="0"/>
    <x v="1"/>
    <n v="6"/>
    <n v="5"/>
    <x v="13"/>
    <n v="2006"/>
    <s v="Gable"/>
    <s v="CompShg"/>
    <s v="VinylSd"/>
    <s v="VinylSd"/>
    <s v="Stone"/>
    <n v="68"/>
    <s v="Gd"/>
    <s v="TA"/>
    <s v="PConc"/>
    <s v="Gd"/>
    <s v="TA"/>
    <s v="No"/>
    <s v="GLQ"/>
    <n v="905"/>
    <s v="Unf"/>
    <n v="0"/>
    <n v="357"/>
    <n v="1262"/>
    <s v="GasA"/>
    <s v="Gd"/>
    <s v="Y"/>
    <s v="SBrkr"/>
    <n v="1262"/>
    <n v="0"/>
    <n v="0"/>
    <x v="1"/>
    <n v="0"/>
    <n v="0"/>
    <n v="2"/>
    <n v="0"/>
    <n v="2"/>
    <n v="1"/>
    <s v="Gd"/>
    <n v="5"/>
    <s v="Typ"/>
    <n v="0"/>
    <s v="NA"/>
    <s v="Attchd"/>
    <n v="2006"/>
    <s v="Fin"/>
    <n v="2"/>
    <n v="572"/>
    <s v="TA"/>
    <s v="TA"/>
    <s v="Y"/>
    <n v="0"/>
    <n v="120"/>
    <n v="0"/>
    <n v="0"/>
    <n v="0"/>
    <n v="0"/>
    <s v="NA"/>
    <s v="NA"/>
    <s v="NA"/>
    <n v="0"/>
    <n v="5"/>
    <n v="2006"/>
    <s v="New"/>
    <s v="Partial"/>
    <n v="185000"/>
  </r>
  <r>
    <n v="283"/>
    <n v="120"/>
    <s v="RL"/>
    <n v="34"/>
    <n v="5063"/>
    <s v="Pave"/>
    <s v="NA"/>
    <s v="Reg"/>
    <s v="Lvl"/>
    <s v="AllPub"/>
    <s v="Inside"/>
    <s v="Gtl"/>
    <x v="10"/>
    <x v="0"/>
    <s v="Norm"/>
    <x v="4"/>
    <x v="1"/>
    <n v="7"/>
    <n v="5"/>
    <x v="22"/>
    <n v="2008"/>
    <s v="Gable"/>
    <s v="CompShg"/>
    <s v="VinylSd"/>
    <s v="VinylSd"/>
    <s v="Stone"/>
    <n v="166"/>
    <s v="Gd"/>
    <s v="TA"/>
    <s v="PConc"/>
    <s v="Gd"/>
    <s v="TA"/>
    <s v="No"/>
    <s v="GLQ"/>
    <n v="904"/>
    <s v="Unf"/>
    <n v="0"/>
    <n v="410"/>
    <n v="1314"/>
    <s v="GasA"/>
    <s v="Ex"/>
    <s v="Y"/>
    <s v="SBrkr"/>
    <n v="1314"/>
    <n v="0"/>
    <n v="0"/>
    <x v="221"/>
    <n v="1"/>
    <n v="0"/>
    <n v="2"/>
    <n v="0"/>
    <n v="2"/>
    <n v="1"/>
    <s v="Gd"/>
    <n v="6"/>
    <s v="Typ"/>
    <n v="1"/>
    <s v="Gd"/>
    <s v="Attchd"/>
    <n v="2008"/>
    <s v="RFn"/>
    <n v="2"/>
    <n v="626"/>
    <s v="TA"/>
    <s v="TA"/>
    <s v="Y"/>
    <n v="172"/>
    <n v="62"/>
    <n v="0"/>
    <n v="0"/>
    <n v="0"/>
    <n v="0"/>
    <s v="NA"/>
    <s v="NA"/>
    <s v="NA"/>
    <n v="0"/>
    <n v="4"/>
    <n v="2009"/>
    <s v="ConLw"/>
    <s v="Normal"/>
    <n v="207500"/>
  </r>
  <r>
    <n v="284"/>
    <n v="20"/>
    <s v="RL"/>
    <n v="74"/>
    <n v="9612"/>
    <s v="Pave"/>
    <s v="NA"/>
    <s v="Reg"/>
    <s v="Lvl"/>
    <s v="AllPub"/>
    <s v="Inside"/>
    <s v="Gtl"/>
    <x v="5"/>
    <x v="1"/>
    <s v="Norm"/>
    <x v="0"/>
    <x v="1"/>
    <n v="8"/>
    <n v="5"/>
    <x v="74"/>
    <n v="2009"/>
    <s v="Gable"/>
    <s v="CompShg"/>
    <s v="VinylSd"/>
    <s v="VinylSd"/>
    <s v="Stone"/>
    <n v="72"/>
    <s v="Gd"/>
    <s v="TA"/>
    <s v="PConc"/>
    <s v="Gd"/>
    <s v="TA"/>
    <s v="No"/>
    <s v="Unf"/>
    <n v="0"/>
    <s v="Unf"/>
    <n v="0"/>
    <n v="1468"/>
    <n v="1468"/>
    <s v="GasA"/>
    <s v="Ex"/>
    <s v="Y"/>
    <s v="SBrkr"/>
    <n v="1468"/>
    <n v="0"/>
    <n v="0"/>
    <x v="240"/>
    <n v="0"/>
    <n v="0"/>
    <n v="2"/>
    <n v="0"/>
    <n v="3"/>
    <n v="1"/>
    <s v="Gd"/>
    <n v="6"/>
    <s v="Typ"/>
    <n v="1"/>
    <s v="Gd"/>
    <s v="Attchd"/>
    <n v="2008"/>
    <s v="Fin"/>
    <n v="3"/>
    <n v="898"/>
    <s v="TA"/>
    <s v="TA"/>
    <s v="Y"/>
    <n v="210"/>
    <n v="150"/>
    <n v="0"/>
    <n v="0"/>
    <n v="0"/>
    <n v="0"/>
    <s v="NA"/>
    <s v="NA"/>
    <s v="NA"/>
    <n v="0"/>
    <n v="12"/>
    <n v="2009"/>
    <s v="New"/>
    <s v="Partial"/>
    <n v="244600"/>
  </r>
  <r>
    <n v="285"/>
    <n v="120"/>
    <s v="RL"/>
    <n v="50"/>
    <n v="8012"/>
    <s v="Pave"/>
    <s v="NA"/>
    <s v="Reg"/>
    <s v="Lvl"/>
    <s v="AllPub"/>
    <s v="Inside"/>
    <s v="Gtl"/>
    <x v="12"/>
    <x v="0"/>
    <s v="Norm"/>
    <x v="3"/>
    <x v="1"/>
    <n v="6"/>
    <n v="5"/>
    <x v="86"/>
    <n v="1992"/>
    <s v="Gable"/>
    <s v="CompShg"/>
    <s v="Plywood"/>
    <s v="ImStucc"/>
    <s v="None"/>
    <n v="0"/>
    <s v="Gd"/>
    <s v="TA"/>
    <s v="PConc"/>
    <s v="Gd"/>
    <s v="TA"/>
    <s v="No"/>
    <s v="GLQ"/>
    <n v="430"/>
    <s v="Unf"/>
    <n v="0"/>
    <n v="1145"/>
    <n v="1575"/>
    <s v="GasA"/>
    <s v="Gd"/>
    <s v="Y"/>
    <s v="SBrkr"/>
    <n v="1575"/>
    <n v="0"/>
    <n v="0"/>
    <x v="241"/>
    <n v="1"/>
    <n v="0"/>
    <n v="2"/>
    <n v="0"/>
    <n v="2"/>
    <n v="1"/>
    <s v="Gd"/>
    <n v="5"/>
    <s v="Typ"/>
    <n v="0"/>
    <s v="NA"/>
    <s v="Attchd"/>
    <n v="1992"/>
    <s v="RFn"/>
    <n v="2"/>
    <n v="529"/>
    <s v="TA"/>
    <s v="TA"/>
    <s v="Y"/>
    <n v="0"/>
    <n v="0"/>
    <n v="52"/>
    <n v="0"/>
    <n v="0"/>
    <n v="0"/>
    <s v="NA"/>
    <s v="NA"/>
    <s v="NA"/>
    <n v="0"/>
    <n v="7"/>
    <n v="2007"/>
    <s v="WD"/>
    <s v="Normal"/>
    <n v="179200"/>
  </r>
  <r>
    <n v="286"/>
    <n v="160"/>
    <s v="FV"/>
    <n v="35"/>
    <n v="4251"/>
    <s v="Pave"/>
    <s v="Pave"/>
    <s v="IR1"/>
    <s v="Lvl"/>
    <s v="AllPub"/>
    <s v="Inside"/>
    <s v="Gtl"/>
    <x v="5"/>
    <x v="0"/>
    <s v="Norm"/>
    <x v="3"/>
    <x v="0"/>
    <n v="7"/>
    <n v="5"/>
    <x v="13"/>
    <n v="2007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25"/>
    <n v="625"/>
    <s v="GasA"/>
    <s v="Ex"/>
    <s v="Y"/>
    <s v="SBrkr"/>
    <n v="625"/>
    <n v="625"/>
    <n v="0"/>
    <x v="242"/>
    <n v="0"/>
    <n v="0"/>
    <n v="2"/>
    <n v="1"/>
    <n v="2"/>
    <n v="1"/>
    <s v="Gd"/>
    <n v="5"/>
    <s v="Typ"/>
    <n v="0"/>
    <s v="NA"/>
    <s v="Detchd"/>
    <n v="2006"/>
    <s v="RFn"/>
    <n v="2"/>
    <n v="528"/>
    <s v="TA"/>
    <s v="TA"/>
    <s v="Y"/>
    <n v="0"/>
    <n v="54"/>
    <n v="0"/>
    <n v="0"/>
    <n v="0"/>
    <n v="0"/>
    <s v="NA"/>
    <s v="NA"/>
    <s v="NA"/>
    <n v="0"/>
    <n v="6"/>
    <n v="2007"/>
    <s v="New"/>
    <s v="Partial"/>
    <n v="164700"/>
  </r>
  <r>
    <n v="287"/>
    <n v="50"/>
    <s v="RL"/>
    <n v="77"/>
    <n v="9786"/>
    <s v="Pave"/>
    <s v="NA"/>
    <s v="IR1"/>
    <s v="Bnk"/>
    <s v="AllPub"/>
    <s v="Inside"/>
    <s v="Gtl"/>
    <x v="11"/>
    <x v="0"/>
    <s v="Norm"/>
    <x v="0"/>
    <x v="2"/>
    <n v="6"/>
    <n v="7"/>
    <x v="12"/>
    <n v="1981"/>
    <s v="Gable"/>
    <s v="CompShg"/>
    <s v="Wd Sdng"/>
    <s v="Wd Sdng"/>
    <s v="None"/>
    <n v="0"/>
    <s v="TA"/>
    <s v="TA"/>
    <s v="CBlock"/>
    <s v="TA"/>
    <s v="TA"/>
    <s v="No"/>
    <s v="Rec"/>
    <n v="600"/>
    <s v="Unf"/>
    <n v="0"/>
    <n v="312"/>
    <n v="912"/>
    <s v="GasA"/>
    <s v="TA"/>
    <s v="Y"/>
    <s v="SBrkr"/>
    <n v="1085"/>
    <n v="649"/>
    <n v="0"/>
    <x v="133"/>
    <n v="0"/>
    <n v="0"/>
    <n v="1"/>
    <n v="1"/>
    <n v="3"/>
    <n v="1"/>
    <s v="Gd"/>
    <n v="7"/>
    <s v="Typ"/>
    <n v="1"/>
    <s v="Gd"/>
    <s v="Attchd"/>
    <n v="1962"/>
    <s v="RFn"/>
    <n v="2"/>
    <n v="440"/>
    <s v="TA"/>
    <s v="TA"/>
    <s v="Y"/>
    <n v="0"/>
    <n v="0"/>
    <n v="0"/>
    <n v="0"/>
    <n v="128"/>
    <n v="0"/>
    <s v="NA"/>
    <s v="GdPrv"/>
    <s v="NA"/>
    <n v="0"/>
    <n v="6"/>
    <n v="2006"/>
    <s v="WD"/>
    <s v="Normal"/>
    <n v="159000"/>
  </r>
  <r>
    <n v="288"/>
    <n v="20"/>
    <s v="RL"/>
    <s v="NA"/>
    <n v="8125"/>
    <s v="Pave"/>
    <s v="NA"/>
    <s v="IR1"/>
    <s v="Lvl"/>
    <s v="AllPub"/>
    <s v="Corner"/>
    <s v="Gtl"/>
    <x v="11"/>
    <x v="0"/>
    <s v="Norm"/>
    <x v="0"/>
    <x v="1"/>
    <n v="4"/>
    <n v="4"/>
    <x v="63"/>
    <n v="1971"/>
    <s v="Gable"/>
    <s v="CompShg"/>
    <s v="HdBoard"/>
    <s v="HdBoard"/>
    <s v="None"/>
    <n v="0"/>
    <s v="TA"/>
    <s v="TA"/>
    <s v="CBlock"/>
    <s v="TA"/>
    <s v="TA"/>
    <s v="No"/>
    <s v="BLQ"/>
    <n v="614"/>
    <s v="Unf"/>
    <n v="0"/>
    <n v="244"/>
    <n v="858"/>
    <s v="GasA"/>
    <s v="TA"/>
    <s v="Y"/>
    <s v="SBrkr"/>
    <n v="858"/>
    <n v="0"/>
    <n v="0"/>
    <x v="243"/>
    <n v="0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6"/>
    <n v="2006"/>
    <s v="WD"/>
    <s v="Normal"/>
    <n v="88000"/>
  </r>
  <r>
    <n v="289"/>
    <n v="20"/>
    <s v="RL"/>
    <s v="NA"/>
    <n v="9819"/>
    <s v="Pave"/>
    <s v="NA"/>
    <s v="IR1"/>
    <s v="Lvl"/>
    <s v="AllPub"/>
    <s v="Inside"/>
    <s v="Gtl"/>
    <x v="9"/>
    <x v="0"/>
    <s v="Norm"/>
    <x v="0"/>
    <x v="1"/>
    <n v="5"/>
    <n v="5"/>
    <x v="17"/>
    <n v="1967"/>
    <s v="Gable"/>
    <s v="CompShg"/>
    <s v="MetalSd"/>
    <s v="MetalSd"/>
    <s v="BrkFace"/>
    <n v="31"/>
    <s v="TA"/>
    <s v="Gd"/>
    <s v="CBlock"/>
    <s v="TA"/>
    <s v="TA"/>
    <s v="No"/>
    <s v="BLQ"/>
    <n v="450"/>
    <s v="Unf"/>
    <n v="0"/>
    <n v="432"/>
    <n v="882"/>
    <s v="GasA"/>
    <s v="TA"/>
    <s v="Y"/>
    <s v="SBrkr"/>
    <n v="900"/>
    <n v="0"/>
    <n v="0"/>
    <x v="25"/>
    <n v="0"/>
    <n v="0"/>
    <n v="1"/>
    <n v="0"/>
    <n v="3"/>
    <n v="1"/>
    <s v="TA"/>
    <n v="5"/>
    <s v="Typ"/>
    <n v="0"/>
    <s v="NA"/>
    <s v="Detchd"/>
    <n v="1970"/>
    <s v="Unf"/>
    <n v="1"/>
    <n v="280"/>
    <s v="TA"/>
    <s v="TA"/>
    <s v="Y"/>
    <n v="0"/>
    <n v="0"/>
    <n v="0"/>
    <n v="0"/>
    <n v="0"/>
    <n v="0"/>
    <s v="NA"/>
    <s v="MnPrv"/>
    <s v="NA"/>
    <n v="0"/>
    <n v="2"/>
    <n v="2010"/>
    <s v="WD"/>
    <s v="Normal"/>
    <n v="122000"/>
  </r>
  <r>
    <n v="290"/>
    <n v="70"/>
    <s v="RL"/>
    <n v="60"/>
    <n v="8730"/>
    <s v="Pave"/>
    <s v="NA"/>
    <s v="Reg"/>
    <s v="Lvl"/>
    <s v="AllPub"/>
    <s v="Inside"/>
    <s v="Gtl"/>
    <x v="8"/>
    <x v="6"/>
    <s v="Norm"/>
    <x v="0"/>
    <x v="0"/>
    <n v="6"/>
    <n v="7"/>
    <x v="3"/>
    <n v="2003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698"/>
    <n v="698"/>
    <s v="GasA"/>
    <s v="Ex"/>
    <s v="Y"/>
    <s v="FuseA"/>
    <n v="698"/>
    <n v="698"/>
    <n v="0"/>
    <x v="244"/>
    <n v="0"/>
    <n v="0"/>
    <n v="1"/>
    <n v="0"/>
    <n v="3"/>
    <n v="1"/>
    <s v="TA"/>
    <n v="7"/>
    <s v="Typ"/>
    <n v="0"/>
    <s v="NA"/>
    <s v="Detchd"/>
    <n v="2003"/>
    <s v="Unf"/>
    <n v="1"/>
    <n v="384"/>
    <s v="TA"/>
    <s v="TA"/>
    <s v="Y"/>
    <n v="0"/>
    <n v="0"/>
    <n v="0"/>
    <n v="0"/>
    <n v="259"/>
    <n v="0"/>
    <s v="NA"/>
    <s v="NA"/>
    <s v="NA"/>
    <n v="0"/>
    <n v="7"/>
    <n v="2007"/>
    <s v="WD"/>
    <s v="Normal"/>
    <n v="153575"/>
  </r>
  <r>
    <n v="291"/>
    <n v="60"/>
    <s v="RL"/>
    <n v="120"/>
    <n v="15611"/>
    <s v="Pave"/>
    <s v="NA"/>
    <s v="Reg"/>
    <s v="Lvl"/>
    <s v="AllPub"/>
    <s v="Inside"/>
    <s v="Gtl"/>
    <x v="0"/>
    <x v="0"/>
    <s v="Norm"/>
    <x v="0"/>
    <x v="0"/>
    <n v="8"/>
    <n v="5"/>
    <x v="13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079"/>
    <n v="1079"/>
    <s v="GasA"/>
    <s v="Ex"/>
    <s v="Y"/>
    <s v="SBrkr"/>
    <n v="1079"/>
    <n v="840"/>
    <n v="0"/>
    <x v="245"/>
    <n v="0"/>
    <n v="0"/>
    <n v="2"/>
    <n v="1"/>
    <n v="3"/>
    <n v="1"/>
    <s v="Gd"/>
    <n v="8"/>
    <s v="Typ"/>
    <n v="1"/>
    <s v="Gd"/>
    <s v="Attchd"/>
    <n v="2006"/>
    <s v="RFn"/>
    <n v="2"/>
    <n v="685"/>
    <s v="Gd"/>
    <s v="TA"/>
    <s v="Y"/>
    <n v="0"/>
    <n v="51"/>
    <n v="0"/>
    <n v="0"/>
    <n v="0"/>
    <n v="0"/>
    <s v="NA"/>
    <s v="NA"/>
    <s v="NA"/>
    <n v="0"/>
    <n v="7"/>
    <n v="2006"/>
    <s v="New"/>
    <s v="Partial"/>
    <n v="233230"/>
  </r>
  <r>
    <n v="292"/>
    <n v="190"/>
    <s v="RL"/>
    <n v="55"/>
    <n v="5687"/>
    <s v="Pave"/>
    <s v="Grvl"/>
    <s v="Reg"/>
    <s v="Bnk"/>
    <s v="AllPub"/>
    <s v="Inside"/>
    <s v="Gtl"/>
    <x v="23"/>
    <x v="0"/>
    <s v="Norm"/>
    <x v="1"/>
    <x v="0"/>
    <n v="5"/>
    <n v="6"/>
    <x v="80"/>
    <n v="2000"/>
    <s v="Gable"/>
    <s v="CompShg"/>
    <s v="VinylSd"/>
    <s v="VinylSd"/>
    <s v="None"/>
    <n v="0"/>
    <s v="TA"/>
    <s v="Fa"/>
    <s v="PConc"/>
    <s v="TA"/>
    <s v="Fa"/>
    <s v="No"/>
    <s v="Rec"/>
    <n v="210"/>
    <s v="Unf"/>
    <n v="0"/>
    <n v="570"/>
    <n v="780"/>
    <s v="GasA"/>
    <s v="Ex"/>
    <s v="N"/>
    <s v="SBrkr"/>
    <n v="936"/>
    <n v="780"/>
    <n v="0"/>
    <x v="246"/>
    <n v="1"/>
    <n v="0"/>
    <n v="2"/>
    <n v="0"/>
    <n v="6"/>
    <n v="1"/>
    <s v="Fa"/>
    <n v="9"/>
    <s v="Typ"/>
    <n v="0"/>
    <s v="NA"/>
    <s v="NA"/>
    <s v="NA"/>
    <s v="NA"/>
    <n v="0"/>
    <n v="0"/>
    <s v="NA"/>
    <s v="NA"/>
    <s v="N"/>
    <n v="0"/>
    <n v="184"/>
    <n v="0"/>
    <n v="0"/>
    <n v="0"/>
    <n v="0"/>
    <s v="NA"/>
    <s v="NA"/>
    <s v="NA"/>
    <n v="0"/>
    <n v="3"/>
    <n v="2008"/>
    <s v="WD"/>
    <s v="Normal"/>
    <n v="135900"/>
  </r>
  <r>
    <n v="293"/>
    <n v="50"/>
    <s v="RL"/>
    <n v="60"/>
    <n v="11409"/>
    <s v="Pave"/>
    <s v="NA"/>
    <s v="Reg"/>
    <s v="Lvl"/>
    <s v="AllPub"/>
    <s v="Inside"/>
    <s v="Gtl"/>
    <x v="15"/>
    <x v="0"/>
    <s v="Norm"/>
    <x v="0"/>
    <x v="2"/>
    <n v="5"/>
    <n v="4"/>
    <x v="87"/>
    <n v="2008"/>
    <s v="Gable"/>
    <s v="CompShg"/>
    <s v="Wd Sdng"/>
    <s v="Wd Sdng"/>
    <s v="None"/>
    <n v="0"/>
    <s v="TA"/>
    <s v="TA"/>
    <s v="CBlock"/>
    <s v="TA"/>
    <s v="TA"/>
    <s v="No"/>
    <s v="LwQ"/>
    <n v="292"/>
    <s v="Unf"/>
    <n v="0"/>
    <n v="476"/>
    <n v="768"/>
    <s v="GasA"/>
    <s v="Gd"/>
    <s v="Y"/>
    <s v="SBrkr"/>
    <n v="1148"/>
    <n v="568"/>
    <n v="0"/>
    <x v="246"/>
    <n v="0"/>
    <n v="0"/>
    <n v="1"/>
    <n v="1"/>
    <n v="3"/>
    <n v="1"/>
    <s v="TA"/>
    <n v="8"/>
    <s v="Min2"/>
    <n v="1"/>
    <s v="Gd"/>
    <s v="Attchd"/>
    <n v="1949"/>
    <s v="Unf"/>
    <n v="1"/>
    <n v="281"/>
    <s v="TA"/>
    <s v="TA"/>
    <s v="Y"/>
    <n v="0"/>
    <n v="0"/>
    <n v="0"/>
    <n v="0"/>
    <n v="160"/>
    <n v="0"/>
    <s v="NA"/>
    <s v="NA"/>
    <s v="NA"/>
    <n v="0"/>
    <n v="1"/>
    <n v="2009"/>
    <s v="WD"/>
    <s v="Normal"/>
    <n v="131000"/>
  </r>
  <r>
    <n v="294"/>
    <n v="60"/>
    <s v="RL"/>
    <s v="NA"/>
    <n v="16659"/>
    <s v="Pave"/>
    <s v="NA"/>
    <s v="IR1"/>
    <s v="Lvl"/>
    <s v="AllPub"/>
    <s v="Corner"/>
    <s v="Gtl"/>
    <x v="6"/>
    <x v="7"/>
    <s v="Norm"/>
    <x v="0"/>
    <x v="0"/>
    <n v="7"/>
    <n v="7"/>
    <x v="54"/>
    <n v="1994"/>
    <s v="Gable"/>
    <s v="CompShg"/>
    <s v="Plywood"/>
    <s v="Plywood"/>
    <s v="BrkFace"/>
    <n v="34"/>
    <s v="TA"/>
    <s v="TA"/>
    <s v="CBlock"/>
    <s v="TA"/>
    <s v="TA"/>
    <s v="No"/>
    <s v="ALQ"/>
    <n v="795"/>
    <s v="Unf"/>
    <n v="0"/>
    <n v="0"/>
    <n v="795"/>
    <s v="GasA"/>
    <s v="Fa"/>
    <s v="Y"/>
    <s v="SBrkr"/>
    <n v="1468"/>
    <n v="795"/>
    <n v="0"/>
    <x v="247"/>
    <n v="1"/>
    <n v="0"/>
    <n v="2"/>
    <n v="1"/>
    <n v="3"/>
    <n v="1"/>
    <s v="Gd"/>
    <n v="9"/>
    <s v="Typ"/>
    <n v="1"/>
    <s v="TA"/>
    <s v="Attchd"/>
    <n v="1977"/>
    <s v="Fin"/>
    <n v="2"/>
    <n v="539"/>
    <s v="TA"/>
    <s v="TA"/>
    <s v="Y"/>
    <n v="0"/>
    <n v="250"/>
    <n v="0"/>
    <n v="0"/>
    <n v="0"/>
    <n v="0"/>
    <s v="NA"/>
    <s v="NA"/>
    <s v="NA"/>
    <n v="0"/>
    <n v="3"/>
    <n v="2006"/>
    <s v="WD"/>
    <s v="Normal"/>
    <n v="235000"/>
  </r>
  <r>
    <n v="295"/>
    <n v="20"/>
    <s v="RL"/>
    <n v="80"/>
    <n v="9600"/>
    <s v="Pave"/>
    <s v="NA"/>
    <s v="Reg"/>
    <s v="Lvl"/>
    <s v="AllPub"/>
    <s v="Inside"/>
    <s v="Gtl"/>
    <x v="11"/>
    <x v="0"/>
    <s v="Norm"/>
    <x v="0"/>
    <x v="1"/>
    <n v="6"/>
    <n v="5"/>
    <x v="31"/>
    <n v="1953"/>
    <s v="Hip"/>
    <s v="CompShg"/>
    <s v="HdBoard"/>
    <s v="HdBoard"/>
    <s v="Stone"/>
    <n v="238"/>
    <s v="TA"/>
    <s v="TA"/>
    <s v="CBlock"/>
    <s v="TA"/>
    <s v="TA"/>
    <s v="No"/>
    <s v="GLQ"/>
    <n v="1285"/>
    <s v="Unf"/>
    <n v="0"/>
    <n v="131"/>
    <n v="1416"/>
    <s v="GasA"/>
    <s v="TA"/>
    <s v="Y"/>
    <s v="SBrkr"/>
    <n v="1644"/>
    <n v="0"/>
    <n v="0"/>
    <x v="248"/>
    <n v="1"/>
    <n v="0"/>
    <n v="1"/>
    <n v="0"/>
    <n v="3"/>
    <n v="1"/>
    <s v="TA"/>
    <n v="7"/>
    <s v="Typ"/>
    <n v="2"/>
    <s v="Gd"/>
    <s v="Attchd"/>
    <n v="1953"/>
    <s v="Fin"/>
    <n v="2"/>
    <n v="418"/>
    <s v="TA"/>
    <s v="TA"/>
    <s v="Y"/>
    <n v="110"/>
    <n v="0"/>
    <n v="0"/>
    <n v="0"/>
    <n v="0"/>
    <n v="0"/>
    <s v="NA"/>
    <s v="NA"/>
    <s v="NA"/>
    <n v="0"/>
    <n v="10"/>
    <n v="2009"/>
    <s v="WD"/>
    <s v="Normal"/>
    <n v="167000"/>
  </r>
  <r>
    <n v="296"/>
    <n v="80"/>
    <s v="RL"/>
    <n v="37"/>
    <n v="7937"/>
    <s v="Pave"/>
    <s v="NA"/>
    <s v="IR1"/>
    <s v="Lvl"/>
    <s v="AllPub"/>
    <s v="CulDSac"/>
    <s v="Gtl"/>
    <x v="4"/>
    <x v="0"/>
    <s v="Norm"/>
    <x v="0"/>
    <x v="5"/>
    <n v="6"/>
    <n v="6"/>
    <x v="68"/>
    <n v="1984"/>
    <s v="Gable"/>
    <s v="CompShg"/>
    <s v="HdBoard"/>
    <s v="HdBoard"/>
    <s v="None"/>
    <n v="0"/>
    <s v="TA"/>
    <s v="TA"/>
    <s v="CBlock"/>
    <s v="TA"/>
    <s v="TA"/>
    <s v="Av"/>
    <s v="GLQ"/>
    <n v="819"/>
    <s v="Unf"/>
    <n v="0"/>
    <n v="184"/>
    <n v="1003"/>
    <s v="GasA"/>
    <s v="TA"/>
    <s v="Y"/>
    <s v="SBrkr"/>
    <n v="1003"/>
    <n v="0"/>
    <n v="0"/>
    <x v="249"/>
    <n v="1"/>
    <n v="0"/>
    <n v="1"/>
    <n v="0"/>
    <n v="3"/>
    <n v="1"/>
    <s v="TA"/>
    <n v="6"/>
    <s v="Typ"/>
    <n v="0"/>
    <s v="NA"/>
    <s v="Detchd"/>
    <n v="1984"/>
    <s v="Unf"/>
    <n v="2"/>
    <n v="588"/>
    <s v="TA"/>
    <s v="TA"/>
    <s v="Y"/>
    <n v="120"/>
    <n v="0"/>
    <n v="0"/>
    <n v="0"/>
    <n v="0"/>
    <n v="0"/>
    <s v="NA"/>
    <s v="GdPrv"/>
    <s v="NA"/>
    <n v="0"/>
    <n v="3"/>
    <n v="2006"/>
    <s v="WD"/>
    <s v="Normal"/>
    <n v="142500"/>
  </r>
  <r>
    <n v="297"/>
    <n v="50"/>
    <s v="RM"/>
    <n v="75"/>
    <n v="13710"/>
    <s v="Pave"/>
    <s v="NA"/>
    <s v="Reg"/>
    <s v="Lvl"/>
    <s v="AllPub"/>
    <s v="Inside"/>
    <s v="Gtl"/>
    <x v="13"/>
    <x v="0"/>
    <s v="Norm"/>
    <x v="0"/>
    <x v="2"/>
    <n v="5"/>
    <n v="5"/>
    <x v="52"/>
    <n v="1950"/>
    <s v="Gable"/>
    <s v="CompShg"/>
    <s v="Wd Sdng"/>
    <s v="Wd Sdng"/>
    <s v="None"/>
    <n v="0"/>
    <s v="TA"/>
    <s v="TA"/>
    <s v="CBlock"/>
    <s v="TA"/>
    <s v="TA"/>
    <s v="No"/>
    <s v="BLQ"/>
    <n v="420"/>
    <s v="Unf"/>
    <n v="0"/>
    <n v="490"/>
    <n v="910"/>
    <s v="GasA"/>
    <s v="TA"/>
    <s v="Y"/>
    <s v="FuseA"/>
    <n v="910"/>
    <n v="648"/>
    <n v="0"/>
    <x v="250"/>
    <n v="0"/>
    <n v="0"/>
    <n v="1"/>
    <n v="1"/>
    <n v="4"/>
    <n v="1"/>
    <s v="TA"/>
    <n v="6"/>
    <s v="Typ"/>
    <n v="0"/>
    <s v="NA"/>
    <s v="Attchd"/>
    <n v="1950"/>
    <s v="Unf"/>
    <n v="1"/>
    <n v="282"/>
    <s v="TA"/>
    <s v="TA"/>
    <s v="Y"/>
    <n v="289"/>
    <n v="0"/>
    <n v="0"/>
    <n v="0"/>
    <n v="0"/>
    <n v="0"/>
    <s v="NA"/>
    <s v="MnPrv"/>
    <s v="NA"/>
    <n v="0"/>
    <n v="6"/>
    <n v="2007"/>
    <s v="WD"/>
    <s v="Normal"/>
    <n v="152000"/>
  </r>
  <r>
    <n v="298"/>
    <n v="60"/>
    <s v="FV"/>
    <n v="66"/>
    <n v="7399"/>
    <s v="Pave"/>
    <s v="Pave"/>
    <s v="IR1"/>
    <s v="Lvl"/>
    <s v="AllPub"/>
    <s v="Inside"/>
    <s v="Gtl"/>
    <x v="5"/>
    <x v="0"/>
    <s v="Norm"/>
    <x v="0"/>
    <x v="0"/>
    <n v="7"/>
    <n v="5"/>
    <x v="35"/>
    <n v="1998"/>
    <s v="Hip"/>
    <s v="CompShg"/>
    <s v="VinylSd"/>
    <s v="VinylSd"/>
    <s v="BrkFace"/>
    <n v="1600"/>
    <s v="Gd"/>
    <s v="TA"/>
    <s v="PConc"/>
    <s v="Gd"/>
    <s v="TA"/>
    <s v="No"/>
    <s v="BLQ"/>
    <n v="649"/>
    <s v="Unf"/>
    <n v="0"/>
    <n v="326"/>
    <n v="975"/>
    <s v="GasA"/>
    <s v="Ex"/>
    <s v="Y"/>
    <s v="SBrkr"/>
    <n v="975"/>
    <n v="975"/>
    <n v="0"/>
    <x v="251"/>
    <n v="0"/>
    <n v="0"/>
    <n v="2"/>
    <n v="1"/>
    <n v="3"/>
    <n v="1"/>
    <s v="Gd"/>
    <n v="7"/>
    <s v="Typ"/>
    <n v="1"/>
    <s v="TA"/>
    <s v="Detchd"/>
    <n v="1997"/>
    <s v="RFn"/>
    <n v="2"/>
    <n v="576"/>
    <s v="TA"/>
    <s v="TA"/>
    <s v="Y"/>
    <n v="0"/>
    <n v="10"/>
    <n v="0"/>
    <n v="0"/>
    <n v="198"/>
    <n v="0"/>
    <s v="NA"/>
    <s v="NA"/>
    <s v="NA"/>
    <n v="0"/>
    <n v="6"/>
    <n v="2007"/>
    <s v="WD"/>
    <s v="Normal"/>
    <n v="239000"/>
  </r>
  <r>
    <n v="299"/>
    <n v="60"/>
    <s v="RL"/>
    <n v="90"/>
    <n v="11700"/>
    <s v="Pave"/>
    <s v="NA"/>
    <s v="Reg"/>
    <s v="Lvl"/>
    <s v="AllPub"/>
    <s v="Inside"/>
    <s v="Gtl"/>
    <x v="6"/>
    <x v="0"/>
    <s v="Norm"/>
    <x v="0"/>
    <x v="0"/>
    <n v="6"/>
    <n v="6"/>
    <x v="21"/>
    <n v="1968"/>
    <s v="Mansard"/>
    <s v="CompShg"/>
    <s v="HdBoard"/>
    <s v="AsphShn"/>
    <s v="BrkFace"/>
    <n v="365"/>
    <s v="Gd"/>
    <s v="TA"/>
    <s v="CBlock"/>
    <s v="TA"/>
    <s v="TA"/>
    <s v="No"/>
    <s v="ALQ"/>
    <n v="384"/>
    <s v="Rec"/>
    <n v="175"/>
    <n v="143"/>
    <n v="702"/>
    <s v="GasA"/>
    <s v="Gd"/>
    <s v="Y"/>
    <s v="SBrkr"/>
    <n v="1041"/>
    <n v="702"/>
    <n v="0"/>
    <x v="252"/>
    <n v="0"/>
    <n v="1"/>
    <n v="1"/>
    <n v="2"/>
    <n v="3"/>
    <n v="1"/>
    <s v="TA"/>
    <n v="7"/>
    <s v="Typ"/>
    <n v="1"/>
    <s v="Gd"/>
    <s v="Attchd"/>
    <n v="1968"/>
    <s v="Unf"/>
    <n v="2"/>
    <n v="539"/>
    <s v="TA"/>
    <s v="TA"/>
    <s v="Y"/>
    <n v="224"/>
    <n v="0"/>
    <n v="0"/>
    <n v="0"/>
    <n v="0"/>
    <n v="0"/>
    <s v="NA"/>
    <s v="NA"/>
    <s v="NA"/>
    <n v="0"/>
    <n v="6"/>
    <n v="2007"/>
    <s v="WD"/>
    <s v="Normal"/>
    <n v="175000"/>
  </r>
  <r>
    <n v="300"/>
    <n v="20"/>
    <s v="RL"/>
    <n v="80"/>
    <n v="14000"/>
    <s v="Pave"/>
    <s v="NA"/>
    <s v="Reg"/>
    <s v="Lvl"/>
    <s v="AllPub"/>
    <s v="Inside"/>
    <s v="Gtl"/>
    <x v="2"/>
    <x v="0"/>
    <s v="Norm"/>
    <x v="0"/>
    <x v="1"/>
    <n v="6"/>
    <n v="8"/>
    <x v="52"/>
    <n v="2004"/>
    <s v="Gable"/>
    <s v="CompShg"/>
    <s v="HdBoard"/>
    <s v="HdBoard"/>
    <s v="None"/>
    <n v="0"/>
    <s v="TA"/>
    <s v="Gd"/>
    <s v="CBlock"/>
    <s v="TA"/>
    <s v="TA"/>
    <s v="No"/>
    <s v="Unf"/>
    <n v="0"/>
    <s v="Unf"/>
    <n v="0"/>
    <n v="1092"/>
    <n v="1092"/>
    <s v="GasA"/>
    <s v="Ex"/>
    <s v="Y"/>
    <s v="SBrkr"/>
    <n v="1152"/>
    <n v="0"/>
    <n v="0"/>
    <x v="37"/>
    <n v="0"/>
    <n v="1"/>
    <n v="1"/>
    <n v="0"/>
    <n v="3"/>
    <n v="1"/>
    <s v="Gd"/>
    <n v="6"/>
    <s v="Typ"/>
    <n v="1"/>
    <s v="Gd"/>
    <s v="Attchd"/>
    <n v="1950"/>
    <s v="Unf"/>
    <n v="1"/>
    <n v="300"/>
    <s v="TA"/>
    <s v="TA"/>
    <s v="Y"/>
    <n v="0"/>
    <n v="36"/>
    <n v="0"/>
    <n v="0"/>
    <n v="0"/>
    <n v="0"/>
    <s v="NA"/>
    <s v="GdPrv"/>
    <s v="NA"/>
    <n v="0"/>
    <n v="8"/>
    <n v="2009"/>
    <s v="WD"/>
    <s v="Family"/>
    <n v="158500"/>
  </r>
  <r>
    <n v="301"/>
    <n v="190"/>
    <s v="RL"/>
    <n v="90"/>
    <n v="15750"/>
    <s v="Pave"/>
    <s v="NA"/>
    <s v="Reg"/>
    <s v="Lvl"/>
    <s v="AllPub"/>
    <s v="Corner"/>
    <s v="Gtl"/>
    <x v="2"/>
    <x v="0"/>
    <s v="Norm"/>
    <x v="1"/>
    <x v="1"/>
    <n v="5"/>
    <n v="5"/>
    <x v="31"/>
    <n v="1953"/>
    <s v="Hip"/>
    <s v="CompShg"/>
    <s v="MetalSd"/>
    <s v="MetalSd"/>
    <s v="BrkFace"/>
    <n v="56"/>
    <s v="TA"/>
    <s v="TA"/>
    <s v="CBlock"/>
    <s v="TA"/>
    <s v="TA"/>
    <s v="Mn"/>
    <s v="BLQ"/>
    <n v="841"/>
    <s v="Unf"/>
    <n v="0"/>
    <n v="324"/>
    <n v="1165"/>
    <s v="GasA"/>
    <s v="TA"/>
    <s v="Y"/>
    <s v="SBrkr"/>
    <n v="1336"/>
    <n v="0"/>
    <n v="0"/>
    <x v="253"/>
    <n v="1"/>
    <n v="0"/>
    <n v="1"/>
    <n v="0"/>
    <n v="2"/>
    <n v="1"/>
    <s v="TA"/>
    <n v="5"/>
    <s v="Typ"/>
    <n v="2"/>
    <s v="Gd"/>
    <s v="Attchd"/>
    <n v="1953"/>
    <s v="Unf"/>
    <n v="1"/>
    <n v="375"/>
    <s v="TA"/>
    <s v="TA"/>
    <s v="Y"/>
    <n v="0"/>
    <n v="0"/>
    <n v="0"/>
    <n v="0"/>
    <n v="0"/>
    <n v="0"/>
    <s v="NA"/>
    <s v="NA"/>
    <s v="NA"/>
    <n v="0"/>
    <n v="6"/>
    <n v="2006"/>
    <s v="WD"/>
    <s v="Normal"/>
    <n v="157000"/>
  </r>
  <r>
    <n v="302"/>
    <n v="60"/>
    <s v="RL"/>
    <n v="66"/>
    <n v="16226"/>
    <s v="Pave"/>
    <s v="NA"/>
    <s v="IR3"/>
    <s v="Lvl"/>
    <s v="AllPub"/>
    <s v="Inside"/>
    <s v="Gtl"/>
    <x v="0"/>
    <x v="0"/>
    <s v="Norm"/>
    <x v="0"/>
    <x v="0"/>
    <n v="8"/>
    <n v="5"/>
    <x v="45"/>
    <n v="1999"/>
    <s v="Gable"/>
    <s v="CompShg"/>
    <s v="VinylSd"/>
    <s v="VinylSd"/>
    <s v="None"/>
    <n v="0"/>
    <s v="Gd"/>
    <s v="TA"/>
    <s v="PConc"/>
    <s v="Gd"/>
    <s v="TA"/>
    <s v="No"/>
    <s v="GLQ"/>
    <n v="281"/>
    <s v="Unf"/>
    <n v="0"/>
    <n v="747"/>
    <n v="1028"/>
    <s v="GasA"/>
    <s v="Ex"/>
    <s v="Y"/>
    <s v="SBrkr"/>
    <n v="1210"/>
    <n v="1242"/>
    <n v="0"/>
    <x v="33"/>
    <n v="0"/>
    <n v="0"/>
    <n v="2"/>
    <n v="1"/>
    <n v="4"/>
    <n v="1"/>
    <s v="Gd"/>
    <n v="9"/>
    <s v="Typ"/>
    <n v="1"/>
    <s v="TA"/>
    <s v="BuiltIn"/>
    <n v="1998"/>
    <s v="Fin"/>
    <n v="2"/>
    <n v="683"/>
    <s v="TA"/>
    <s v="TA"/>
    <s v="Y"/>
    <n v="208"/>
    <n v="50"/>
    <n v="0"/>
    <n v="0"/>
    <n v="0"/>
    <n v="0"/>
    <s v="NA"/>
    <s v="NA"/>
    <s v="NA"/>
    <n v="0"/>
    <n v="5"/>
    <n v="2007"/>
    <s v="WD"/>
    <s v="Normal"/>
    <n v="267000"/>
  </r>
  <r>
    <n v="303"/>
    <n v="20"/>
    <s v="RL"/>
    <n v="118"/>
    <n v="13704"/>
    <s v="Pave"/>
    <s v="NA"/>
    <s v="IR1"/>
    <s v="Lvl"/>
    <s v="AllPub"/>
    <s v="Corner"/>
    <s v="Gtl"/>
    <x v="0"/>
    <x v="0"/>
    <s v="Norm"/>
    <x v="0"/>
    <x v="1"/>
    <n v="7"/>
    <n v="5"/>
    <x v="2"/>
    <n v="2002"/>
    <s v="Gable"/>
    <s v="CompShg"/>
    <s v="VinylSd"/>
    <s v="VinylSd"/>
    <s v="BrkFace"/>
    <n v="150"/>
    <s v="Gd"/>
    <s v="TA"/>
    <s v="PConc"/>
    <s v="Gd"/>
    <s v="TA"/>
    <s v="No"/>
    <s v="Unf"/>
    <n v="0"/>
    <s v="Unf"/>
    <n v="0"/>
    <n v="1541"/>
    <n v="1541"/>
    <s v="GasA"/>
    <s v="Ex"/>
    <s v="Y"/>
    <s v="SBrkr"/>
    <n v="1541"/>
    <n v="0"/>
    <n v="0"/>
    <x v="151"/>
    <n v="0"/>
    <n v="0"/>
    <n v="2"/>
    <n v="0"/>
    <n v="3"/>
    <n v="1"/>
    <s v="Gd"/>
    <n v="6"/>
    <s v="Typ"/>
    <n v="1"/>
    <s v="TA"/>
    <s v="Attchd"/>
    <n v="2001"/>
    <s v="RFn"/>
    <n v="3"/>
    <n v="843"/>
    <s v="TA"/>
    <s v="TA"/>
    <s v="Y"/>
    <n v="468"/>
    <n v="81"/>
    <n v="0"/>
    <n v="0"/>
    <n v="0"/>
    <n v="0"/>
    <s v="NA"/>
    <s v="NA"/>
    <s v="NA"/>
    <n v="0"/>
    <n v="1"/>
    <n v="2006"/>
    <s v="WD"/>
    <s v="Normal"/>
    <n v="205000"/>
  </r>
  <r>
    <n v="304"/>
    <n v="20"/>
    <s v="RL"/>
    <n v="70"/>
    <n v="9800"/>
    <s v="Pave"/>
    <s v="NA"/>
    <s v="Reg"/>
    <s v="Lvl"/>
    <s v="AllPub"/>
    <s v="Corner"/>
    <s v="Gtl"/>
    <x v="0"/>
    <x v="0"/>
    <s v="Norm"/>
    <x v="0"/>
    <x v="1"/>
    <n v="5"/>
    <n v="7"/>
    <x v="41"/>
    <n v="1972"/>
    <s v="Gable"/>
    <s v="CompShg"/>
    <s v="VinylSd"/>
    <s v="VinylSd"/>
    <s v="None"/>
    <n v="0"/>
    <s v="TA"/>
    <s v="TA"/>
    <s v="PConc"/>
    <s v="TA"/>
    <s v="TA"/>
    <s v="No"/>
    <s v="ALQ"/>
    <n v="894"/>
    <s v="Unf"/>
    <n v="0"/>
    <n v="0"/>
    <n v="894"/>
    <s v="GasA"/>
    <s v="TA"/>
    <s v="Y"/>
    <s v="SBrkr"/>
    <n v="894"/>
    <n v="0"/>
    <n v="0"/>
    <x v="204"/>
    <n v="1"/>
    <n v="0"/>
    <n v="1"/>
    <n v="0"/>
    <n v="3"/>
    <n v="1"/>
    <s v="TA"/>
    <n v="5"/>
    <s v="Typ"/>
    <n v="0"/>
    <s v="NA"/>
    <s v="Attchd"/>
    <n v="1975"/>
    <s v="Unf"/>
    <n v="2"/>
    <n v="552"/>
    <s v="TA"/>
    <s v="TA"/>
    <s v="Y"/>
    <n v="256"/>
    <n v="0"/>
    <n v="0"/>
    <n v="0"/>
    <n v="0"/>
    <n v="0"/>
    <s v="NA"/>
    <s v="GdWo"/>
    <s v="NA"/>
    <n v="0"/>
    <n v="7"/>
    <n v="2006"/>
    <s v="WD"/>
    <s v="Abnorml"/>
    <n v="149900"/>
  </r>
  <r>
    <n v="305"/>
    <n v="75"/>
    <s v="RM"/>
    <n v="87"/>
    <n v="18386"/>
    <s v="Pave"/>
    <s v="NA"/>
    <s v="Reg"/>
    <s v="Lvl"/>
    <s v="AllPub"/>
    <s v="Inside"/>
    <s v="Gtl"/>
    <x v="7"/>
    <x v="0"/>
    <s v="Norm"/>
    <x v="0"/>
    <x v="7"/>
    <n v="7"/>
    <n v="9"/>
    <x v="88"/>
    <n v="2002"/>
    <s v="Gable"/>
    <s v="CompShg"/>
    <s v="CemntBd"/>
    <s v="CmentBd"/>
    <s v="None"/>
    <n v="0"/>
    <s v="TA"/>
    <s v="TA"/>
    <s v="BrkTil"/>
    <s v="TA"/>
    <s v="TA"/>
    <s v="No"/>
    <s v="Unf"/>
    <n v="0"/>
    <s v="Unf"/>
    <n v="0"/>
    <n v="1470"/>
    <n v="1470"/>
    <s v="GasA"/>
    <s v="Ex"/>
    <s v="Y"/>
    <s v="SBrkr"/>
    <n v="1675"/>
    <n v="1818"/>
    <n v="0"/>
    <x v="254"/>
    <n v="0"/>
    <n v="0"/>
    <n v="3"/>
    <n v="0"/>
    <n v="3"/>
    <n v="1"/>
    <s v="Gd"/>
    <n v="10"/>
    <s v="Typ"/>
    <n v="1"/>
    <s v="Ex"/>
    <s v="Attchd"/>
    <n v="2003"/>
    <s v="Unf"/>
    <n v="3"/>
    <n v="870"/>
    <s v="TA"/>
    <s v="TA"/>
    <s v="Y"/>
    <n v="302"/>
    <n v="0"/>
    <n v="0"/>
    <n v="0"/>
    <n v="0"/>
    <n v="0"/>
    <s v="NA"/>
    <s v="NA"/>
    <s v="NA"/>
    <n v="0"/>
    <n v="5"/>
    <n v="2008"/>
    <s v="WD"/>
    <s v="Normal"/>
    <n v="295000"/>
  </r>
  <r>
    <n v="306"/>
    <n v="20"/>
    <s v="RL"/>
    <n v="80"/>
    <n v="10386"/>
    <s v="Pave"/>
    <s v="NA"/>
    <s v="Reg"/>
    <s v="Lvl"/>
    <s v="AllPub"/>
    <s v="Inside"/>
    <s v="Gtl"/>
    <x v="0"/>
    <x v="0"/>
    <s v="Norm"/>
    <x v="0"/>
    <x v="1"/>
    <n v="8"/>
    <n v="5"/>
    <x v="6"/>
    <n v="2005"/>
    <s v="Gable"/>
    <s v="CompShg"/>
    <s v="CemntBd"/>
    <s v="CmentBd"/>
    <s v="Stone"/>
    <n v="246"/>
    <s v="Gd"/>
    <s v="TA"/>
    <s v="PConc"/>
    <s v="Gd"/>
    <s v="TA"/>
    <s v="No"/>
    <s v="GLQ"/>
    <n v="1464"/>
    <s v="Unf"/>
    <n v="0"/>
    <n v="536"/>
    <n v="2000"/>
    <s v="GasA"/>
    <s v="Ex"/>
    <s v="Y"/>
    <s v="SBrkr"/>
    <n v="2000"/>
    <n v="0"/>
    <n v="0"/>
    <x v="255"/>
    <n v="1"/>
    <n v="0"/>
    <n v="2"/>
    <n v="0"/>
    <n v="3"/>
    <n v="1"/>
    <s v="Gd"/>
    <n v="8"/>
    <s v="Typ"/>
    <n v="0"/>
    <s v="NA"/>
    <s v="Attchd"/>
    <n v="2004"/>
    <s v="Fin"/>
    <n v="3"/>
    <n v="888"/>
    <s v="TA"/>
    <s v="TA"/>
    <s v="Y"/>
    <n v="168"/>
    <n v="0"/>
    <n v="0"/>
    <n v="0"/>
    <n v="0"/>
    <n v="0"/>
    <s v="NA"/>
    <s v="NA"/>
    <s v="NA"/>
    <n v="0"/>
    <n v="7"/>
    <n v="2007"/>
    <s v="WD"/>
    <s v="Normal"/>
    <n v="305900"/>
  </r>
  <r>
    <n v="307"/>
    <n v="60"/>
    <s v="RL"/>
    <n v="116"/>
    <n v="13474"/>
    <s v="Pave"/>
    <s v="NA"/>
    <s v="Reg"/>
    <s v="Lvl"/>
    <s v="AllPub"/>
    <s v="Inside"/>
    <s v="Gtl"/>
    <x v="12"/>
    <x v="1"/>
    <s v="Norm"/>
    <x v="0"/>
    <x v="0"/>
    <n v="7"/>
    <n v="5"/>
    <x v="59"/>
    <n v="1991"/>
    <s v="Gable"/>
    <s v="CompShg"/>
    <s v="HdBoard"/>
    <s v="Plywood"/>
    <s v="BrkFace"/>
    <n v="246"/>
    <s v="Gd"/>
    <s v="TA"/>
    <s v="CBlock"/>
    <s v="Gd"/>
    <s v="TA"/>
    <s v="No"/>
    <s v="ALQ"/>
    <n v="700"/>
    <s v="Unf"/>
    <n v="0"/>
    <n v="0"/>
    <n v="700"/>
    <s v="GasA"/>
    <s v="Gd"/>
    <s v="Y"/>
    <s v="SBrkr"/>
    <n v="1122"/>
    <n v="1121"/>
    <n v="0"/>
    <x v="256"/>
    <n v="1"/>
    <n v="0"/>
    <n v="2"/>
    <n v="1"/>
    <n v="4"/>
    <n v="1"/>
    <s v="Gd"/>
    <n v="8"/>
    <s v="Typ"/>
    <n v="1"/>
    <s v="TA"/>
    <s v="Attchd"/>
    <n v="1990"/>
    <s v="RFn"/>
    <n v="3"/>
    <n v="746"/>
    <s v="TA"/>
    <s v="TA"/>
    <s v="Y"/>
    <n v="127"/>
    <n v="44"/>
    <n v="224"/>
    <n v="0"/>
    <n v="0"/>
    <n v="0"/>
    <s v="NA"/>
    <s v="NA"/>
    <s v="NA"/>
    <n v="0"/>
    <n v="6"/>
    <n v="2007"/>
    <s v="WD"/>
    <s v="Normal"/>
    <n v="225000"/>
  </r>
  <r>
    <n v="308"/>
    <n v="50"/>
    <s v="RM"/>
    <s v="NA"/>
    <n v="7920"/>
    <s v="Pave"/>
    <s v="Grvl"/>
    <s v="IR1"/>
    <s v="Lvl"/>
    <s v="AllPub"/>
    <s v="Inside"/>
    <s v="Gtl"/>
    <x v="13"/>
    <x v="3"/>
    <s v="Norm"/>
    <x v="0"/>
    <x v="2"/>
    <n v="6"/>
    <n v="7"/>
    <x v="26"/>
    <n v="1950"/>
    <s v="Gable"/>
    <s v="CompShg"/>
    <s v="MetalSd"/>
    <s v="MetalSd"/>
    <s v="None"/>
    <n v="0"/>
    <s v="TA"/>
    <s v="Fa"/>
    <s v="CBlock"/>
    <s v="TA"/>
    <s v="TA"/>
    <s v="No"/>
    <s v="Unf"/>
    <n v="0"/>
    <s v="Unf"/>
    <n v="0"/>
    <n v="319"/>
    <n v="319"/>
    <s v="GasA"/>
    <s v="TA"/>
    <s v="Y"/>
    <s v="FuseA"/>
    <n v="1035"/>
    <n v="371"/>
    <n v="0"/>
    <x v="257"/>
    <n v="0"/>
    <n v="0"/>
    <n v="1"/>
    <n v="0"/>
    <n v="3"/>
    <n v="1"/>
    <s v="Fa"/>
    <n v="6"/>
    <s v="Typ"/>
    <n v="0"/>
    <s v="NA"/>
    <s v="NA"/>
    <s v="NA"/>
    <s v="NA"/>
    <n v="0"/>
    <n v="0"/>
    <s v="NA"/>
    <s v="NA"/>
    <s v="N"/>
    <n v="0"/>
    <n v="144"/>
    <n v="0"/>
    <n v="0"/>
    <n v="0"/>
    <n v="0"/>
    <s v="NA"/>
    <s v="MnPrv"/>
    <s v="NA"/>
    <n v="0"/>
    <n v="3"/>
    <n v="2008"/>
    <s v="WD"/>
    <s v="Normal"/>
    <n v="89500"/>
  </r>
  <r>
    <n v="309"/>
    <n v="30"/>
    <s v="RL"/>
    <s v="NA"/>
    <n v="12342"/>
    <s v="Pave"/>
    <s v="NA"/>
    <s v="IR1"/>
    <s v="Lvl"/>
    <s v="AllPub"/>
    <s v="Inside"/>
    <s v="Gtl"/>
    <x v="15"/>
    <x v="0"/>
    <s v="Norm"/>
    <x v="0"/>
    <x v="1"/>
    <n v="4"/>
    <n v="5"/>
    <x v="70"/>
    <n v="1950"/>
    <s v="Gable"/>
    <s v="CompShg"/>
    <s v="VinylSd"/>
    <s v="VinylSd"/>
    <s v="None"/>
    <n v="0"/>
    <s v="TA"/>
    <s v="TA"/>
    <s v="CBlock"/>
    <s v="TA"/>
    <s v="TA"/>
    <s v="No"/>
    <s v="BLQ"/>
    <n v="262"/>
    <s v="Unf"/>
    <n v="0"/>
    <n v="599"/>
    <n v="861"/>
    <s v="GasA"/>
    <s v="Ex"/>
    <s v="Y"/>
    <s v="SBrkr"/>
    <n v="861"/>
    <n v="0"/>
    <n v="0"/>
    <x v="258"/>
    <n v="0"/>
    <n v="0"/>
    <n v="1"/>
    <n v="0"/>
    <n v="1"/>
    <n v="1"/>
    <s v="TA"/>
    <n v="4"/>
    <s v="Typ"/>
    <n v="0"/>
    <s v="NA"/>
    <s v="Detchd"/>
    <n v="1961"/>
    <s v="Unf"/>
    <n v="2"/>
    <n v="539"/>
    <s v="TA"/>
    <s v="TA"/>
    <s v="Y"/>
    <n v="158"/>
    <n v="0"/>
    <n v="0"/>
    <n v="0"/>
    <n v="0"/>
    <n v="0"/>
    <s v="NA"/>
    <s v="NA"/>
    <s v="NA"/>
    <n v="0"/>
    <n v="3"/>
    <n v="2009"/>
    <s v="WD"/>
    <s v="Normal"/>
    <n v="82500"/>
  </r>
  <r>
    <n v="310"/>
    <n v="20"/>
    <s v="RL"/>
    <n v="90"/>
    <n v="12378"/>
    <s v="Pave"/>
    <s v="NA"/>
    <s v="IR1"/>
    <s v="Lvl"/>
    <s v="AllPub"/>
    <s v="Inside"/>
    <s v="Gtl"/>
    <x v="10"/>
    <x v="0"/>
    <s v="Norm"/>
    <x v="0"/>
    <x v="1"/>
    <n v="9"/>
    <n v="5"/>
    <x v="0"/>
    <n v="2004"/>
    <s v="Gable"/>
    <s v="CompShg"/>
    <s v="VinylSd"/>
    <s v="VinylSd"/>
    <s v="None"/>
    <n v="0"/>
    <s v="Gd"/>
    <s v="TA"/>
    <s v="PConc"/>
    <s v="Ex"/>
    <s v="TA"/>
    <s v="Gd"/>
    <s v="GLQ"/>
    <n v="1274"/>
    <s v="Unf"/>
    <n v="0"/>
    <n v="622"/>
    <n v="1896"/>
    <s v="GasA"/>
    <s v="Ex"/>
    <s v="Y"/>
    <s v="SBrkr"/>
    <n v="1944"/>
    <n v="0"/>
    <n v="0"/>
    <x v="259"/>
    <n v="1"/>
    <n v="0"/>
    <n v="2"/>
    <n v="0"/>
    <n v="3"/>
    <n v="1"/>
    <s v="Ex"/>
    <n v="8"/>
    <s v="Typ"/>
    <n v="3"/>
    <s v="Ex"/>
    <s v="Attchd"/>
    <n v="2003"/>
    <s v="Fin"/>
    <n v="3"/>
    <n v="708"/>
    <s v="TA"/>
    <s v="TA"/>
    <s v="Y"/>
    <n v="208"/>
    <n v="175"/>
    <n v="0"/>
    <n v="0"/>
    <n v="0"/>
    <n v="0"/>
    <s v="NA"/>
    <s v="NA"/>
    <s v="NA"/>
    <n v="0"/>
    <n v="11"/>
    <n v="2006"/>
    <s v="WD"/>
    <s v="Normal"/>
    <n v="360000"/>
  </r>
  <r>
    <n v="311"/>
    <n v="60"/>
    <s v="RL"/>
    <s v="NA"/>
    <n v="7685"/>
    <s v="Pave"/>
    <s v="NA"/>
    <s v="IR1"/>
    <s v="Lvl"/>
    <s v="AllPub"/>
    <s v="Inside"/>
    <s v="Gtl"/>
    <x v="17"/>
    <x v="0"/>
    <s v="Norm"/>
    <x v="0"/>
    <x v="0"/>
    <n v="6"/>
    <n v="5"/>
    <x v="5"/>
    <n v="1994"/>
    <s v="Gable"/>
    <s v="CompShg"/>
    <s v="HdBoard"/>
    <s v="HdBoard"/>
    <s v="BrkFace"/>
    <n v="112"/>
    <s v="TA"/>
    <s v="TA"/>
    <s v="PConc"/>
    <s v="Gd"/>
    <s v="TA"/>
    <s v="No"/>
    <s v="ALQ"/>
    <n v="518"/>
    <s v="Unf"/>
    <n v="0"/>
    <n v="179"/>
    <n v="697"/>
    <s v="GasA"/>
    <s v="Gd"/>
    <s v="Y"/>
    <s v="SBrkr"/>
    <n v="697"/>
    <n v="804"/>
    <n v="0"/>
    <x v="135"/>
    <n v="0"/>
    <n v="0"/>
    <n v="2"/>
    <n v="1"/>
    <n v="3"/>
    <n v="1"/>
    <s v="Gd"/>
    <n v="6"/>
    <s v="Typ"/>
    <n v="1"/>
    <s v="TA"/>
    <s v="Attchd"/>
    <n v="1993"/>
    <s v="Fin"/>
    <n v="2"/>
    <n v="420"/>
    <s v="TA"/>
    <s v="TA"/>
    <s v="Y"/>
    <n v="190"/>
    <n v="63"/>
    <n v="0"/>
    <n v="0"/>
    <n v="0"/>
    <n v="0"/>
    <s v="NA"/>
    <s v="NA"/>
    <s v="NA"/>
    <n v="0"/>
    <n v="5"/>
    <n v="2006"/>
    <s v="WD"/>
    <s v="Normal"/>
    <n v="165600"/>
  </r>
  <r>
    <n v="312"/>
    <n v="20"/>
    <s v="RL"/>
    <n v="50"/>
    <n v="8000"/>
    <s v="Pave"/>
    <s v="NA"/>
    <s v="Reg"/>
    <s v="Lvl"/>
    <s v="AllPub"/>
    <s v="Inside"/>
    <s v="Gtl"/>
    <x v="11"/>
    <x v="0"/>
    <s v="Norm"/>
    <x v="0"/>
    <x v="1"/>
    <n v="6"/>
    <n v="6"/>
    <x v="47"/>
    <n v="2002"/>
    <s v="Gable"/>
    <s v="CompShg"/>
    <s v="VinylSd"/>
    <s v="VinylSd"/>
    <s v="None"/>
    <n v="0"/>
    <s v="TA"/>
    <s v="Gd"/>
    <s v="CBlock"/>
    <s v="TA"/>
    <s v="TA"/>
    <s v="No"/>
    <s v="ALQ"/>
    <n v="680"/>
    <s v="Unf"/>
    <n v="0"/>
    <n v="292"/>
    <n v="972"/>
    <s v="GasA"/>
    <s v="Ex"/>
    <s v="Y"/>
    <s v="SBrkr"/>
    <n v="972"/>
    <n v="0"/>
    <n v="0"/>
    <x v="260"/>
    <n v="1"/>
    <n v="0"/>
    <n v="1"/>
    <n v="0"/>
    <n v="2"/>
    <n v="1"/>
    <s v="TA"/>
    <n v="5"/>
    <s v="Typ"/>
    <n v="1"/>
    <s v="Gd"/>
    <s v="Detchd"/>
    <n v="1948"/>
    <s v="Unf"/>
    <n v="1"/>
    <n v="240"/>
    <s v="TA"/>
    <s v="TA"/>
    <s v="Y"/>
    <n v="0"/>
    <n v="0"/>
    <n v="0"/>
    <n v="0"/>
    <n v="0"/>
    <n v="0"/>
    <s v="NA"/>
    <s v="NA"/>
    <s v="NA"/>
    <n v="0"/>
    <n v="5"/>
    <n v="2009"/>
    <s v="WD"/>
    <s v="Normal"/>
    <n v="132000"/>
  </r>
  <r>
    <n v="313"/>
    <n v="190"/>
    <s v="RM"/>
    <n v="65"/>
    <n v="7800"/>
    <s v="Pave"/>
    <s v="NA"/>
    <s v="Reg"/>
    <s v="Lvl"/>
    <s v="AllPub"/>
    <s v="Inside"/>
    <s v="Gtl"/>
    <x v="7"/>
    <x v="3"/>
    <s v="Norm"/>
    <x v="1"/>
    <x v="2"/>
    <n v="5"/>
    <n v="7"/>
    <x v="9"/>
    <n v="1950"/>
    <s v="Gable"/>
    <s v="CompShg"/>
    <s v="MetalSd"/>
    <s v="MetalSd"/>
    <s v="None"/>
    <n v="0"/>
    <s v="TA"/>
    <s v="TA"/>
    <s v="CBlock"/>
    <s v="Gd"/>
    <s v="TA"/>
    <s v="Mn"/>
    <s v="Rec"/>
    <n v="507"/>
    <s v="Unf"/>
    <n v="0"/>
    <n v="286"/>
    <n v="793"/>
    <s v="GasA"/>
    <s v="TA"/>
    <s v="Y"/>
    <s v="SBrkr"/>
    <n v="793"/>
    <n v="325"/>
    <n v="0"/>
    <x v="261"/>
    <n v="1"/>
    <n v="0"/>
    <n v="1"/>
    <n v="0"/>
    <n v="3"/>
    <n v="1"/>
    <s v="TA"/>
    <n v="5"/>
    <s v="Typ"/>
    <n v="1"/>
    <s v="Gd"/>
    <s v="Detchd"/>
    <n v="1939"/>
    <s v="Unf"/>
    <n v="2"/>
    <n v="410"/>
    <s v="TA"/>
    <s v="TA"/>
    <s v="Y"/>
    <n v="0"/>
    <n v="0"/>
    <n v="0"/>
    <n v="0"/>
    <n v="271"/>
    <n v="0"/>
    <s v="NA"/>
    <s v="MnPrv"/>
    <s v="NA"/>
    <n v="0"/>
    <n v="5"/>
    <n v="2006"/>
    <s v="WD"/>
    <s v="Normal"/>
    <n v="119900"/>
  </r>
  <r>
    <n v="314"/>
    <n v="20"/>
    <s v="RL"/>
    <n v="150"/>
    <n v="215245"/>
    <s v="Pave"/>
    <s v="NA"/>
    <s v="IR3"/>
    <s v="Low"/>
    <s v="AllPub"/>
    <s v="Inside"/>
    <s v="Sev"/>
    <x v="16"/>
    <x v="0"/>
    <s v="Norm"/>
    <x v="0"/>
    <x v="1"/>
    <n v="7"/>
    <n v="5"/>
    <x v="10"/>
    <n v="1965"/>
    <s v="Hip"/>
    <s v="CompShg"/>
    <s v="BrkFace"/>
    <s v="BrkFace"/>
    <s v="None"/>
    <n v="0"/>
    <s v="TA"/>
    <s v="TA"/>
    <s v="CBlock"/>
    <s v="Gd"/>
    <s v="TA"/>
    <s v="Gd"/>
    <s v="ALQ"/>
    <n v="1236"/>
    <s v="Rec"/>
    <n v="820"/>
    <n v="80"/>
    <n v="2136"/>
    <s v="GasW"/>
    <s v="TA"/>
    <s v="Y"/>
    <s v="SBrkr"/>
    <n v="2036"/>
    <n v="0"/>
    <n v="0"/>
    <x v="262"/>
    <n v="2"/>
    <n v="0"/>
    <n v="2"/>
    <n v="0"/>
    <n v="3"/>
    <n v="1"/>
    <s v="TA"/>
    <n v="8"/>
    <s v="Typ"/>
    <n v="2"/>
    <s v="Gd"/>
    <s v="Attchd"/>
    <n v="1965"/>
    <s v="RFn"/>
    <n v="2"/>
    <n v="513"/>
    <s v="TA"/>
    <s v="TA"/>
    <s v="Y"/>
    <n v="0"/>
    <n v="0"/>
    <n v="0"/>
    <n v="0"/>
    <n v="0"/>
    <n v="0"/>
    <s v="NA"/>
    <s v="NA"/>
    <s v="NA"/>
    <n v="0"/>
    <n v="6"/>
    <n v="2009"/>
    <s v="WD"/>
    <s v="Normal"/>
    <n v="375000"/>
  </r>
  <r>
    <n v="315"/>
    <n v="70"/>
    <s v="RM"/>
    <n v="60"/>
    <n v="9600"/>
    <s v="Pave"/>
    <s v="Grvl"/>
    <s v="Reg"/>
    <s v="Lvl"/>
    <s v="AllPub"/>
    <s v="Inside"/>
    <s v="Gtl"/>
    <x v="7"/>
    <x v="0"/>
    <s v="Norm"/>
    <x v="0"/>
    <x v="0"/>
    <n v="7"/>
    <n v="7"/>
    <x v="82"/>
    <n v="1990"/>
    <s v="Gable"/>
    <s v="CompShg"/>
    <s v="Wd Sdng"/>
    <s v="Wd Sdng"/>
    <s v="None"/>
    <n v="0"/>
    <s v="TA"/>
    <s v="TA"/>
    <s v="BrkTil"/>
    <s v="TA"/>
    <s v="Gd"/>
    <s v="No"/>
    <s v="LwQ"/>
    <n v="16"/>
    <s v="Unf"/>
    <n v="0"/>
    <n v="712"/>
    <n v="728"/>
    <s v="GasA"/>
    <s v="Ex"/>
    <s v="Y"/>
    <s v="SBrkr"/>
    <n v="832"/>
    <n v="809"/>
    <n v="0"/>
    <x v="263"/>
    <n v="0"/>
    <n v="1"/>
    <n v="1"/>
    <n v="1"/>
    <n v="3"/>
    <n v="1"/>
    <s v="Ex"/>
    <n v="6"/>
    <s v="Typ"/>
    <n v="1"/>
    <s v="Gd"/>
    <s v="Detchd"/>
    <n v="1925"/>
    <s v="Unf"/>
    <n v="2"/>
    <n v="546"/>
    <s v="Fa"/>
    <s v="TA"/>
    <s v="Y"/>
    <n v="0"/>
    <n v="0"/>
    <n v="234"/>
    <n v="0"/>
    <n v="0"/>
    <n v="0"/>
    <s v="NA"/>
    <s v="NA"/>
    <s v="NA"/>
    <n v="0"/>
    <n v="8"/>
    <n v="2006"/>
    <s v="WD"/>
    <s v="Normal"/>
    <n v="178000"/>
  </r>
  <r>
    <n v="316"/>
    <n v="60"/>
    <s v="RL"/>
    <n v="71"/>
    <n v="7795"/>
    <s v="Pave"/>
    <s v="NA"/>
    <s v="IR1"/>
    <s v="Lvl"/>
    <s v="AllPub"/>
    <s v="Inside"/>
    <s v="Gtl"/>
    <x v="17"/>
    <x v="0"/>
    <s v="Norm"/>
    <x v="0"/>
    <x v="0"/>
    <n v="7"/>
    <n v="5"/>
    <x v="6"/>
    <n v="2005"/>
    <s v="Gable"/>
    <s v="CompShg"/>
    <s v="VinylSd"/>
    <s v="VinylSd"/>
    <s v="None"/>
    <n v="0"/>
    <s v="Gd"/>
    <s v="TA"/>
    <s v="PConc"/>
    <s v="Gd"/>
    <s v="TA"/>
    <s v="No"/>
    <s v="GLQ"/>
    <n v="425"/>
    <s v="Unf"/>
    <n v="0"/>
    <n v="291"/>
    <n v="716"/>
    <s v="GasA"/>
    <s v="Ex"/>
    <s v="Y"/>
    <s v="SBrkr"/>
    <n v="716"/>
    <n v="716"/>
    <n v="0"/>
    <x v="264"/>
    <n v="1"/>
    <n v="0"/>
    <n v="2"/>
    <n v="1"/>
    <n v="3"/>
    <n v="1"/>
    <s v="Gd"/>
    <n v="6"/>
    <s v="Typ"/>
    <n v="1"/>
    <s v="Gd"/>
    <s v="Attchd"/>
    <n v="2004"/>
    <s v="Fin"/>
    <n v="2"/>
    <n v="432"/>
    <s v="TA"/>
    <s v="TA"/>
    <s v="Y"/>
    <n v="100"/>
    <n v="51"/>
    <n v="0"/>
    <n v="0"/>
    <n v="0"/>
    <n v="0"/>
    <s v="NA"/>
    <s v="NA"/>
    <s v="NA"/>
    <n v="0"/>
    <n v="7"/>
    <n v="2009"/>
    <s v="WD"/>
    <s v="Normal"/>
    <n v="188500"/>
  </r>
  <r>
    <n v="317"/>
    <n v="60"/>
    <s v="RL"/>
    <n v="94"/>
    <n v="13005"/>
    <s v="Pave"/>
    <s v="NA"/>
    <s v="IR1"/>
    <s v="Lvl"/>
    <s v="AllPub"/>
    <s v="Corner"/>
    <s v="Gtl"/>
    <x v="6"/>
    <x v="0"/>
    <s v="Norm"/>
    <x v="0"/>
    <x v="0"/>
    <n v="7"/>
    <n v="7"/>
    <x v="84"/>
    <n v="1980"/>
    <s v="Gable"/>
    <s v="CompShg"/>
    <s v="CemntBd"/>
    <s v="CmentBd"/>
    <s v="BrkFace"/>
    <n v="278"/>
    <s v="Gd"/>
    <s v="TA"/>
    <s v="CBlock"/>
    <s v="Gd"/>
    <s v="TA"/>
    <s v="No"/>
    <s v="GLQ"/>
    <n v="692"/>
    <s v="Unf"/>
    <n v="0"/>
    <n v="153"/>
    <n v="845"/>
    <s v="GasA"/>
    <s v="TA"/>
    <s v="Y"/>
    <s v="SBrkr"/>
    <n v="1153"/>
    <n v="1200"/>
    <n v="0"/>
    <x v="265"/>
    <n v="1"/>
    <n v="0"/>
    <n v="2"/>
    <n v="1"/>
    <n v="4"/>
    <n v="1"/>
    <s v="Ex"/>
    <n v="10"/>
    <s v="Typ"/>
    <n v="1"/>
    <s v="TA"/>
    <s v="Attchd"/>
    <n v="1983"/>
    <s v="RFn"/>
    <n v="2"/>
    <n v="484"/>
    <s v="TA"/>
    <s v="TA"/>
    <s v="Y"/>
    <n v="288"/>
    <n v="195"/>
    <n v="0"/>
    <n v="0"/>
    <n v="0"/>
    <n v="0"/>
    <s v="NA"/>
    <s v="GdPrv"/>
    <s v="NA"/>
    <n v="0"/>
    <n v="8"/>
    <n v="2009"/>
    <s v="WD"/>
    <s v="Normal"/>
    <n v="260000"/>
  </r>
  <r>
    <n v="318"/>
    <n v="60"/>
    <s v="FV"/>
    <n v="75"/>
    <n v="9000"/>
    <s v="Pave"/>
    <s v="NA"/>
    <s v="Reg"/>
    <s v="Lvl"/>
    <s v="AllPub"/>
    <s v="Inside"/>
    <s v="Gtl"/>
    <x v="5"/>
    <x v="0"/>
    <s v="Norm"/>
    <x v="0"/>
    <x v="0"/>
    <n v="8"/>
    <n v="5"/>
    <x v="13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088"/>
    <n v="1088"/>
    <s v="GasA"/>
    <s v="Ex"/>
    <s v="Y"/>
    <s v="SBrkr"/>
    <n v="1088"/>
    <n v="871"/>
    <n v="0"/>
    <x v="129"/>
    <n v="0"/>
    <n v="0"/>
    <n v="2"/>
    <n v="1"/>
    <n v="3"/>
    <n v="1"/>
    <s v="Gd"/>
    <n v="8"/>
    <s v="Typ"/>
    <n v="1"/>
    <s v="Gd"/>
    <s v="Attchd"/>
    <n v="2006"/>
    <s v="RFn"/>
    <n v="3"/>
    <n v="1025"/>
    <s v="TA"/>
    <s v="TA"/>
    <s v="Y"/>
    <n v="208"/>
    <n v="46"/>
    <n v="0"/>
    <n v="0"/>
    <n v="0"/>
    <n v="0"/>
    <s v="NA"/>
    <s v="NA"/>
    <s v="NA"/>
    <n v="0"/>
    <n v="12"/>
    <n v="2007"/>
    <s v="WD"/>
    <s v="Normal"/>
    <n v="270000"/>
  </r>
  <r>
    <n v="319"/>
    <n v="60"/>
    <s v="RL"/>
    <n v="90"/>
    <n v="9900"/>
    <s v="Pave"/>
    <s v="NA"/>
    <s v="Reg"/>
    <s v="Low"/>
    <s v="AllPub"/>
    <s v="Inside"/>
    <s v="Mod"/>
    <x v="3"/>
    <x v="0"/>
    <s v="Norm"/>
    <x v="0"/>
    <x v="0"/>
    <n v="7"/>
    <n v="5"/>
    <x v="5"/>
    <n v="1993"/>
    <s v="Gable"/>
    <s v="CompShg"/>
    <s v="HdBoard"/>
    <s v="HdBoard"/>
    <s v="BrkFace"/>
    <n v="256"/>
    <s v="Gd"/>
    <s v="TA"/>
    <s v="PConc"/>
    <s v="Gd"/>
    <s v="TA"/>
    <s v="Gd"/>
    <s v="GLQ"/>
    <n v="987"/>
    <s v="Unf"/>
    <n v="0"/>
    <n v="360"/>
    <n v="1347"/>
    <s v="GasA"/>
    <s v="Ex"/>
    <s v="Y"/>
    <s v="SBrkr"/>
    <n v="1372"/>
    <n v="1274"/>
    <n v="0"/>
    <x v="266"/>
    <n v="1"/>
    <n v="0"/>
    <n v="2"/>
    <n v="1"/>
    <n v="4"/>
    <n v="1"/>
    <s v="Gd"/>
    <n v="9"/>
    <s v="Typ"/>
    <n v="1"/>
    <s v="TA"/>
    <s v="Attchd"/>
    <n v="1993"/>
    <s v="RFn"/>
    <n v="3"/>
    <n v="656"/>
    <s v="TA"/>
    <s v="TA"/>
    <s v="Y"/>
    <n v="340"/>
    <n v="60"/>
    <n v="144"/>
    <n v="0"/>
    <n v="0"/>
    <n v="0"/>
    <s v="NA"/>
    <s v="NA"/>
    <s v="NA"/>
    <n v="0"/>
    <n v="4"/>
    <n v="2009"/>
    <s v="WD"/>
    <s v="Normal"/>
    <n v="260000"/>
  </r>
  <r>
    <n v="320"/>
    <n v="80"/>
    <s v="RL"/>
    <s v="NA"/>
    <n v="14115"/>
    <s v="Pave"/>
    <s v="NA"/>
    <s v="Reg"/>
    <s v="Lvl"/>
    <s v="AllPub"/>
    <s v="Inside"/>
    <s v="Gtl"/>
    <x v="6"/>
    <x v="0"/>
    <s v="Norm"/>
    <x v="0"/>
    <x v="5"/>
    <n v="7"/>
    <n v="5"/>
    <x v="84"/>
    <n v="1980"/>
    <s v="Gable"/>
    <s v="CompShg"/>
    <s v="Plywood"/>
    <s v="Plywood"/>
    <s v="BrkFace"/>
    <n v="225"/>
    <s v="TA"/>
    <s v="TA"/>
    <s v="CBlock"/>
    <s v="Gd"/>
    <s v="TA"/>
    <s v="Av"/>
    <s v="GLQ"/>
    <n v="1036"/>
    <s v="Unf"/>
    <n v="0"/>
    <n v="336"/>
    <n v="1372"/>
    <s v="GasA"/>
    <s v="TA"/>
    <s v="Y"/>
    <s v="SBrkr"/>
    <n v="1472"/>
    <n v="0"/>
    <n v="0"/>
    <x v="267"/>
    <n v="1"/>
    <n v="0"/>
    <n v="2"/>
    <n v="0"/>
    <n v="3"/>
    <n v="1"/>
    <s v="TA"/>
    <n v="6"/>
    <s v="Typ"/>
    <n v="2"/>
    <s v="TA"/>
    <s v="Attchd"/>
    <n v="1980"/>
    <s v="Unf"/>
    <n v="2"/>
    <n v="588"/>
    <s v="TA"/>
    <s v="TA"/>
    <s v="Y"/>
    <n v="233"/>
    <n v="48"/>
    <n v="0"/>
    <n v="0"/>
    <n v="0"/>
    <n v="0"/>
    <s v="NA"/>
    <s v="NA"/>
    <s v="NA"/>
    <n v="0"/>
    <n v="6"/>
    <n v="2009"/>
    <s v="WD"/>
    <s v="Normal"/>
    <n v="187500"/>
  </r>
  <r>
    <n v="321"/>
    <n v="60"/>
    <s v="RL"/>
    <n v="111"/>
    <n v="16259"/>
    <s v="Pave"/>
    <s v="NA"/>
    <s v="Reg"/>
    <s v="Lvl"/>
    <s v="AllPub"/>
    <s v="Corner"/>
    <s v="Gtl"/>
    <x v="10"/>
    <x v="0"/>
    <s v="Norm"/>
    <x v="0"/>
    <x v="0"/>
    <n v="9"/>
    <n v="5"/>
    <x v="13"/>
    <n v="2006"/>
    <s v="Gable"/>
    <s v="CompShg"/>
    <s v="VinylSd"/>
    <s v="VinylSd"/>
    <s v="Stone"/>
    <n v="370"/>
    <s v="TA"/>
    <s v="TA"/>
    <s v="PConc"/>
    <s v="Ex"/>
    <s v="Gd"/>
    <s v="Av"/>
    <s v="Unf"/>
    <n v="0"/>
    <s v="Unf"/>
    <n v="0"/>
    <n v="1249"/>
    <n v="1249"/>
    <s v="GasA"/>
    <s v="Ex"/>
    <s v="Y"/>
    <s v="SBrkr"/>
    <n v="1249"/>
    <n v="1347"/>
    <n v="0"/>
    <x v="268"/>
    <n v="0"/>
    <n v="0"/>
    <n v="3"/>
    <n v="1"/>
    <n v="4"/>
    <n v="1"/>
    <s v="Gd"/>
    <n v="9"/>
    <s v="Typ"/>
    <n v="0"/>
    <s v="NA"/>
    <s v="Attchd"/>
    <n v="2006"/>
    <s v="RFn"/>
    <n v="3"/>
    <n v="840"/>
    <s v="TA"/>
    <s v="TA"/>
    <s v="Y"/>
    <n v="240"/>
    <n v="154"/>
    <n v="0"/>
    <n v="0"/>
    <n v="0"/>
    <n v="0"/>
    <s v="NA"/>
    <s v="NA"/>
    <s v="NA"/>
    <n v="0"/>
    <n v="9"/>
    <n v="2006"/>
    <s v="New"/>
    <s v="Partial"/>
    <n v="342643"/>
  </r>
  <r>
    <n v="322"/>
    <n v="60"/>
    <s v="RL"/>
    <n v="99"/>
    <n v="12099"/>
    <s v="Pave"/>
    <s v="NA"/>
    <s v="IR1"/>
    <s v="Lvl"/>
    <s v="AllPub"/>
    <s v="Inside"/>
    <s v="Gtl"/>
    <x v="10"/>
    <x v="0"/>
    <s v="Norm"/>
    <x v="0"/>
    <x v="0"/>
    <n v="8"/>
    <n v="5"/>
    <x v="6"/>
    <n v="2004"/>
    <s v="Gable"/>
    <s v="CompShg"/>
    <s v="VinylSd"/>
    <s v="VinylSd"/>
    <s v="BrkFace"/>
    <n v="388"/>
    <s v="Gd"/>
    <s v="TA"/>
    <s v="PConc"/>
    <s v="Ex"/>
    <s v="TA"/>
    <s v="Av"/>
    <s v="GLQ"/>
    <n v="970"/>
    <s v="Unf"/>
    <n v="0"/>
    <n v="166"/>
    <n v="1136"/>
    <s v="GasA"/>
    <s v="Ex"/>
    <s v="Y"/>
    <s v="SBrkr"/>
    <n v="1136"/>
    <n v="1332"/>
    <n v="0"/>
    <x v="269"/>
    <n v="1"/>
    <n v="0"/>
    <n v="2"/>
    <n v="1"/>
    <n v="4"/>
    <n v="1"/>
    <s v="Gd"/>
    <n v="10"/>
    <s v="Typ"/>
    <n v="1"/>
    <s v="Gd"/>
    <s v="BuiltIn"/>
    <n v="2004"/>
    <s v="Fin"/>
    <n v="3"/>
    <n v="872"/>
    <s v="TA"/>
    <s v="TA"/>
    <s v="Y"/>
    <n v="184"/>
    <n v="154"/>
    <n v="0"/>
    <n v="0"/>
    <n v="0"/>
    <n v="0"/>
    <s v="NA"/>
    <s v="NA"/>
    <s v="NA"/>
    <n v="0"/>
    <n v="6"/>
    <n v="2007"/>
    <s v="WD"/>
    <s v="Normal"/>
    <n v="354000"/>
  </r>
  <r>
    <n v="323"/>
    <n v="60"/>
    <s v="RL"/>
    <n v="86"/>
    <n v="10380"/>
    <s v="Pave"/>
    <s v="NA"/>
    <s v="IR1"/>
    <s v="Lvl"/>
    <s v="AllPub"/>
    <s v="Inside"/>
    <s v="Gtl"/>
    <x v="12"/>
    <x v="0"/>
    <s v="Norm"/>
    <x v="0"/>
    <x v="0"/>
    <n v="7"/>
    <n v="5"/>
    <x v="73"/>
    <n v="1987"/>
    <s v="Gable"/>
    <s v="CompShg"/>
    <s v="Plywood"/>
    <s v="Plywood"/>
    <s v="BrkFace"/>
    <n v="172"/>
    <s v="Gd"/>
    <s v="TA"/>
    <s v="CBlock"/>
    <s v="TA"/>
    <s v="TA"/>
    <s v="Gd"/>
    <s v="LwQ"/>
    <n v="28"/>
    <s v="ALQ"/>
    <n v="1474"/>
    <n v="0"/>
    <n v="1502"/>
    <s v="GasA"/>
    <s v="Ex"/>
    <s v="Y"/>
    <s v="SBrkr"/>
    <n v="1553"/>
    <n v="1177"/>
    <n v="0"/>
    <x v="270"/>
    <n v="1"/>
    <n v="0"/>
    <n v="2"/>
    <n v="1"/>
    <n v="4"/>
    <n v="1"/>
    <s v="Gd"/>
    <n v="8"/>
    <s v="Typ"/>
    <n v="1"/>
    <s v="TA"/>
    <s v="Attchd"/>
    <n v="1987"/>
    <s v="Fin"/>
    <n v="2"/>
    <n v="576"/>
    <s v="TA"/>
    <s v="TA"/>
    <s v="Y"/>
    <n v="201"/>
    <n v="96"/>
    <n v="0"/>
    <n v="0"/>
    <n v="0"/>
    <n v="0"/>
    <s v="NA"/>
    <s v="MnPrv"/>
    <s v="NA"/>
    <n v="0"/>
    <n v="8"/>
    <n v="2007"/>
    <s v="WD"/>
    <s v="Normal"/>
    <n v="301000"/>
  </r>
  <r>
    <n v="324"/>
    <n v="20"/>
    <s v="RM"/>
    <n v="49"/>
    <n v="5820"/>
    <s v="Pave"/>
    <s v="NA"/>
    <s v="Reg"/>
    <s v="Lvl"/>
    <s v="AllPub"/>
    <s v="Inside"/>
    <s v="Gtl"/>
    <x v="7"/>
    <x v="0"/>
    <s v="Norm"/>
    <x v="0"/>
    <x v="1"/>
    <n v="3"/>
    <n v="8"/>
    <x v="32"/>
    <n v="2005"/>
    <s v="Gable"/>
    <s v="CompShg"/>
    <s v="VinylSd"/>
    <s v="VinylSd"/>
    <s v="None"/>
    <n v="0"/>
    <s v="TA"/>
    <s v="Gd"/>
    <s v="CBlock"/>
    <s v="TA"/>
    <s v="TA"/>
    <s v="No"/>
    <s v="ALQ"/>
    <n v="256"/>
    <s v="Unf"/>
    <n v="0"/>
    <n v="906"/>
    <n v="1162"/>
    <s v="GasA"/>
    <s v="Ex"/>
    <s v="Y"/>
    <s v="SBrkr"/>
    <n v="1163"/>
    <n v="0"/>
    <n v="0"/>
    <x v="271"/>
    <n v="1"/>
    <n v="0"/>
    <n v="1"/>
    <n v="0"/>
    <n v="3"/>
    <n v="1"/>
    <s v="TA"/>
    <n v="6"/>
    <s v="Typ"/>
    <n v="0"/>
    <s v="NA"/>
    <s v="Attchd"/>
    <n v="1955"/>
    <s v="Unf"/>
    <n v="1"/>
    <n v="220"/>
    <s v="Fa"/>
    <s v="TA"/>
    <s v="Y"/>
    <n v="142"/>
    <n v="98"/>
    <n v="0"/>
    <n v="0"/>
    <n v="0"/>
    <n v="0"/>
    <s v="NA"/>
    <s v="NA"/>
    <s v="NA"/>
    <n v="0"/>
    <n v="7"/>
    <n v="2006"/>
    <s v="WD"/>
    <s v="Normal"/>
    <n v="126175"/>
  </r>
  <r>
    <n v="325"/>
    <n v="80"/>
    <s v="RL"/>
    <n v="96"/>
    <n v="11275"/>
    <s v="Pave"/>
    <s v="NA"/>
    <s v="Reg"/>
    <s v="Lvl"/>
    <s v="AllPub"/>
    <s v="Corner"/>
    <s v="Gtl"/>
    <x v="11"/>
    <x v="2"/>
    <s v="Norm"/>
    <x v="0"/>
    <x v="5"/>
    <n v="7"/>
    <n v="7"/>
    <x v="17"/>
    <n v="2007"/>
    <s v="Mansard"/>
    <s v="WdShake"/>
    <s v="Wd Sdng"/>
    <s v="Wd Sdng"/>
    <s v="BrkFace"/>
    <n v="300"/>
    <s v="Gd"/>
    <s v="Gd"/>
    <s v="CBlock"/>
    <s v="Gd"/>
    <s v="TA"/>
    <s v="No"/>
    <s v="Unf"/>
    <n v="0"/>
    <s v="Unf"/>
    <n v="0"/>
    <n v="710"/>
    <n v="710"/>
    <s v="GasA"/>
    <s v="Ex"/>
    <s v="Y"/>
    <s v="SBrkr"/>
    <n v="1898"/>
    <n v="1080"/>
    <n v="0"/>
    <x v="272"/>
    <n v="0"/>
    <n v="0"/>
    <n v="2"/>
    <n v="1"/>
    <n v="5"/>
    <n v="1"/>
    <s v="Gd"/>
    <n v="11"/>
    <s v="Typ"/>
    <n v="1"/>
    <s v="Gd"/>
    <s v="BuiltIn"/>
    <n v="1961"/>
    <s v="Fin"/>
    <n v="2"/>
    <n v="564"/>
    <s v="TA"/>
    <s v="TA"/>
    <s v="Y"/>
    <n v="240"/>
    <n v="0"/>
    <n v="0"/>
    <n v="0"/>
    <n v="0"/>
    <n v="0"/>
    <s v="NA"/>
    <s v="NA"/>
    <s v="NA"/>
    <n v="0"/>
    <n v="6"/>
    <n v="2010"/>
    <s v="WD"/>
    <s v="Normal"/>
    <n v="242000"/>
  </r>
  <r>
    <n v="326"/>
    <n v="45"/>
    <s v="RM"/>
    <n v="50"/>
    <n v="5000"/>
    <s v="Pave"/>
    <s v="NA"/>
    <s v="Reg"/>
    <s v="Lvl"/>
    <s v="AllPub"/>
    <s v="Inside"/>
    <s v="Gtl"/>
    <x v="13"/>
    <x v="4"/>
    <s v="Norm"/>
    <x v="0"/>
    <x v="3"/>
    <n v="5"/>
    <n v="6"/>
    <x v="71"/>
    <n v="1950"/>
    <s v="Gable"/>
    <s v="CompShg"/>
    <s v="MetalSd"/>
    <s v="MetalSd"/>
    <s v="None"/>
    <n v="0"/>
    <s v="TA"/>
    <s v="TA"/>
    <s v="CBlock"/>
    <s v="TA"/>
    <s v="TA"/>
    <s v="Av"/>
    <s v="BLQ"/>
    <n v="116"/>
    <s v="Unf"/>
    <n v="0"/>
    <n v="604"/>
    <n v="720"/>
    <s v="GasA"/>
    <s v="Po"/>
    <s v="N"/>
    <s v="FuseF"/>
    <n v="803"/>
    <n v="0"/>
    <n v="0"/>
    <x v="273"/>
    <n v="0"/>
    <n v="0"/>
    <n v="1"/>
    <n v="0"/>
    <n v="2"/>
    <n v="1"/>
    <s v="TA"/>
    <n v="5"/>
    <s v="Typ"/>
    <n v="0"/>
    <s v="NA"/>
    <s v="Detchd"/>
    <n v="1941"/>
    <s v="Unf"/>
    <n v="2"/>
    <n v="360"/>
    <s v="TA"/>
    <s v="TA"/>
    <s v="Y"/>
    <n v="0"/>
    <n v="0"/>
    <n v="244"/>
    <n v="0"/>
    <n v="0"/>
    <n v="0"/>
    <s v="NA"/>
    <s v="NA"/>
    <s v="NA"/>
    <n v="0"/>
    <n v="12"/>
    <n v="2007"/>
    <s v="WD"/>
    <s v="Normal"/>
    <n v="87000"/>
  </r>
  <r>
    <n v="327"/>
    <n v="120"/>
    <s v="RL"/>
    <n v="32"/>
    <n v="10846"/>
    <s v="Pave"/>
    <s v="NA"/>
    <s v="IR1"/>
    <s v="Lvl"/>
    <s v="AllPub"/>
    <s v="CulDSac"/>
    <s v="Gtl"/>
    <x v="1"/>
    <x v="0"/>
    <s v="Norm"/>
    <x v="3"/>
    <x v="1"/>
    <n v="8"/>
    <n v="5"/>
    <x v="5"/>
    <n v="1993"/>
    <s v="Gable"/>
    <s v="CompShg"/>
    <s v="BrkFace"/>
    <s v="BrkFace"/>
    <s v="None"/>
    <n v="0"/>
    <s v="Gd"/>
    <s v="TA"/>
    <s v="PConc"/>
    <s v="Gd"/>
    <s v="TA"/>
    <s v="Gd"/>
    <s v="GLQ"/>
    <n v="1619"/>
    <s v="Unf"/>
    <n v="0"/>
    <n v="100"/>
    <n v="1719"/>
    <s v="GasA"/>
    <s v="Ex"/>
    <s v="Y"/>
    <s v="SBrkr"/>
    <n v="1719"/>
    <n v="0"/>
    <n v="0"/>
    <x v="274"/>
    <n v="2"/>
    <n v="0"/>
    <n v="1"/>
    <n v="1"/>
    <n v="1"/>
    <n v="1"/>
    <s v="Gd"/>
    <n v="6"/>
    <s v="Typ"/>
    <n v="2"/>
    <s v="Gd"/>
    <s v="Attchd"/>
    <n v="1993"/>
    <s v="Fin"/>
    <n v="2"/>
    <n v="473"/>
    <s v="TA"/>
    <s v="TA"/>
    <s v="Y"/>
    <n v="122"/>
    <n v="30"/>
    <n v="0"/>
    <n v="0"/>
    <n v="0"/>
    <n v="0"/>
    <s v="NA"/>
    <s v="NA"/>
    <s v="NA"/>
    <n v="0"/>
    <n v="5"/>
    <n v="2008"/>
    <s v="Con"/>
    <s v="Normal"/>
    <n v="324000"/>
  </r>
  <r>
    <n v="328"/>
    <n v="20"/>
    <s v="RL"/>
    <n v="80"/>
    <n v="11600"/>
    <s v="Pave"/>
    <s v="NA"/>
    <s v="Reg"/>
    <s v="Lvl"/>
    <s v="AllPub"/>
    <s v="Inside"/>
    <s v="Gtl"/>
    <x v="11"/>
    <x v="0"/>
    <s v="Norm"/>
    <x v="0"/>
    <x v="1"/>
    <n v="6"/>
    <n v="5"/>
    <x v="14"/>
    <n v="1960"/>
    <s v="Hip"/>
    <s v="CompShg"/>
    <s v="Wd Sdng"/>
    <s v="Wd Sdng"/>
    <s v="BrkFace"/>
    <n v="175"/>
    <s v="TA"/>
    <s v="TA"/>
    <s v="CBlock"/>
    <s v="TA"/>
    <s v="TA"/>
    <s v="No"/>
    <s v="Rec"/>
    <n v="565"/>
    <s v="Unf"/>
    <n v="0"/>
    <n v="818"/>
    <n v="1383"/>
    <s v="GasA"/>
    <s v="TA"/>
    <s v="Y"/>
    <s v="SBrkr"/>
    <n v="1383"/>
    <n v="0"/>
    <n v="0"/>
    <x v="275"/>
    <n v="0"/>
    <n v="0"/>
    <n v="1"/>
    <n v="1"/>
    <n v="3"/>
    <n v="1"/>
    <s v="TA"/>
    <n v="7"/>
    <s v="Typ"/>
    <n v="0"/>
    <s v="NA"/>
    <s v="Attchd"/>
    <n v="1960"/>
    <s v="RFn"/>
    <n v="1"/>
    <n v="292"/>
    <s v="TA"/>
    <s v="TA"/>
    <s v="Y"/>
    <n v="0"/>
    <n v="45"/>
    <n v="0"/>
    <n v="0"/>
    <n v="0"/>
    <n v="0"/>
    <s v="NA"/>
    <s v="NA"/>
    <s v="NA"/>
    <n v="0"/>
    <n v="4"/>
    <n v="2006"/>
    <s v="WD"/>
    <s v="Normal"/>
    <n v="145250"/>
  </r>
  <r>
    <n v="329"/>
    <n v="75"/>
    <s v="RL"/>
    <s v="NA"/>
    <n v="11888"/>
    <s v="Pave"/>
    <s v="Pave"/>
    <s v="IR1"/>
    <s v="Bnk"/>
    <s v="AllPub"/>
    <s v="Inside"/>
    <s v="Gtl"/>
    <x v="8"/>
    <x v="2"/>
    <s v="Norm"/>
    <x v="0"/>
    <x v="6"/>
    <n v="6"/>
    <n v="6"/>
    <x v="77"/>
    <n v="1994"/>
    <s v="Gable"/>
    <s v="CompShg"/>
    <s v="Wd Sdng"/>
    <s v="Wd Shng"/>
    <s v="None"/>
    <n v="0"/>
    <s v="TA"/>
    <s v="TA"/>
    <s v="BrkTil"/>
    <s v="TA"/>
    <s v="TA"/>
    <s v="No"/>
    <s v="Unf"/>
    <n v="0"/>
    <s v="Unf"/>
    <n v="0"/>
    <n v="844"/>
    <n v="844"/>
    <s v="GasA"/>
    <s v="Gd"/>
    <s v="N"/>
    <s v="FuseA"/>
    <n v="1445"/>
    <n v="689"/>
    <n v="0"/>
    <x v="276"/>
    <n v="0"/>
    <n v="0"/>
    <n v="2"/>
    <n v="0"/>
    <n v="5"/>
    <n v="1"/>
    <s v="Gd"/>
    <n v="10"/>
    <s v="Typ"/>
    <n v="0"/>
    <s v="NA"/>
    <s v="Detchd"/>
    <n v="1930"/>
    <s v="Unf"/>
    <n v="2"/>
    <n v="441"/>
    <s v="TA"/>
    <s v="TA"/>
    <s v="Y"/>
    <n v="0"/>
    <n v="60"/>
    <n v="268"/>
    <n v="0"/>
    <n v="0"/>
    <n v="0"/>
    <s v="NA"/>
    <s v="NA"/>
    <s v="NA"/>
    <n v="0"/>
    <n v="7"/>
    <n v="2009"/>
    <s v="WD"/>
    <s v="Normal"/>
    <n v="214500"/>
  </r>
  <r>
    <n v="330"/>
    <n v="70"/>
    <s v="RM"/>
    <n v="60"/>
    <n v="6402"/>
    <s v="Pave"/>
    <s v="NA"/>
    <s v="Reg"/>
    <s v="Lvl"/>
    <s v="AllPub"/>
    <s v="Corner"/>
    <s v="Gtl"/>
    <x v="13"/>
    <x v="0"/>
    <s v="Norm"/>
    <x v="0"/>
    <x v="0"/>
    <n v="5"/>
    <n v="5"/>
    <x v="26"/>
    <n v="1950"/>
    <s v="Gable"/>
    <s v="CompShg"/>
    <s v="Wd Sdng"/>
    <s v="Wd Shng"/>
    <s v="None"/>
    <n v="0"/>
    <s v="TA"/>
    <s v="TA"/>
    <s v="PConc"/>
    <s v="TA"/>
    <s v="TA"/>
    <s v="Mn"/>
    <s v="Unf"/>
    <n v="0"/>
    <s v="Unf"/>
    <n v="0"/>
    <n v="596"/>
    <n v="596"/>
    <s v="GasA"/>
    <s v="TA"/>
    <s v="N"/>
    <s v="SBrkr"/>
    <n v="596"/>
    <n v="596"/>
    <n v="0"/>
    <x v="277"/>
    <n v="0"/>
    <n v="0"/>
    <n v="1"/>
    <n v="0"/>
    <n v="3"/>
    <n v="1"/>
    <s v="TA"/>
    <n v="6"/>
    <s v="Typ"/>
    <n v="0"/>
    <s v="NA"/>
    <s v="Detchd"/>
    <n v="1920"/>
    <s v="Unf"/>
    <n v="1"/>
    <n v="189"/>
    <s v="Fa"/>
    <s v="Fa"/>
    <s v="N"/>
    <n v="0"/>
    <n v="0"/>
    <n v="137"/>
    <n v="0"/>
    <n v="0"/>
    <n v="0"/>
    <s v="NA"/>
    <s v="GdWo"/>
    <s v="NA"/>
    <n v="0"/>
    <n v="7"/>
    <n v="2009"/>
    <s v="WD"/>
    <s v="Normal"/>
    <n v="78000"/>
  </r>
  <r>
    <n v="331"/>
    <n v="90"/>
    <s v="RL"/>
    <s v="NA"/>
    <n v="10624"/>
    <s v="Pave"/>
    <s v="NA"/>
    <s v="IR1"/>
    <s v="Lvl"/>
    <s v="AllPub"/>
    <s v="Inside"/>
    <s v="Gtl"/>
    <x v="11"/>
    <x v="0"/>
    <s v="Norm"/>
    <x v="2"/>
    <x v="1"/>
    <n v="5"/>
    <n v="4"/>
    <x v="39"/>
    <n v="1964"/>
    <s v="Gable"/>
    <s v="CompShg"/>
    <s v="HdBoard"/>
    <s v="HdBoard"/>
    <s v="BrkFace"/>
    <n v="84"/>
    <s v="TA"/>
    <s v="TA"/>
    <s v="CBlock"/>
    <s v="TA"/>
    <s v="TA"/>
    <s v="No"/>
    <s v="GLQ"/>
    <n v="40"/>
    <s v="Rec"/>
    <n v="264"/>
    <n v="1424"/>
    <n v="1728"/>
    <s v="GasA"/>
    <s v="TA"/>
    <s v="Y"/>
    <s v="SBrkr"/>
    <n v="1728"/>
    <n v="0"/>
    <n v="0"/>
    <x v="136"/>
    <n v="0"/>
    <n v="1"/>
    <n v="2"/>
    <n v="0"/>
    <n v="6"/>
    <n v="2"/>
    <s v="TA"/>
    <n v="10"/>
    <s v="Typ"/>
    <n v="0"/>
    <s v="NA"/>
    <s v="Detchd"/>
    <n v="2002"/>
    <s v="Unf"/>
    <n v="1"/>
    <n v="352"/>
    <s v="TA"/>
    <s v="TA"/>
    <s v="Y"/>
    <n v="155"/>
    <n v="0"/>
    <n v="0"/>
    <n v="0"/>
    <n v="0"/>
    <n v="0"/>
    <s v="NA"/>
    <s v="NA"/>
    <s v="NA"/>
    <n v="0"/>
    <n v="11"/>
    <n v="2007"/>
    <s v="WD"/>
    <s v="Normal"/>
    <n v="119000"/>
  </r>
  <r>
    <n v="332"/>
    <n v="20"/>
    <s v="RL"/>
    <n v="70"/>
    <n v="8176"/>
    <s v="Pave"/>
    <s v="NA"/>
    <s v="Reg"/>
    <s v="Lvl"/>
    <s v="AllPub"/>
    <s v="Inside"/>
    <s v="Gtl"/>
    <x v="11"/>
    <x v="0"/>
    <s v="Norm"/>
    <x v="0"/>
    <x v="1"/>
    <n v="5"/>
    <n v="6"/>
    <x v="18"/>
    <n v="1992"/>
    <s v="Gable"/>
    <s v="CompShg"/>
    <s v="Wd Sdng"/>
    <s v="Wd Sdng"/>
    <s v="None"/>
    <n v="0"/>
    <s v="TA"/>
    <s v="TA"/>
    <s v="CBlock"/>
    <s v="TA"/>
    <s v="TA"/>
    <s v="No"/>
    <s v="Rec"/>
    <n v="846"/>
    <s v="Unf"/>
    <n v="0"/>
    <n v="210"/>
    <n v="1056"/>
    <s v="GasA"/>
    <s v="Fa"/>
    <s v="Y"/>
    <s v="SBrkr"/>
    <n v="1056"/>
    <n v="0"/>
    <n v="0"/>
    <x v="278"/>
    <n v="1"/>
    <n v="0"/>
    <n v="1"/>
    <n v="0"/>
    <n v="3"/>
    <n v="1"/>
    <s v="TA"/>
    <n v="6"/>
    <s v="Typ"/>
    <n v="0"/>
    <s v="NA"/>
    <s v="Attchd"/>
    <n v="1958"/>
    <s v="RFn"/>
    <n v="1"/>
    <n v="308"/>
    <s v="TA"/>
    <s v="TA"/>
    <s v="Y"/>
    <n v="0"/>
    <n v="0"/>
    <n v="0"/>
    <n v="0"/>
    <n v="0"/>
    <n v="0"/>
    <s v="NA"/>
    <s v="NA"/>
    <s v="NA"/>
    <n v="0"/>
    <n v="8"/>
    <n v="2007"/>
    <s v="WD"/>
    <s v="Normal"/>
    <n v="139000"/>
  </r>
  <r>
    <n v="333"/>
    <n v="20"/>
    <s v="RL"/>
    <n v="85"/>
    <n v="10655"/>
    <s v="Pave"/>
    <s v="NA"/>
    <s v="IR1"/>
    <s v="Lvl"/>
    <s v="AllPub"/>
    <s v="Inside"/>
    <s v="Gtl"/>
    <x v="10"/>
    <x v="0"/>
    <s v="Norm"/>
    <x v="0"/>
    <x v="1"/>
    <n v="8"/>
    <n v="5"/>
    <x v="0"/>
    <n v="2004"/>
    <s v="Gable"/>
    <s v="CompShg"/>
    <s v="VinylSd"/>
    <s v="VinylSd"/>
    <s v="BrkFace"/>
    <n v="296"/>
    <s v="Gd"/>
    <s v="TA"/>
    <s v="PConc"/>
    <s v="Gd"/>
    <s v="TA"/>
    <s v="No"/>
    <s v="GLQ"/>
    <n v="1124"/>
    <s v="NA"/>
    <n v="479"/>
    <n v="1603"/>
    <n v="3206"/>
    <s v="GasA"/>
    <s v="Ex"/>
    <s v="Y"/>
    <s v="SBrkr"/>
    <n v="1629"/>
    <n v="0"/>
    <n v="0"/>
    <x v="279"/>
    <n v="1"/>
    <n v="0"/>
    <n v="2"/>
    <n v="0"/>
    <n v="3"/>
    <n v="1"/>
    <s v="Gd"/>
    <n v="7"/>
    <s v="Typ"/>
    <n v="1"/>
    <s v="Gd"/>
    <s v="Attchd"/>
    <n v="2003"/>
    <s v="RFn"/>
    <n v="3"/>
    <n v="880"/>
    <s v="TA"/>
    <s v="TA"/>
    <s v="Y"/>
    <n v="0"/>
    <n v="0"/>
    <n v="0"/>
    <n v="0"/>
    <n v="0"/>
    <n v="0"/>
    <s v="NA"/>
    <s v="NA"/>
    <s v="NA"/>
    <n v="0"/>
    <n v="10"/>
    <n v="2009"/>
    <s v="WD"/>
    <s v="Normal"/>
    <n v="284000"/>
  </r>
  <r>
    <n v="334"/>
    <n v="120"/>
    <s v="RM"/>
    <n v="59"/>
    <n v="8198"/>
    <s v="Pave"/>
    <s v="NA"/>
    <s v="Reg"/>
    <s v="Lvl"/>
    <s v="AllPub"/>
    <s v="FR3"/>
    <s v="Gtl"/>
    <x v="10"/>
    <x v="0"/>
    <s v="Norm"/>
    <x v="3"/>
    <x v="1"/>
    <n v="7"/>
    <n v="5"/>
    <x v="6"/>
    <n v="2004"/>
    <s v="Gable"/>
    <s v="CompShg"/>
    <s v="VinylSd"/>
    <s v="VinylSd"/>
    <s v="Stone"/>
    <n v="146"/>
    <s v="Gd"/>
    <s v="TA"/>
    <s v="PConc"/>
    <s v="Gd"/>
    <s v="TA"/>
    <s v="Av"/>
    <s v="GLQ"/>
    <n v="720"/>
    <s v="Unf"/>
    <n v="0"/>
    <n v="638"/>
    <n v="1358"/>
    <s v="GasA"/>
    <s v="Ex"/>
    <s v="Y"/>
    <s v="SBrkr"/>
    <n v="1358"/>
    <n v="0"/>
    <n v="0"/>
    <x v="280"/>
    <n v="1"/>
    <n v="0"/>
    <n v="2"/>
    <n v="0"/>
    <n v="2"/>
    <n v="1"/>
    <s v="Gd"/>
    <n v="6"/>
    <s v="Typ"/>
    <n v="1"/>
    <s v="Gd"/>
    <s v="Attchd"/>
    <n v="2004"/>
    <s v="RFn"/>
    <n v="2"/>
    <n v="484"/>
    <s v="TA"/>
    <s v="TA"/>
    <s v="Y"/>
    <n v="192"/>
    <n v="30"/>
    <n v="0"/>
    <n v="0"/>
    <n v="0"/>
    <n v="0"/>
    <s v="NA"/>
    <s v="NA"/>
    <s v="NA"/>
    <n v="0"/>
    <n v="7"/>
    <n v="2008"/>
    <s v="WD"/>
    <s v="Normal"/>
    <n v="207000"/>
  </r>
  <r>
    <n v="335"/>
    <n v="60"/>
    <s v="RL"/>
    <n v="59"/>
    <n v="9042"/>
    <s v="Pave"/>
    <s v="NA"/>
    <s v="IR1"/>
    <s v="Lvl"/>
    <s v="AllPub"/>
    <s v="Inside"/>
    <s v="Gtl"/>
    <x v="17"/>
    <x v="0"/>
    <s v="Norm"/>
    <x v="0"/>
    <x v="0"/>
    <n v="6"/>
    <n v="5"/>
    <x v="45"/>
    <n v="1998"/>
    <s v="Gable"/>
    <s v="CompShg"/>
    <s v="VinylSd"/>
    <s v="VinylSd"/>
    <s v="None"/>
    <n v="0"/>
    <s v="TA"/>
    <s v="TA"/>
    <s v="PConc"/>
    <s v="Gd"/>
    <s v="TA"/>
    <s v="Gd"/>
    <s v="GLQ"/>
    <n v="828"/>
    <s v="Unf"/>
    <n v="0"/>
    <n v="115"/>
    <n v="943"/>
    <s v="GasA"/>
    <s v="Gd"/>
    <s v="Y"/>
    <s v="SBrkr"/>
    <n v="943"/>
    <n v="695"/>
    <n v="0"/>
    <x v="281"/>
    <n v="1"/>
    <n v="0"/>
    <n v="2"/>
    <n v="1"/>
    <n v="3"/>
    <n v="1"/>
    <s v="TA"/>
    <n v="7"/>
    <s v="Typ"/>
    <n v="2"/>
    <s v="TA"/>
    <s v="Attchd"/>
    <n v="1998"/>
    <s v="Fin"/>
    <n v="2"/>
    <n v="472"/>
    <s v="TA"/>
    <s v="TA"/>
    <s v="Y"/>
    <n v="100"/>
    <n v="38"/>
    <n v="0"/>
    <n v="0"/>
    <n v="0"/>
    <n v="0"/>
    <s v="NA"/>
    <s v="NA"/>
    <s v="NA"/>
    <n v="0"/>
    <n v="7"/>
    <n v="2008"/>
    <s v="WD"/>
    <s v="Normal"/>
    <n v="192000"/>
  </r>
  <r>
    <n v="336"/>
    <n v="190"/>
    <s v="RL"/>
    <s v="NA"/>
    <n v="164660"/>
    <s v="Grvl"/>
    <s v="NA"/>
    <s v="IR1"/>
    <s v="HLS"/>
    <s v="AllPub"/>
    <s v="Corner"/>
    <s v="Sev"/>
    <x v="16"/>
    <x v="0"/>
    <s v="Norm"/>
    <x v="1"/>
    <x v="2"/>
    <n v="5"/>
    <n v="6"/>
    <x v="10"/>
    <n v="1965"/>
    <s v="Gable"/>
    <s v="CompShg"/>
    <s v="Plywood"/>
    <s v="Plywood"/>
    <s v="None"/>
    <n v="0"/>
    <s v="TA"/>
    <s v="TA"/>
    <s v="CBlock"/>
    <s v="TA"/>
    <s v="TA"/>
    <s v="Gd"/>
    <s v="ALQ"/>
    <n v="1249"/>
    <s v="BLQ"/>
    <n v="147"/>
    <n v="103"/>
    <n v="1499"/>
    <s v="GasA"/>
    <s v="Ex"/>
    <s v="Y"/>
    <s v="SBrkr"/>
    <n v="1619"/>
    <n v="167"/>
    <n v="0"/>
    <x v="2"/>
    <n v="2"/>
    <n v="0"/>
    <n v="2"/>
    <n v="0"/>
    <n v="3"/>
    <n v="1"/>
    <s v="TA"/>
    <n v="7"/>
    <s v="Typ"/>
    <n v="2"/>
    <s v="Gd"/>
    <s v="Attchd"/>
    <n v="1965"/>
    <s v="Fin"/>
    <n v="2"/>
    <n v="529"/>
    <s v="TA"/>
    <s v="TA"/>
    <s v="Y"/>
    <n v="670"/>
    <n v="0"/>
    <n v="0"/>
    <n v="0"/>
    <n v="0"/>
    <n v="0"/>
    <s v="NA"/>
    <s v="NA"/>
    <s v="Shed"/>
    <n v="700"/>
    <n v="8"/>
    <n v="2008"/>
    <s v="WD"/>
    <s v="Normal"/>
    <n v="228950"/>
  </r>
  <r>
    <n v="337"/>
    <n v="20"/>
    <s v="RL"/>
    <n v="86"/>
    <n v="14157"/>
    <s v="Pave"/>
    <s v="NA"/>
    <s v="IR1"/>
    <s v="HLS"/>
    <s v="AllPub"/>
    <s v="Corner"/>
    <s v="Gtl"/>
    <x v="18"/>
    <x v="0"/>
    <s v="Norm"/>
    <x v="0"/>
    <x v="1"/>
    <n v="9"/>
    <n v="5"/>
    <x v="11"/>
    <n v="2006"/>
    <s v="Hip"/>
    <s v="CompShg"/>
    <s v="VinylSd"/>
    <s v="VinylSd"/>
    <s v="Stone"/>
    <n v="200"/>
    <s v="Gd"/>
    <s v="TA"/>
    <s v="PConc"/>
    <s v="Ex"/>
    <s v="TA"/>
    <s v="Gd"/>
    <s v="GLQ"/>
    <n v="1249"/>
    <s v="Unf"/>
    <n v="0"/>
    <n v="673"/>
    <n v="1922"/>
    <s v="GasA"/>
    <s v="Ex"/>
    <s v="Y"/>
    <s v="SBrkr"/>
    <n v="1922"/>
    <n v="0"/>
    <n v="0"/>
    <x v="282"/>
    <n v="1"/>
    <n v="0"/>
    <n v="2"/>
    <n v="0"/>
    <n v="3"/>
    <n v="1"/>
    <s v="Gd"/>
    <n v="8"/>
    <s v="Typ"/>
    <n v="1"/>
    <s v="Gd"/>
    <s v="Attchd"/>
    <n v="2005"/>
    <s v="Fin"/>
    <n v="3"/>
    <n v="676"/>
    <s v="TA"/>
    <s v="TA"/>
    <s v="Y"/>
    <n v="178"/>
    <n v="51"/>
    <n v="0"/>
    <n v="0"/>
    <n v="0"/>
    <n v="0"/>
    <s v="NA"/>
    <s v="NA"/>
    <s v="NA"/>
    <n v="0"/>
    <n v="7"/>
    <n v="2007"/>
    <s v="WD"/>
    <s v="Normal"/>
    <n v="377426"/>
  </r>
  <r>
    <n v="338"/>
    <n v="20"/>
    <s v="RL"/>
    <n v="70"/>
    <n v="9135"/>
    <s v="Pave"/>
    <s v="NA"/>
    <s v="Reg"/>
    <s v="Lvl"/>
    <s v="AllPub"/>
    <s v="Inside"/>
    <s v="Gtl"/>
    <x v="0"/>
    <x v="0"/>
    <s v="Norm"/>
    <x v="0"/>
    <x v="1"/>
    <n v="7"/>
    <n v="5"/>
    <x v="20"/>
    <n v="2003"/>
    <s v="Gable"/>
    <s v="CompShg"/>
    <s v="VinylSd"/>
    <s v="VinylSd"/>
    <s v="BrkFace"/>
    <n v="113"/>
    <s v="Gd"/>
    <s v="TA"/>
    <s v="PConc"/>
    <s v="Gd"/>
    <s v="TA"/>
    <s v="Av"/>
    <s v="GLQ"/>
    <n v="810"/>
    <s v="Unf"/>
    <n v="0"/>
    <n v="726"/>
    <n v="1536"/>
    <s v="GasA"/>
    <s v="Ex"/>
    <s v="Y"/>
    <s v="SBrkr"/>
    <n v="1536"/>
    <n v="0"/>
    <n v="0"/>
    <x v="283"/>
    <n v="1"/>
    <n v="0"/>
    <n v="2"/>
    <n v="0"/>
    <n v="3"/>
    <n v="1"/>
    <s v="Gd"/>
    <n v="7"/>
    <s v="Typ"/>
    <n v="0"/>
    <s v="NA"/>
    <s v="Attchd"/>
    <n v="2002"/>
    <s v="RFn"/>
    <n v="2"/>
    <n v="532"/>
    <s v="TA"/>
    <s v="TA"/>
    <s v="Y"/>
    <n v="192"/>
    <n v="74"/>
    <n v="0"/>
    <n v="0"/>
    <n v="0"/>
    <n v="0"/>
    <s v="NA"/>
    <s v="NA"/>
    <s v="NA"/>
    <n v="0"/>
    <n v="12"/>
    <n v="2008"/>
    <s v="WD"/>
    <s v="Normal"/>
    <n v="214000"/>
  </r>
  <r>
    <n v="339"/>
    <n v="20"/>
    <s v="RL"/>
    <n v="91"/>
    <n v="14145"/>
    <s v="Pave"/>
    <s v="NA"/>
    <s v="Reg"/>
    <s v="Lvl"/>
    <s v="AllPub"/>
    <s v="Corner"/>
    <s v="Gtl"/>
    <x v="6"/>
    <x v="0"/>
    <s v="Norm"/>
    <x v="0"/>
    <x v="1"/>
    <n v="7"/>
    <n v="7"/>
    <x v="68"/>
    <n v="1998"/>
    <s v="Gable"/>
    <s v="CompShg"/>
    <s v="Wd Sdng"/>
    <s v="Wd Sdng"/>
    <s v="None"/>
    <n v="0"/>
    <s v="Gd"/>
    <s v="TA"/>
    <s v="CBlock"/>
    <s v="Gd"/>
    <s v="TA"/>
    <s v="Mn"/>
    <s v="ALQ"/>
    <n v="213"/>
    <s v="Unf"/>
    <n v="0"/>
    <n v="995"/>
    <n v="1208"/>
    <s v="GasA"/>
    <s v="Ex"/>
    <s v="Y"/>
    <s v="SBrkr"/>
    <n v="1621"/>
    <n v="0"/>
    <n v="0"/>
    <x v="284"/>
    <n v="1"/>
    <n v="0"/>
    <n v="2"/>
    <n v="0"/>
    <n v="3"/>
    <n v="1"/>
    <s v="Gd"/>
    <n v="8"/>
    <s v="Typ"/>
    <n v="0"/>
    <s v="NA"/>
    <s v="Attchd"/>
    <n v="1984"/>
    <s v="RFn"/>
    <n v="2"/>
    <n v="440"/>
    <s v="TA"/>
    <s v="TA"/>
    <s v="Y"/>
    <n v="108"/>
    <n v="45"/>
    <n v="0"/>
    <n v="0"/>
    <n v="0"/>
    <n v="0"/>
    <s v="NA"/>
    <s v="NA"/>
    <s v="Shed"/>
    <n v="400"/>
    <n v="5"/>
    <n v="2006"/>
    <s v="WD"/>
    <s v="Normal"/>
    <n v="202500"/>
  </r>
  <r>
    <n v="340"/>
    <n v="20"/>
    <s v="RL"/>
    <n v="66"/>
    <n v="12400"/>
    <s v="Pave"/>
    <s v="NA"/>
    <s v="IR1"/>
    <s v="Lvl"/>
    <s v="AllPub"/>
    <s v="Inside"/>
    <s v="Gtl"/>
    <x v="11"/>
    <x v="1"/>
    <s v="Norm"/>
    <x v="0"/>
    <x v="1"/>
    <n v="6"/>
    <n v="7"/>
    <x v="18"/>
    <n v="1998"/>
    <s v="Hip"/>
    <s v="CompShg"/>
    <s v="Wd Sdng"/>
    <s v="Wd Sdng"/>
    <s v="BrkFace"/>
    <n v="176"/>
    <s v="TA"/>
    <s v="TA"/>
    <s v="CBlock"/>
    <s v="TA"/>
    <s v="Fa"/>
    <s v="No"/>
    <s v="Rec"/>
    <n v="585"/>
    <s v="Unf"/>
    <n v="0"/>
    <n v="630"/>
    <n v="1215"/>
    <s v="GasA"/>
    <s v="TA"/>
    <s v="Y"/>
    <s v="FuseA"/>
    <n v="1215"/>
    <n v="0"/>
    <n v="0"/>
    <x v="285"/>
    <n v="0"/>
    <n v="0"/>
    <n v="1"/>
    <n v="0"/>
    <n v="3"/>
    <n v="1"/>
    <s v="TA"/>
    <n v="6"/>
    <s v="Typ"/>
    <n v="0"/>
    <s v="NA"/>
    <s v="Attchd"/>
    <n v="1958"/>
    <s v="Unf"/>
    <n v="1"/>
    <n v="297"/>
    <s v="TA"/>
    <s v="TA"/>
    <s v="Y"/>
    <n v="0"/>
    <n v="0"/>
    <n v="0"/>
    <n v="0"/>
    <n v="234"/>
    <n v="0"/>
    <s v="NA"/>
    <s v="NA"/>
    <s v="NA"/>
    <n v="0"/>
    <n v="6"/>
    <n v="2009"/>
    <s v="WD"/>
    <s v="Normal"/>
    <n v="155000"/>
  </r>
  <r>
    <n v="341"/>
    <n v="60"/>
    <s v="RL"/>
    <n v="85"/>
    <n v="14191"/>
    <s v="Pave"/>
    <s v="NA"/>
    <s v="Reg"/>
    <s v="Lvl"/>
    <s v="AllPub"/>
    <s v="Inside"/>
    <s v="Gtl"/>
    <x v="16"/>
    <x v="0"/>
    <s v="Norm"/>
    <x v="0"/>
    <x v="0"/>
    <n v="8"/>
    <n v="5"/>
    <x v="20"/>
    <n v="2002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967"/>
    <n v="967"/>
    <s v="GasA"/>
    <s v="Ex"/>
    <s v="Y"/>
    <s v="SBrkr"/>
    <n v="993"/>
    <n v="915"/>
    <n v="0"/>
    <x v="286"/>
    <n v="0"/>
    <n v="0"/>
    <n v="2"/>
    <n v="1"/>
    <n v="4"/>
    <n v="1"/>
    <s v="Gd"/>
    <n v="9"/>
    <s v="Typ"/>
    <n v="0"/>
    <s v="NA"/>
    <s v="Attchd"/>
    <n v="2002"/>
    <s v="Fin"/>
    <n v="2"/>
    <n v="431"/>
    <s v="TA"/>
    <s v="TA"/>
    <s v="Y"/>
    <n v="135"/>
    <n v="0"/>
    <n v="0"/>
    <n v="0"/>
    <n v="0"/>
    <n v="0"/>
    <s v="NA"/>
    <s v="NA"/>
    <s v="NA"/>
    <n v="0"/>
    <n v="4"/>
    <n v="2010"/>
    <s v="WD"/>
    <s v="Normal"/>
    <n v="202900"/>
  </r>
  <r>
    <n v="342"/>
    <n v="20"/>
    <s v="RH"/>
    <n v="60"/>
    <n v="8400"/>
    <s v="Pave"/>
    <s v="NA"/>
    <s v="Reg"/>
    <s v="Lvl"/>
    <s v="AllPub"/>
    <s v="Inside"/>
    <s v="Gtl"/>
    <x v="12"/>
    <x v="1"/>
    <s v="Norm"/>
    <x v="0"/>
    <x v="1"/>
    <n v="4"/>
    <n v="4"/>
    <x v="52"/>
    <n v="1950"/>
    <s v="Gable"/>
    <s v="CompShg"/>
    <s v="Wd Sdng"/>
    <s v="AsbShng"/>
    <s v="None"/>
    <n v="0"/>
    <s v="Fa"/>
    <s v="Fa"/>
    <s v="CBlock"/>
    <s v="TA"/>
    <s v="Fa"/>
    <s v="No"/>
    <s v="Unf"/>
    <n v="0"/>
    <s v="Unf"/>
    <n v="0"/>
    <n v="721"/>
    <n v="721"/>
    <s v="GasA"/>
    <s v="Gd"/>
    <s v="Y"/>
    <s v="SBrkr"/>
    <n v="841"/>
    <n v="0"/>
    <n v="0"/>
    <x v="287"/>
    <n v="0"/>
    <n v="0"/>
    <n v="1"/>
    <n v="0"/>
    <n v="2"/>
    <n v="1"/>
    <s v="TA"/>
    <n v="4"/>
    <s v="Typ"/>
    <n v="0"/>
    <s v="NA"/>
    <s v="CarPort"/>
    <n v="1950"/>
    <s v="Unf"/>
    <n v="1"/>
    <n v="294"/>
    <s v="TA"/>
    <s v="TA"/>
    <s v="N"/>
    <n v="250"/>
    <n v="0"/>
    <n v="24"/>
    <n v="0"/>
    <n v="0"/>
    <n v="0"/>
    <s v="NA"/>
    <s v="NA"/>
    <s v="NA"/>
    <n v="0"/>
    <n v="9"/>
    <n v="2009"/>
    <s v="WD"/>
    <s v="Normal"/>
    <n v="82000"/>
  </r>
  <r>
    <n v="343"/>
    <n v="90"/>
    <s v="RL"/>
    <s v="NA"/>
    <n v="8544"/>
    <s v="Pave"/>
    <s v="NA"/>
    <s v="Reg"/>
    <s v="Lvl"/>
    <s v="AllPub"/>
    <s v="Inside"/>
    <s v="Gtl"/>
    <x v="11"/>
    <x v="0"/>
    <s v="Norm"/>
    <x v="2"/>
    <x v="1"/>
    <n v="3"/>
    <n v="4"/>
    <x v="87"/>
    <n v="1950"/>
    <s v="Gable"/>
    <s v="CompShg"/>
    <s v="Stucco"/>
    <s v="Stucco"/>
    <s v="BrkFace"/>
    <n v="340"/>
    <s v="TA"/>
    <s v="TA"/>
    <s v="Slab"/>
    <s v="NA"/>
    <s v="NA"/>
    <s v="NA"/>
    <s v="NA"/>
    <n v="0"/>
    <s v="NA"/>
    <n v="0"/>
    <n v="0"/>
    <n v="0"/>
    <s v="Wall"/>
    <s v="Fa"/>
    <s v="N"/>
    <s v="FuseA"/>
    <n v="1040"/>
    <n v="0"/>
    <n v="0"/>
    <x v="10"/>
    <n v="0"/>
    <n v="0"/>
    <n v="2"/>
    <n v="0"/>
    <n v="2"/>
    <n v="2"/>
    <s v="TA"/>
    <n v="6"/>
    <s v="Typ"/>
    <n v="0"/>
    <s v="NA"/>
    <s v="Detchd"/>
    <n v="1949"/>
    <s v="Unf"/>
    <n v="2"/>
    <n v="400"/>
    <s v="TA"/>
    <s v="TA"/>
    <s v="Y"/>
    <n v="0"/>
    <n v="0"/>
    <n v="0"/>
    <n v="0"/>
    <n v="0"/>
    <n v="0"/>
    <s v="NA"/>
    <s v="NA"/>
    <s v="NA"/>
    <n v="0"/>
    <n v="5"/>
    <n v="2006"/>
    <s v="WD"/>
    <s v="Normal"/>
    <n v="87500"/>
  </r>
  <r>
    <n v="344"/>
    <n v="120"/>
    <s v="RL"/>
    <n v="63"/>
    <n v="8849"/>
    <s v="Pave"/>
    <s v="NA"/>
    <s v="IR1"/>
    <s v="Lvl"/>
    <s v="AllPub"/>
    <s v="Inside"/>
    <s v="Gtl"/>
    <x v="10"/>
    <x v="0"/>
    <s v="Norm"/>
    <x v="3"/>
    <x v="1"/>
    <n v="9"/>
    <n v="5"/>
    <x v="11"/>
    <n v="2005"/>
    <s v="Hip"/>
    <s v="CompShg"/>
    <s v="MetalSd"/>
    <s v="MetalSd"/>
    <s v="BrkFace"/>
    <n v="616"/>
    <s v="Ex"/>
    <s v="TA"/>
    <s v="PConc"/>
    <s v="Ex"/>
    <s v="TA"/>
    <s v="No"/>
    <s v="GLQ"/>
    <n v="28"/>
    <s v="Unf"/>
    <n v="0"/>
    <n v="1656"/>
    <n v="1684"/>
    <s v="GasA"/>
    <s v="Ex"/>
    <s v="Y"/>
    <s v="SBrkr"/>
    <n v="1684"/>
    <n v="0"/>
    <n v="0"/>
    <x v="288"/>
    <n v="0"/>
    <n v="0"/>
    <n v="2"/>
    <n v="0"/>
    <n v="2"/>
    <n v="1"/>
    <s v="Ex"/>
    <n v="6"/>
    <s v="Typ"/>
    <n v="1"/>
    <s v="Ex"/>
    <s v="Attchd"/>
    <n v="2005"/>
    <s v="RFn"/>
    <n v="2"/>
    <n v="564"/>
    <s v="TA"/>
    <s v="TA"/>
    <s v="Y"/>
    <n v="495"/>
    <n v="72"/>
    <n v="0"/>
    <n v="0"/>
    <n v="0"/>
    <n v="0"/>
    <s v="NA"/>
    <s v="NA"/>
    <s v="NA"/>
    <n v="0"/>
    <n v="7"/>
    <n v="2008"/>
    <s v="WD"/>
    <s v="Normal"/>
    <n v="266000"/>
  </r>
  <r>
    <n v="345"/>
    <n v="160"/>
    <s v="RM"/>
    <n v="36"/>
    <n v="2592"/>
    <s v="Pave"/>
    <s v="NA"/>
    <s v="Reg"/>
    <s v="Lvl"/>
    <s v="AllPub"/>
    <s v="Inside"/>
    <s v="Gtl"/>
    <x v="14"/>
    <x v="0"/>
    <s v="Norm"/>
    <x v="3"/>
    <x v="0"/>
    <n v="5"/>
    <n v="3"/>
    <x v="1"/>
    <n v="1976"/>
    <s v="Gable"/>
    <s v="CompShg"/>
    <s v="CemntBd"/>
    <s v="CmentBd"/>
    <s v="None"/>
    <n v="0"/>
    <s v="TA"/>
    <s v="TA"/>
    <s v="CBlock"/>
    <s v="Gd"/>
    <s v="TA"/>
    <s v="No"/>
    <s v="Rec"/>
    <n v="129"/>
    <s v="BLQ"/>
    <n v="232"/>
    <n v="175"/>
    <n v="536"/>
    <s v="GasA"/>
    <s v="TA"/>
    <s v="Y"/>
    <s v="SBrkr"/>
    <n v="536"/>
    <n v="576"/>
    <n v="0"/>
    <x v="289"/>
    <n v="0"/>
    <n v="0"/>
    <n v="1"/>
    <n v="1"/>
    <n v="3"/>
    <n v="1"/>
    <s v="TA"/>
    <n v="4"/>
    <s v="Typ"/>
    <n v="0"/>
    <s v="NA"/>
    <s v="Attchd"/>
    <n v="1976"/>
    <s v="Unf"/>
    <n v="1"/>
    <n v="336"/>
    <s v="TA"/>
    <s v="TA"/>
    <s v="Y"/>
    <n v="182"/>
    <n v="0"/>
    <n v="0"/>
    <n v="0"/>
    <n v="0"/>
    <n v="0"/>
    <s v="NA"/>
    <s v="NA"/>
    <s v="NA"/>
    <n v="0"/>
    <n v="4"/>
    <n v="2010"/>
    <s v="WD"/>
    <s v="Normal"/>
    <n v="85000"/>
  </r>
  <r>
    <n v="346"/>
    <n v="50"/>
    <s v="RL"/>
    <n v="65"/>
    <n v="6435"/>
    <s v="Pave"/>
    <s v="NA"/>
    <s v="Reg"/>
    <s v="Lvl"/>
    <s v="AllPub"/>
    <s v="Inside"/>
    <s v="Gtl"/>
    <x v="8"/>
    <x v="6"/>
    <s v="Norm"/>
    <x v="0"/>
    <x v="2"/>
    <n v="6"/>
    <n v="5"/>
    <x v="9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972"/>
    <n v="972"/>
    <s v="GasA"/>
    <s v="Gd"/>
    <s v="Y"/>
    <s v="SBrkr"/>
    <n v="972"/>
    <n v="605"/>
    <n v="0"/>
    <x v="290"/>
    <n v="0"/>
    <n v="0"/>
    <n v="1"/>
    <n v="0"/>
    <n v="3"/>
    <n v="1"/>
    <s v="Fa"/>
    <n v="6"/>
    <s v="Typ"/>
    <n v="1"/>
    <s v="Gd"/>
    <s v="Detchd"/>
    <n v="1939"/>
    <s v="Unf"/>
    <n v="1"/>
    <n v="312"/>
    <s v="TA"/>
    <s v="TA"/>
    <s v="Y"/>
    <n v="0"/>
    <n v="0"/>
    <n v="0"/>
    <n v="0"/>
    <n v="0"/>
    <n v="0"/>
    <s v="NA"/>
    <s v="NA"/>
    <s v="NA"/>
    <n v="0"/>
    <n v="10"/>
    <n v="2006"/>
    <s v="WD"/>
    <s v="Normal"/>
    <n v="140200"/>
  </r>
  <r>
    <n v="347"/>
    <n v="20"/>
    <s v="RL"/>
    <s v="NA"/>
    <n v="12772"/>
    <s v="Pave"/>
    <s v="NA"/>
    <s v="IR1"/>
    <s v="Lvl"/>
    <s v="AllPub"/>
    <s v="CulDSac"/>
    <s v="Gtl"/>
    <x v="11"/>
    <x v="0"/>
    <s v="Norm"/>
    <x v="0"/>
    <x v="1"/>
    <n v="6"/>
    <n v="8"/>
    <x v="14"/>
    <n v="1998"/>
    <s v="Hip"/>
    <s v="CompShg"/>
    <s v="MetalSd"/>
    <s v="MetalSd"/>
    <s v="None"/>
    <n v="0"/>
    <s v="TA"/>
    <s v="Gd"/>
    <s v="CBlock"/>
    <s v="TA"/>
    <s v="TA"/>
    <s v="Mn"/>
    <s v="BLQ"/>
    <n v="498"/>
    <s v="Unf"/>
    <n v="0"/>
    <n v="460"/>
    <n v="958"/>
    <s v="GasA"/>
    <s v="TA"/>
    <s v="Y"/>
    <s v="SBrkr"/>
    <n v="958"/>
    <n v="0"/>
    <n v="0"/>
    <x v="119"/>
    <n v="0"/>
    <n v="0"/>
    <n v="1"/>
    <n v="0"/>
    <n v="2"/>
    <n v="1"/>
    <s v="TA"/>
    <n v="5"/>
    <s v="Typ"/>
    <n v="0"/>
    <s v="NA"/>
    <s v="Attchd"/>
    <n v="1960"/>
    <s v="RFn"/>
    <n v="1"/>
    <n v="301"/>
    <s v="TA"/>
    <s v="TA"/>
    <s v="Y"/>
    <n v="0"/>
    <n v="0"/>
    <n v="0"/>
    <n v="0"/>
    <n v="0"/>
    <n v="0"/>
    <s v="NA"/>
    <s v="NA"/>
    <s v="Gar2"/>
    <n v="15500"/>
    <n v="4"/>
    <n v="2007"/>
    <s v="WD"/>
    <s v="Normal"/>
    <n v="151500"/>
  </r>
  <r>
    <n v="348"/>
    <n v="20"/>
    <s v="RL"/>
    <s v="NA"/>
    <n v="17600"/>
    <s v="Pave"/>
    <s v="NA"/>
    <s v="IR1"/>
    <s v="Lvl"/>
    <s v="AllPub"/>
    <s v="Inside"/>
    <s v="Gtl"/>
    <x v="11"/>
    <x v="0"/>
    <s v="Norm"/>
    <x v="0"/>
    <x v="1"/>
    <n v="6"/>
    <n v="5"/>
    <x v="14"/>
    <n v="1960"/>
    <s v="Gable"/>
    <s v="CompShg"/>
    <s v="Wd Sdng"/>
    <s v="Wd Sdng"/>
    <s v="BrkFace"/>
    <n v="30"/>
    <s v="TA"/>
    <s v="TA"/>
    <s v="CBlock"/>
    <s v="TA"/>
    <s v="TA"/>
    <s v="No"/>
    <s v="BLQ"/>
    <n v="1270"/>
    <s v="Unf"/>
    <n v="0"/>
    <n v="208"/>
    <n v="1478"/>
    <s v="GasA"/>
    <s v="Ex"/>
    <s v="Y"/>
    <s v="FuseA"/>
    <n v="1478"/>
    <n v="0"/>
    <n v="0"/>
    <x v="291"/>
    <n v="1"/>
    <n v="0"/>
    <n v="2"/>
    <n v="0"/>
    <n v="3"/>
    <n v="1"/>
    <s v="TA"/>
    <n v="6"/>
    <s v="Typ"/>
    <n v="2"/>
    <s v="Gd"/>
    <s v="Attchd"/>
    <n v="1960"/>
    <s v="Unf"/>
    <n v="2"/>
    <n v="498"/>
    <s v="TA"/>
    <s v="TA"/>
    <s v="Y"/>
    <n v="0"/>
    <n v="40"/>
    <n v="0"/>
    <n v="0"/>
    <n v="0"/>
    <n v="0"/>
    <s v="NA"/>
    <s v="NA"/>
    <s v="NA"/>
    <n v="0"/>
    <n v="12"/>
    <n v="2009"/>
    <s v="WD"/>
    <s v="Normal"/>
    <n v="157500"/>
  </r>
  <r>
    <n v="349"/>
    <n v="160"/>
    <s v="RL"/>
    <n v="36"/>
    <n v="2448"/>
    <s v="Pave"/>
    <s v="NA"/>
    <s v="Reg"/>
    <s v="Lvl"/>
    <s v="AllPub"/>
    <s v="Inside"/>
    <s v="Gtl"/>
    <x v="10"/>
    <x v="0"/>
    <s v="Norm"/>
    <x v="4"/>
    <x v="0"/>
    <n v="7"/>
    <n v="5"/>
    <x v="0"/>
    <n v="2004"/>
    <s v="Gable"/>
    <s v="CompShg"/>
    <s v="VinylSd"/>
    <s v="Wd Shng"/>
    <s v="Stone"/>
    <n v="106"/>
    <s v="Gd"/>
    <s v="TA"/>
    <s v="PConc"/>
    <s v="Gd"/>
    <s v="TA"/>
    <s v="No"/>
    <s v="GLQ"/>
    <n v="573"/>
    <s v="Unf"/>
    <n v="0"/>
    <n v="191"/>
    <n v="764"/>
    <s v="GasA"/>
    <s v="Ex"/>
    <s v="Y"/>
    <s v="SBrkr"/>
    <n v="764"/>
    <n v="862"/>
    <n v="0"/>
    <x v="292"/>
    <n v="1"/>
    <n v="0"/>
    <n v="2"/>
    <n v="1"/>
    <n v="2"/>
    <n v="1"/>
    <s v="Gd"/>
    <n v="6"/>
    <s v="Typ"/>
    <n v="0"/>
    <s v="NA"/>
    <s v="BuiltIn"/>
    <n v="2003"/>
    <s v="RFn"/>
    <n v="2"/>
    <n v="474"/>
    <s v="TA"/>
    <s v="TA"/>
    <s v="Y"/>
    <n v="0"/>
    <n v="27"/>
    <n v="0"/>
    <n v="0"/>
    <n v="0"/>
    <n v="0"/>
    <s v="NA"/>
    <s v="NA"/>
    <s v="NA"/>
    <n v="0"/>
    <n v="10"/>
    <n v="2008"/>
    <s v="WD"/>
    <s v="Normal"/>
    <n v="154000"/>
  </r>
  <r>
    <n v="350"/>
    <n v="60"/>
    <s v="RL"/>
    <n v="56"/>
    <n v="20431"/>
    <s v="Pave"/>
    <s v="NA"/>
    <s v="IR2"/>
    <s v="Lvl"/>
    <s v="AllPub"/>
    <s v="Inside"/>
    <s v="Gtl"/>
    <x v="10"/>
    <x v="0"/>
    <s v="Norm"/>
    <x v="0"/>
    <x v="0"/>
    <n v="9"/>
    <n v="5"/>
    <x v="11"/>
    <n v="2006"/>
    <s v="Hip"/>
    <s v="CompShg"/>
    <s v="CemntBd"/>
    <s v="CmentBd"/>
    <s v="BrkFace"/>
    <n v="870"/>
    <s v="Ex"/>
    <s v="TA"/>
    <s v="PConc"/>
    <s v="Ex"/>
    <s v="TA"/>
    <s v="No"/>
    <s v="GLQ"/>
    <n v="1410"/>
    <s v="Unf"/>
    <n v="0"/>
    <n v="438"/>
    <n v="1848"/>
    <s v="GasA"/>
    <s v="Ex"/>
    <s v="Y"/>
    <s v="SBrkr"/>
    <n v="1848"/>
    <n v="880"/>
    <n v="0"/>
    <x v="293"/>
    <n v="1"/>
    <n v="0"/>
    <n v="2"/>
    <n v="1"/>
    <n v="4"/>
    <n v="1"/>
    <s v="Ex"/>
    <n v="10"/>
    <s v="Typ"/>
    <n v="2"/>
    <s v="Ex"/>
    <s v="Attchd"/>
    <n v="2006"/>
    <s v="Fin"/>
    <n v="3"/>
    <n v="706"/>
    <s v="TA"/>
    <s v="TA"/>
    <s v="Y"/>
    <n v="0"/>
    <n v="0"/>
    <n v="0"/>
    <n v="0"/>
    <n v="0"/>
    <n v="0"/>
    <s v="NA"/>
    <s v="NA"/>
    <s v="NA"/>
    <n v="0"/>
    <n v="4"/>
    <n v="2006"/>
    <s v="New"/>
    <s v="Partial"/>
    <n v="437154"/>
  </r>
  <r>
    <n v="351"/>
    <n v="120"/>
    <s v="RL"/>
    <n v="68"/>
    <n v="7820"/>
    <s v="Pave"/>
    <s v="NA"/>
    <s v="IR1"/>
    <s v="Lvl"/>
    <s v="AllPub"/>
    <s v="Inside"/>
    <s v="Gtl"/>
    <x v="10"/>
    <x v="0"/>
    <s v="Norm"/>
    <x v="3"/>
    <x v="1"/>
    <n v="9"/>
    <n v="5"/>
    <x v="22"/>
    <n v="2007"/>
    <s v="Hip"/>
    <s v="CompShg"/>
    <s v="MetalSd"/>
    <s v="MetalSd"/>
    <s v="BrkFace"/>
    <n v="362"/>
    <s v="Ex"/>
    <s v="TA"/>
    <s v="PConc"/>
    <s v="Ex"/>
    <s v="TA"/>
    <s v="No"/>
    <s v="Unf"/>
    <n v="0"/>
    <s v="Unf"/>
    <n v="0"/>
    <n v="1869"/>
    <n v="1869"/>
    <s v="GasA"/>
    <s v="Ex"/>
    <s v="Y"/>
    <s v="SBrkr"/>
    <n v="1869"/>
    <n v="0"/>
    <n v="0"/>
    <x v="294"/>
    <n v="0"/>
    <n v="0"/>
    <n v="2"/>
    <n v="0"/>
    <n v="2"/>
    <n v="1"/>
    <s v="Ex"/>
    <n v="6"/>
    <s v="Typ"/>
    <n v="1"/>
    <s v="Gd"/>
    <s v="Attchd"/>
    <n v="2007"/>
    <s v="RFn"/>
    <n v="2"/>
    <n v="617"/>
    <s v="TA"/>
    <s v="TA"/>
    <s v="Y"/>
    <n v="210"/>
    <n v="54"/>
    <n v="0"/>
    <n v="0"/>
    <n v="0"/>
    <n v="0"/>
    <s v="NA"/>
    <s v="NA"/>
    <s v="NA"/>
    <n v="0"/>
    <n v="12"/>
    <n v="2007"/>
    <s v="New"/>
    <s v="Partial"/>
    <n v="318061"/>
  </r>
  <r>
    <n v="352"/>
    <n v="120"/>
    <s v="RL"/>
    <s v="NA"/>
    <n v="5271"/>
    <s v="Pave"/>
    <s v="NA"/>
    <s v="IR1"/>
    <s v="Low"/>
    <s v="AllPub"/>
    <s v="Inside"/>
    <s v="Mod"/>
    <x v="19"/>
    <x v="0"/>
    <s v="Norm"/>
    <x v="0"/>
    <x v="1"/>
    <n v="7"/>
    <n v="5"/>
    <x v="73"/>
    <n v="1986"/>
    <s v="Gable"/>
    <s v="CompShg"/>
    <s v="Wd Sdng"/>
    <s v="Wd Sdng"/>
    <s v="None"/>
    <n v="0"/>
    <s v="TA"/>
    <s v="TA"/>
    <s v="PConc"/>
    <s v="Gd"/>
    <s v="TA"/>
    <s v="Gd"/>
    <s v="GLQ"/>
    <n v="1082"/>
    <s v="Unf"/>
    <n v="0"/>
    <n v="371"/>
    <n v="1453"/>
    <s v="GasA"/>
    <s v="Gd"/>
    <s v="Y"/>
    <s v="SBrkr"/>
    <n v="1453"/>
    <n v="0"/>
    <n v="0"/>
    <x v="295"/>
    <n v="1"/>
    <n v="0"/>
    <n v="1"/>
    <n v="1"/>
    <n v="2"/>
    <n v="1"/>
    <s v="Gd"/>
    <n v="6"/>
    <s v="Typ"/>
    <n v="1"/>
    <s v="TA"/>
    <s v="Attchd"/>
    <n v="1986"/>
    <s v="RFn"/>
    <n v="2"/>
    <n v="445"/>
    <s v="TA"/>
    <s v="TA"/>
    <s v="Y"/>
    <n v="0"/>
    <n v="80"/>
    <n v="0"/>
    <n v="0"/>
    <n v="184"/>
    <n v="0"/>
    <s v="NA"/>
    <s v="NA"/>
    <s v="NA"/>
    <n v="0"/>
    <n v="12"/>
    <n v="2006"/>
    <s v="WD"/>
    <s v="Abnorml"/>
    <n v="190000"/>
  </r>
  <r>
    <n v="353"/>
    <n v="50"/>
    <s v="RL"/>
    <n v="60"/>
    <n v="9084"/>
    <s v="Pave"/>
    <s v="NA"/>
    <s v="Reg"/>
    <s v="Lvl"/>
    <s v="AllPub"/>
    <s v="Inside"/>
    <s v="Gtl"/>
    <x v="15"/>
    <x v="3"/>
    <s v="Norm"/>
    <x v="0"/>
    <x v="2"/>
    <n v="5"/>
    <n v="6"/>
    <x v="71"/>
    <n v="1950"/>
    <s v="Gable"/>
    <s v="CompShg"/>
    <s v="VinylSd"/>
    <s v="VinylSd"/>
    <s v="None"/>
    <n v="0"/>
    <s v="TA"/>
    <s v="TA"/>
    <s v="CBlock"/>
    <s v="TA"/>
    <s v="Fa"/>
    <s v="Mn"/>
    <s v="LwQ"/>
    <n v="236"/>
    <s v="Rec"/>
    <n v="380"/>
    <n v="0"/>
    <n v="616"/>
    <s v="GasA"/>
    <s v="TA"/>
    <s v="N"/>
    <s v="SBrkr"/>
    <n v="616"/>
    <n v="495"/>
    <n v="0"/>
    <x v="59"/>
    <n v="0"/>
    <n v="1"/>
    <n v="1"/>
    <n v="0"/>
    <n v="3"/>
    <n v="1"/>
    <s v="TA"/>
    <n v="5"/>
    <s v="Typ"/>
    <n v="0"/>
    <s v="NA"/>
    <s v="Detchd"/>
    <n v="1941"/>
    <s v="Unf"/>
    <n v="1"/>
    <n v="200"/>
    <s v="TA"/>
    <s v="Fa"/>
    <s v="Y"/>
    <n v="48"/>
    <n v="0"/>
    <n v="0"/>
    <n v="0"/>
    <n v="0"/>
    <n v="0"/>
    <s v="NA"/>
    <s v="NA"/>
    <s v="NA"/>
    <n v="0"/>
    <n v="3"/>
    <n v="2008"/>
    <s v="ConLw"/>
    <s v="Normal"/>
    <n v="95000"/>
  </r>
  <r>
    <n v="354"/>
    <n v="30"/>
    <s v="RM"/>
    <n v="60"/>
    <n v="8520"/>
    <s v="Pave"/>
    <s v="NA"/>
    <s v="Reg"/>
    <s v="Lvl"/>
    <s v="AllPub"/>
    <s v="Inside"/>
    <s v="Gtl"/>
    <x v="7"/>
    <x v="0"/>
    <s v="Norm"/>
    <x v="0"/>
    <x v="1"/>
    <n v="6"/>
    <n v="8"/>
    <x v="89"/>
    <n v="2003"/>
    <s v="Gable"/>
    <s v="CompShg"/>
    <s v="VinylSd"/>
    <s v="VinylSd"/>
    <s v="None"/>
    <n v="0"/>
    <s v="TA"/>
    <s v="Gd"/>
    <s v="BrkTil"/>
    <s v="TA"/>
    <s v="TA"/>
    <s v="No"/>
    <s v="Unf"/>
    <n v="0"/>
    <s v="Unf"/>
    <n v="0"/>
    <n v="624"/>
    <n v="624"/>
    <s v="GasA"/>
    <s v="Gd"/>
    <s v="Y"/>
    <s v="SBrkr"/>
    <n v="720"/>
    <n v="0"/>
    <n v="0"/>
    <x v="296"/>
    <n v="0"/>
    <n v="0"/>
    <n v="1"/>
    <n v="0"/>
    <n v="2"/>
    <n v="1"/>
    <s v="TA"/>
    <n v="5"/>
    <s v="Typ"/>
    <n v="0"/>
    <s v="NA"/>
    <s v="Detchd"/>
    <n v="2005"/>
    <s v="Unf"/>
    <n v="2"/>
    <n v="484"/>
    <s v="TA"/>
    <s v="TA"/>
    <s v="Y"/>
    <n v="106"/>
    <n v="0"/>
    <n v="0"/>
    <n v="0"/>
    <n v="0"/>
    <n v="0"/>
    <s v="NA"/>
    <s v="NA"/>
    <s v="NA"/>
    <n v="0"/>
    <n v="5"/>
    <n v="2010"/>
    <s v="WD"/>
    <s v="Normal"/>
    <n v="105900"/>
  </r>
  <r>
    <n v="355"/>
    <n v="50"/>
    <s v="RL"/>
    <n v="60"/>
    <n v="8400"/>
    <s v="Pave"/>
    <s v="NA"/>
    <s v="Reg"/>
    <s v="Bnk"/>
    <s v="AllPub"/>
    <s v="Inside"/>
    <s v="Gtl"/>
    <x v="23"/>
    <x v="0"/>
    <s v="Norm"/>
    <x v="0"/>
    <x v="2"/>
    <n v="6"/>
    <n v="5"/>
    <x v="70"/>
    <n v="2000"/>
    <s v="Gable"/>
    <s v="CompShg"/>
    <s v="Wd Sdng"/>
    <s v="MetalSd"/>
    <s v="None"/>
    <n v="0"/>
    <s v="TA"/>
    <s v="TA"/>
    <s v="CBlock"/>
    <s v="TA"/>
    <s v="TA"/>
    <s v="No"/>
    <s v="LwQ"/>
    <n v="388"/>
    <s v="Unf"/>
    <n v="0"/>
    <n v="552"/>
    <n v="940"/>
    <s v="GasA"/>
    <s v="Ex"/>
    <s v="Y"/>
    <s v="SBrkr"/>
    <n v="1192"/>
    <n v="403"/>
    <n v="0"/>
    <x v="297"/>
    <n v="0"/>
    <n v="0"/>
    <n v="1"/>
    <n v="0"/>
    <n v="2"/>
    <n v="1"/>
    <s v="TA"/>
    <n v="6"/>
    <s v="Typ"/>
    <n v="2"/>
    <s v="Gd"/>
    <s v="Attchd"/>
    <n v="1940"/>
    <s v="Unf"/>
    <n v="1"/>
    <n v="240"/>
    <s v="TA"/>
    <s v="TA"/>
    <s v="Y"/>
    <n v="0"/>
    <n v="0"/>
    <n v="108"/>
    <n v="0"/>
    <n v="0"/>
    <n v="0"/>
    <s v="NA"/>
    <s v="NA"/>
    <s v="NA"/>
    <n v="0"/>
    <n v="6"/>
    <n v="2006"/>
    <s v="WD"/>
    <s v="Normal"/>
    <n v="140000"/>
  </r>
  <r>
    <n v="356"/>
    <n v="20"/>
    <s v="RL"/>
    <n v="105"/>
    <n v="11249"/>
    <s v="Pave"/>
    <s v="NA"/>
    <s v="IR2"/>
    <s v="Lvl"/>
    <s v="AllPub"/>
    <s v="Inside"/>
    <s v="Gtl"/>
    <x v="0"/>
    <x v="0"/>
    <s v="Norm"/>
    <x v="0"/>
    <x v="1"/>
    <n v="6"/>
    <n v="5"/>
    <x v="49"/>
    <n v="1995"/>
    <s v="Gable"/>
    <s v="CompShg"/>
    <s v="VinylSd"/>
    <s v="VinylSd"/>
    <s v="None"/>
    <n v="0"/>
    <s v="Gd"/>
    <s v="Gd"/>
    <s v="PConc"/>
    <s v="Gd"/>
    <s v="Gd"/>
    <s v="No"/>
    <s v="ALQ"/>
    <n v="334"/>
    <s v="BLQ"/>
    <n v="544"/>
    <n v="322"/>
    <n v="1200"/>
    <s v="GasA"/>
    <s v="Ex"/>
    <s v="Y"/>
    <s v="SBrkr"/>
    <n v="1200"/>
    <n v="0"/>
    <n v="0"/>
    <x v="144"/>
    <n v="1"/>
    <n v="0"/>
    <n v="2"/>
    <n v="0"/>
    <n v="3"/>
    <n v="1"/>
    <s v="Gd"/>
    <n v="6"/>
    <s v="Typ"/>
    <n v="0"/>
    <s v="NA"/>
    <s v="Attchd"/>
    <n v="1995"/>
    <s v="RFn"/>
    <n v="2"/>
    <n v="521"/>
    <s v="TA"/>
    <s v="TA"/>
    <s v="Y"/>
    <n v="0"/>
    <n v="26"/>
    <n v="0"/>
    <n v="0"/>
    <n v="0"/>
    <n v="0"/>
    <s v="NA"/>
    <s v="NA"/>
    <s v="NA"/>
    <n v="0"/>
    <n v="8"/>
    <n v="2007"/>
    <s v="WD"/>
    <s v="Normal"/>
    <n v="177500"/>
  </r>
  <r>
    <n v="357"/>
    <n v="20"/>
    <s v="RL"/>
    <s v="NA"/>
    <n v="9248"/>
    <s v="Pave"/>
    <s v="NA"/>
    <s v="IR1"/>
    <s v="Lvl"/>
    <s v="AllPub"/>
    <s v="Inside"/>
    <s v="Gtl"/>
    <x v="17"/>
    <x v="0"/>
    <s v="Norm"/>
    <x v="0"/>
    <x v="1"/>
    <n v="6"/>
    <n v="6"/>
    <x v="86"/>
    <n v="1992"/>
    <s v="Gable"/>
    <s v="CompShg"/>
    <s v="HdBoard"/>
    <s v="HdBoard"/>
    <s v="BrkFace"/>
    <n v="106"/>
    <s v="TA"/>
    <s v="TA"/>
    <s v="PConc"/>
    <s v="Gd"/>
    <s v="TA"/>
    <s v="No"/>
    <s v="GLQ"/>
    <n v="560"/>
    <s v="Unf"/>
    <n v="0"/>
    <n v="598"/>
    <n v="1158"/>
    <s v="GasA"/>
    <s v="Gd"/>
    <s v="Y"/>
    <s v="SBrkr"/>
    <n v="1167"/>
    <n v="0"/>
    <n v="0"/>
    <x v="298"/>
    <n v="1"/>
    <n v="0"/>
    <n v="2"/>
    <n v="0"/>
    <n v="3"/>
    <n v="1"/>
    <s v="Gd"/>
    <n v="6"/>
    <s v="Typ"/>
    <n v="0"/>
    <s v="NA"/>
    <s v="Attchd"/>
    <n v="1992"/>
    <s v="RFn"/>
    <n v="2"/>
    <n v="400"/>
    <s v="TA"/>
    <s v="TA"/>
    <s v="Y"/>
    <n v="120"/>
    <n v="26"/>
    <n v="0"/>
    <n v="0"/>
    <n v="0"/>
    <n v="0"/>
    <s v="NA"/>
    <s v="NA"/>
    <s v="NA"/>
    <n v="0"/>
    <n v="7"/>
    <n v="2009"/>
    <s v="WD"/>
    <s v="Normal"/>
    <n v="173000"/>
  </r>
  <r>
    <n v="358"/>
    <n v="120"/>
    <s v="RM"/>
    <n v="44"/>
    <n v="4224"/>
    <s v="Pave"/>
    <s v="NA"/>
    <s v="Reg"/>
    <s v="Lvl"/>
    <s v="AllPub"/>
    <s v="Inside"/>
    <s v="Gtl"/>
    <x v="14"/>
    <x v="0"/>
    <s v="Norm"/>
    <x v="3"/>
    <x v="1"/>
    <n v="5"/>
    <n v="5"/>
    <x v="1"/>
    <n v="1976"/>
    <s v="Gable"/>
    <s v="CompShg"/>
    <s v="CemntBd"/>
    <s v="CmentBd"/>
    <s v="None"/>
    <n v="0"/>
    <s v="TA"/>
    <s v="TA"/>
    <s v="PConc"/>
    <s v="Gd"/>
    <s v="TA"/>
    <s v="No"/>
    <s v="ALQ"/>
    <n v="874"/>
    <s v="Unf"/>
    <n v="0"/>
    <n v="268"/>
    <n v="1142"/>
    <s v="GasA"/>
    <s v="TA"/>
    <s v="Y"/>
    <s v="SBrkr"/>
    <n v="1142"/>
    <n v="0"/>
    <n v="0"/>
    <x v="299"/>
    <n v="1"/>
    <n v="0"/>
    <n v="1"/>
    <n v="1"/>
    <n v="3"/>
    <n v="1"/>
    <s v="TA"/>
    <n v="6"/>
    <s v="Typ"/>
    <n v="1"/>
    <s v="Po"/>
    <s v="Attchd"/>
    <n v="1976"/>
    <s v="Fin"/>
    <n v="2"/>
    <n v="528"/>
    <s v="TA"/>
    <s v="TA"/>
    <s v="Y"/>
    <n v="536"/>
    <n v="90"/>
    <n v="0"/>
    <n v="0"/>
    <n v="0"/>
    <n v="0"/>
    <s v="NA"/>
    <s v="MnPrv"/>
    <s v="NA"/>
    <n v="0"/>
    <n v="8"/>
    <n v="2007"/>
    <s v="WD"/>
    <s v="Normal"/>
    <n v="134000"/>
  </r>
  <r>
    <n v="359"/>
    <n v="80"/>
    <s v="RL"/>
    <n v="92"/>
    <n v="6930"/>
    <s v="Pave"/>
    <s v="NA"/>
    <s v="IR1"/>
    <s v="Lvl"/>
    <s v="AllPub"/>
    <s v="Inside"/>
    <s v="Gtl"/>
    <x v="19"/>
    <x v="0"/>
    <s v="Norm"/>
    <x v="0"/>
    <x v="5"/>
    <n v="5"/>
    <n v="4"/>
    <x v="18"/>
    <n v="1958"/>
    <s v="Hip"/>
    <s v="CompShg"/>
    <s v="Wd Sdng"/>
    <s v="ImStucc"/>
    <s v="BrkFace"/>
    <n v="120"/>
    <s v="TA"/>
    <s v="TA"/>
    <s v="CBlock"/>
    <s v="TA"/>
    <s v="TA"/>
    <s v="Av"/>
    <s v="BLQ"/>
    <n v="300"/>
    <s v="Rec"/>
    <n v="294"/>
    <n v="468"/>
    <n v="1062"/>
    <s v="GasA"/>
    <s v="Ex"/>
    <s v="Y"/>
    <s v="FuseF"/>
    <n v="1352"/>
    <n v="0"/>
    <n v="0"/>
    <x v="300"/>
    <n v="0"/>
    <n v="1"/>
    <n v="1"/>
    <n v="0"/>
    <n v="3"/>
    <n v="1"/>
    <s v="Gd"/>
    <n v="6"/>
    <s v="Min2"/>
    <n v="0"/>
    <s v="NA"/>
    <s v="BuiltIn"/>
    <n v="1958"/>
    <s v="Unf"/>
    <n v="1"/>
    <n v="288"/>
    <s v="TA"/>
    <s v="TA"/>
    <s v="Y"/>
    <n v="168"/>
    <n v="0"/>
    <n v="294"/>
    <n v="0"/>
    <n v="0"/>
    <n v="0"/>
    <s v="NA"/>
    <s v="NA"/>
    <s v="NA"/>
    <n v="0"/>
    <n v="7"/>
    <n v="2006"/>
    <s v="WD"/>
    <s v="Abnorml"/>
    <n v="130000"/>
  </r>
  <r>
    <n v="360"/>
    <n v="60"/>
    <s v="RL"/>
    <n v="78"/>
    <n v="12011"/>
    <s v="Pave"/>
    <s v="NA"/>
    <s v="IR1"/>
    <s v="Lvl"/>
    <s v="AllPub"/>
    <s v="CulDSac"/>
    <s v="Gtl"/>
    <x v="3"/>
    <x v="0"/>
    <s v="Norm"/>
    <x v="0"/>
    <x v="0"/>
    <n v="8"/>
    <n v="5"/>
    <x v="45"/>
    <n v="1998"/>
    <s v="Gable"/>
    <s v="CompShg"/>
    <s v="VinylSd"/>
    <s v="VinylSd"/>
    <s v="BrkFace"/>
    <n v="530"/>
    <s v="Gd"/>
    <s v="TA"/>
    <s v="PConc"/>
    <s v="Gd"/>
    <s v="TA"/>
    <s v="Av"/>
    <s v="GLQ"/>
    <n v="956"/>
    <s v="Unf"/>
    <n v="0"/>
    <n v="130"/>
    <n v="1086"/>
    <s v="GasA"/>
    <s v="Ex"/>
    <s v="Y"/>
    <s v="SBrkr"/>
    <n v="1086"/>
    <n v="838"/>
    <n v="0"/>
    <x v="301"/>
    <n v="1"/>
    <n v="0"/>
    <n v="2"/>
    <n v="1"/>
    <n v="3"/>
    <n v="1"/>
    <s v="Gd"/>
    <n v="7"/>
    <s v="Typ"/>
    <n v="1"/>
    <s v="TA"/>
    <s v="Attchd"/>
    <n v="1998"/>
    <s v="RFn"/>
    <n v="2"/>
    <n v="592"/>
    <s v="TA"/>
    <s v="TA"/>
    <s v="Y"/>
    <n v="208"/>
    <n v="75"/>
    <n v="0"/>
    <n v="0"/>
    <n v="374"/>
    <n v="0"/>
    <s v="NA"/>
    <s v="NA"/>
    <s v="NA"/>
    <n v="0"/>
    <n v="6"/>
    <n v="2006"/>
    <s v="WD"/>
    <s v="Normal"/>
    <n v="280000"/>
  </r>
  <r>
    <n v="361"/>
    <n v="85"/>
    <s v="RL"/>
    <s v="NA"/>
    <n v="7540"/>
    <s v="Pave"/>
    <s v="NA"/>
    <s v="IR1"/>
    <s v="Lvl"/>
    <s v="AllPub"/>
    <s v="CulDSac"/>
    <s v="Gtl"/>
    <x v="4"/>
    <x v="0"/>
    <s v="Norm"/>
    <x v="0"/>
    <x v="4"/>
    <n v="6"/>
    <n v="6"/>
    <x v="90"/>
    <n v="1978"/>
    <s v="Gable"/>
    <s v="CompShg"/>
    <s v="VinylSd"/>
    <s v="VinylSd"/>
    <s v="None"/>
    <n v="0"/>
    <s v="TA"/>
    <s v="TA"/>
    <s v="CBlock"/>
    <s v="Gd"/>
    <s v="TA"/>
    <s v="Av"/>
    <s v="GLQ"/>
    <n v="773"/>
    <s v="Unf"/>
    <n v="0"/>
    <n v="115"/>
    <n v="888"/>
    <s v="GasA"/>
    <s v="Ex"/>
    <s v="Y"/>
    <s v="SBrkr"/>
    <n v="912"/>
    <n v="0"/>
    <n v="0"/>
    <x v="12"/>
    <n v="1"/>
    <n v="0"/>
    <n v="1"/>
    <n v="0"/>
    <n v="2"/>
    <n v="1"/>
    <s v="TA"/>
    <n v="5"/>
    <s v="Typ"/>
    <n v="1"/>
    <s v="TA"/>
    <s v="Attchd"/>
    <n v="1978"/>
    <s v="RFn"/>
    <n v="2"/>
    <n v="470"/>
    <s v="TA"/>
    <s v="TA"/>
    <s v="Y"/>
    <n v="0"/>
    <n v="0"/>
    <n v="0"/>
    <n v="0"/>
    <n v="192"/>
    <n v="0"/>
    <s v="NA"/>
    <s v="MnPrv"/>
    <s v="NA"/>
    <n v="0"/>
    <n v="6"/>
    <n v="2007"/>
    <s v="WD"/>
    <s v="Normal"/>
    <n v="156000"/>
  </r>
  <r>
    <n v="362"/>
    <n v="50"/>
    <s v="RL"/>
    <s v="NA"/>
    <n v="9144"/>
    <s v="Pave"/>
    <s v="Pave"/>
    <s v="Reg"/>
    <s v="Lvl"/>
    <s v="AllPub"/>
    <s v="Inside"/>
    <s v="Gtl"/>
    <x v="8"/>
    <x v="0"/>
    <s v="Norm"/>
    <x v="0"/>
    <x v="2"/>
    <n v="5"/>
    <n v="5"/>
    <x v="70"/>
    <n v="1982"/>
    <s v="Gable"/>
    <s v="CompShg"/>
    <s v="MetalSd"/>
    <s v="MetalSd"/>
    <s v="None"/>
    <n v="0"/>
    <s v="TA"/>
    <s v="TA"/>
    <s v="CBlock"/>
    <s v="TA"/>
    <s v="TA"/>
    <s v="No"/>
    <s v="Rec"/>
    <n v="399"/>
    <s v="Unf"/>
    <n v="0"/>
    <n v="484"/>
    <n v="883"/>
    <s v="GasA"/>
    <s v="Gd"/>
    <s v="Y"/>
    <s v="SBrkr"/>
    <n v="988"/>
    <n v="517"/>
    <n v="0"/>
    <x v="302"/>
    <n v="1"/>
    <n v="0"/>
    <n v="1"/>
    <n v="0"/>
    <n v="3"/>
    <n v="1"/>
    <s v="TA"/>
    <n v="8"/>
    <s v="Typ"/>
    <n v="0"/>
    <s v="NA"/>
    <s v="Detchd"/>
    <n v="1940"/>
    <s v="Unf"/>
    <n v="1"/>
    <n v="240"/>
    <s v="TA"/>
    <s v="TA"/>
    <s v="N"/>
    <n v="0"/>
    <n v="0"/>
    <n v="0"/>
    <n v="0"/>
    <n v="0"/>
    <n v="0"/>
    <s v="NA"/>
    <s v="NA"/>
    <s v="NA"/>
    <n v="0"/>
    <n v="7"/>
    <n v="2008"/>
    <s v="WD"/>
    <s v="Normal"/>
    <n v="145000"/>
  </r>
  <r>
    <n v="363"/>
    <n v="85"/>
    <s v="RL"/>
    <n v="64"/>
    <n v="7301"/>
    <s v="Pave"/>
    <s v="NA"/>
    <s v="Reg"/>
    <s v="Lvl"/>
    <s v="AllPub"/>
    <s v="Corner"/>
    <s v="Gtl"/>
    <x v="15"/>
    <x v="0"/>
    <s v="Norm"/>
    <x v="0"/>
    <x v="4"/>
    <n v="7"/>
    <n v="5"/>
    <x v="0"/>
    <n v="2003"/>
    <s v="Gable"/>
    <s v="CompShg"/>
    <s v="HdBoard"/>
    <s v="HdBoard"/>
    <s v="BrkFace"/>
    <n v="500"/>
    <s v="Gd"/>
    <s v="TA"/>
    <s v="Slab"/>
    <s v="NA"/>
    <s v="NA"/>
    <s v="NA"/>
    <s v="NA"/>
    <n v="0"/>
    <s v="NA"/>
    <n v="0"/>
    <n v="0"/>
    <n v="0"/>
    <s v="GasA"/>
    <s v="Ex"/>
    <s v="Y"/>
    <s v="SBrkr"/>
    <n v="495"/>
    <n v="1427"/>
    <n v="0"/>
    <x v="282"/>
    <n v="0"/>
    <n v="0"/>
    <n v="3"/>
    <n v="0"/>
    <n v="4"/>
    <n v="1"/>
    <s v="Gd"/>
    <n v="7"/>
    <s v="Typ"/>
    <n v="1"/>
    <s v="Ex"/>
    <s v="BuiltIn"/>
    <n v="2003"/>
    <s v="RFn"/>
    <n v="2"/>
    <n v="672"/>
    <s v="TA"/>
    <s v="TA"/>
    <s v="Y"/>
    <n v="0"/>
    <n v="0"/>
    <n v="177"/>
    <n v="0"/>
    <n v="0"/>
    <n v="0"/>
    <s v="NA"/>
    <s v="NA"/>
    <s v="NA"/>
    <n v="0"/>
    <n v="7"/>
    <n v="2009"/>
    <s v="ConLD"/>
    <s v="Normal"/>
    <n v="198500"/>
  </r>
  <r>
    <n v="364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6"/>
    <n v="8"/>
    <x v="41"/>
    <n v="2007"/>
    <s v="Gable"/>
    <s v="CompShg"/>
    <s v="HdBoard"/>
    <s v="HdBoard"/>
    <s v="BrkFace"/>
    <n v="510"/>
    <s v="TA"/>
    <s v="TA"/>
    <s v="CBlock"/>
    <s v="TA"/>
    <s v="TA"/>
    <s v="No"/>
    <s v="ALQ"/>
    <n v="162"/>
    <s v="Unf"/>
    <n v="0"/>
    <n v="321"/>
    <n v="483"/>
    <s v="GasA"/>
    <s v="Gd"/>
    <s v="Y"/>
    <s v="SBrkr"/>
    <n v="483"/>
    <n v="504"/>
    <n v="0"/>
    <x v="200"/>
    <n v="0"/>
    <n v="0"/>
    <n v="1"/>
    <n v="1"/>
    <n v="2"/>
    <n v="1"/>
    <s v="Gd"/>
    <n v="5"/>
    <s v="Typ"/>
    <n v="0"/>
    <s v="NA"/>
    <s v="Detchd"/>
    <n v="1972"/>
    <s v="Unf"/>
    <n v="1"/>
    <n v="264"/>
    <s v="TA"/>
    <s v="TA"/>
    <s v="Y"/>
    <n v="250"/>
    <n v="0"/>
    <n v="0"/>
    <n v="0"/>
    <n v="0"/>
    <n v="0"/>
    <s v="NA"/>
    <s v="NA"/>
    <s v="NA"/>
    <n v="0"/>
    <n v="5"/>
    <n v="2009"/>
    <s v="WD"/>
    <s v="Normal"/>
    <n v="118000"/>
  </r>
  <r>
    <n v="365"/>
    <n v="60"/>
    <s v="RL"/>
    <s v="NA"/>
    <n v="18800"/>
    <s v="Pave"/>
    <s v="NA"/>
    <s v="IR1"/>
    <s v="Lvl"/>
    <s v="AllPub"/>
    <s v="FR2"/>
    <s v="Gtl"/>
    <x v="6"/>
    <x v="0"/>
    <s v="Norm"/>
    <x v="0"/>
    <x v="0"/>
    <n v="6"/>
    <n v="5"/>
    <x v="1"/>
    <n v="1976"/>
    <s v="Gable"/>
    <s v="CompShg"/>
    <s v="HdBoard"/>
    <s v="HdBoard"/>
    <s v="BrkFace"/>
    <n v="120"/>
    <s v="TA"/>
    <s v="TA"/>
    <s v="PConc"/>
    <s v="Gd"/>
    <s v="TA"/>
    <s v="Mn"/>
    <s v="GLQ"/>
    <n v="712"/>
    <s v="Unf"/>
    <n v="0"/>
    <n v="84"/>
    <n v="796"/>
    <s v="GasA"/>
    <s v="TA"/>
    <s v="Y"/>
    <s v="SBrkr"/>
    <n v="790"/>
    <n v="784"/>
    <n v="0"/>
    <x v="303"/>
    <n v="1"/>
    <n v="0"/>
    <n v="2"/>
    <n v="1"/>
    <n v="3"/>
    <n v="1"/>
    <s v="TA"/>
    <n v="6"/>
    <s v="Typ"/>
    <n v="1"/>
    <s v="TA"/>
    <s v="Attchd"/>
    <n v="1976"/>
    <s v="Fin"/>
    <n v="2"/>
    <n v="566"/>
    <s v="TA"/>
    <s v="TA"/>
    <s v="Y"/>
    <n v="306"/>
    <n v="111"/>
    <n v="0"/>
    <n v="0"/>
    <n v="0"/>
    <n v="0"/>
    <s v="NA"/>
    <s v="NA"/>
    <s v="NA"/>
    <n v="0"/>
    <n v="7"/>
    <n v="2006"/>
    <s v="WD"/>
    <s v="Normal"/>
    <n v="190000"/>
  </r>
  <r>
    <n v="366"/>
    <n v="70"/>
    <s v="RM"/>
    <n v="59"/>
    <n v="10690"/>
    <s v="Pave"/>
    <s v="NA"/>
    <s v="Reg"/>
    <s v="Lvl"/>
    <s v="AllPub"/>
    <s v="Inside"/>
    <s v="Gtl"/>
    <x v="13"/>
    <x v="0"/>
    <s v="Norm"/>
    <x v="0"/>
    <x v="0"/>
    <n v="5"/>
    <n v="7"/>
    <x v="26"/>
    <n v="1997"/>
    <s v="Hip"/>
    <s v="CompShg"/>
    <s v="VinylSd"/>
    <s v="VinylSd"/>
    <s v="None"/>
    <n v="0"/>
    <s v="TA"/>
    <s v="Gd"/>
    <s v="CBlock"/>
    <s v="TA"/>
    <s v="Fa"/>
    <s v="No"/>
    <s v="Rec"/>
    <n v="456"/>
    <s v="Unf"/>
    <n v="0"/>
    <n v="216"/>
    <n v="672"/>
    <s v="GasA"/>
    <s v="Gd"/>
    <s v="Y"/>
    <s v="FuseA"/>
    <n v="672"/>
    <n v="672"/>
    <n v="0"/>
    <x v="140"/>
    <n v="0"/>
    <n v="0"/>
    <n v="1"/>
    <n v="0"/>
    <n v="3"/>
    <n v="1"/>
    <s v="TA"/>
    <n v="6"/>
    <s v="Typ"/>
    <n v="0"/>
    <s v="NA"/>
    <s v="Detchd"/>
    <n v="1964"/>
    <s v="Unf"/>
    <n v="1"/>
    <n v="468"/>
    <s v="TA"/>
    <s v="Fa"/>
    <s v="Y"/>
    <n v="0"/>
    <n v="128"/>
    <n v="218"/>
    <n v="0"/>
    <n v="0"/>
    <n v="0"/>
    <s v="NA"/>
    <s v="NA"/>
    <s v="NA"/>
    <n v="0"/>
    <n v="7"/>
    <n v="2009"/>
    <s v="WD"/>
    <s v="Normal"/>
    <n v="147000"/>
  </r>
  <r>
    <n v="367"/>
    <n v="20"/>
    <s v="RL"/>
    <s v="NA"/>
    <n v="9500"/>
    <s v="Pave"/>
    <s v="NA"/>
    <s v="IR1"/>
    <s v="Lvl"/>
    <s v="AllPub"/>
    <s v="Inside"/>
    <s v="Gtl"/>
    <x v="11"/>
    <x v="0"/>
    <s v="Norm"/>
    <x v="0"/>
    <x v="1"/>
    <n v="6"/>
    <n v="5"/>
    <x v="37"/>
    <n v="1963"/>
    <s v="Gable"/>
    <s v="CompShg"/>
    <s v="Plywood"/>
    <s v="Plywood"/>
    <s v="BrkFace"/>
    <n v="247"/>
    <s v="TA"/>
    <s v="TA"/>
    <s v="CBlock"/>
    <s v="Gd"/>
    <s v="TA"/>
    <s v="No"/>
    <s v="BLQ"/>
    <n v="609"/>
    <s v="Unf"/>
    <n v="0"/>
    <n v="785"/>
    <n v="1394"/>
    <s v="GasA"/>
    <s v="Gd"/>
    <s v="Y"/>
    <s v="SBrkr"/>
    <n v="1394"/>
    <n v="0"/>
    <n v="0"/>
    <x v="304"/>
    <n v="1"/>
    <n v="0"/>
    <n v="1"/>
    <n v="1"/>
    <n v="3"/>
    <n v="1"/>
    <s v="TA"/>
    <n v="6"/>
    <s v="Typ"/>
    <n v="2"/>
    <s v="Gd"/>
    <s v="Attchd"/>
    <n v="1963"/>
    <s v="RFn"/>
    <n v="2"/>
    <n v="514"/>
    <s v="TA"/>
    <s v="TA"/>
    <s v="Y"/>
    <n v="0"/>
    <n v="76"/>
    <n v="0"/>
    <n v="0"/>
    <n v="185"/>
    <n v="0"/>
    <s v="NA"/>
    <s v="NA"/>
    <s v="NA"/>
    <n v="0"/>
    <n v="7"/>
    <n v="2009"/>
    <s v="WD"/>
    <s v="Normal"/>
    <n v="159000"/>
  </r>
  <r>
    <n v="368"/>
    <n v="80"/>
    <s v="RL"/>
    <n v="101"/>
    <n v="9150"/>
    <s v="Pave"/>
    <s v="NA"/>
    <s v="IR1"/>
    <s v="Lvl"/>
    <s v="AllPub"/>
    <s v="Corner"/>
    <s v="Gtl"/>
    <x v="11"/>
    <x v="0"/>
    <s v="Norm"/>
    <x v="0"/>
    <x v="5"/>
    <n v="6"/>
    <n v="5"/>
    <x v="12"/>
    <n v="1962"/>
    <s v="Gable"/>
    <s v="Tar&amp;Grv"/>
    <s v="Plywood"/>
    <s v="Plywood"/>
    <s v="BrkFace"/>
    <n v="305"/>
    <s v="TA"/>
    <s v="TA"/>
    <s v="CBlock"/>
    <s v="Gd"/>
    <s v="TA"/>
    <s v="Gd"/>
    <s v="GLQ"/>
    <n v="371"/>
    <s v="Unf"/>
    <n v="0"/>
    <n v="728"/>
    <n v="1099"/>
    <s v="GasA"/>
    <s v="Gd"/>
    <s v="Y"/>
    <s v="SBrkr"/>
    <n v="1431"/>
    <n v="0"/>
    <n v="0"/>
    <x v="174"/>
    <n v="0"/>
    <n v="1"/>
    <n v="1"/>
    <n v="0"/>
    <n v="3"/>
    <n v="1"/>
    <s v="TA"/>
    <n v="6"/>
    <s v="Typ"/>
    <n v="1"/>
    <s v="Gd"/>
    <s v="Basment"/>
    <n v="1962"/>
    <s v="RFn"/>
    <n v="1"/>
    <n v="296"/>
    <s v="TA"/>
    <s v="TA"/>
    <s v="Y"/>
    <n v="64"/>
    <n v="110"/>
    <n v="0"/>
    <n v="0"/>
    <n v="0"/>
    <n v="0"/>
    <s v="NA"/>
    <s v="NA"/>
    <s v="NA"/>
    <n v="0"/>
    <n v="12"/>
    <n v="2008"/>
    <s v="WD"/>
    <s v="Normal"/>
    <n v="165000"/>
  </r>
  <r>
    <n v="369"/>
    <n v="20"/>
    <s v="RL"/>
    <n v="78"/>
    <n v="7800"/>
    <s v="Pave"/>
    <s v="NA"/>
    <s v="Reg"/>
    <s v="Lvl"/>
    <s v="AllPub"/>
    <s v="Inside"/>
    <s v="Gtl"/>
    <x v="11"/>
    <x v="0"/>
    <s v="Norm"/>
    <x v="0"/>
    <x v="1"/>
    <n v="5"/>
    <n v="6"/>
    <x v="30"/>
    <n v="1954"/>
    <s v="Gable"/>
    <s v="CompShg"/>
    <s v="HdBoard"/>
    <s v="HdBoard"/>
    <s v="BrkFace"/>
    <n v="200"/>
    <s v="TA"/>
    <s v="TA"/>
    <s v="PConc"/>
    <s v="TA"/>
    <s v="TA"/>
    <s v="No"/>
    <s v="LwQ"/>
    <n v="540"/>
    <s v="Unf"/>
    <n v="0"/>
    <n v="728"/>
    <n v="1268"/>
    <s v="GasA"/>
    <s v="Gd"/>
    <s v="Y"/>
    <s v="SBrkr"/>
    <n v="1268"/>
    <n v="0"/>
    <n v="0"/>
    <x v="305"/>
    <n v="0"/>
    <n v="0"/>
    <n v="1"/>
    <n v="0"/>
    <n v="2"/>
    <n v="1"/>
    <s v="TA"/>
    <n v="7"/>
    <s v="Typ"/>
    <n v="1"/>
    <s v="Gd"/>
    <s v="Attchd"/>
    <n v="1954"/>
    <s v="Fin"/>
    <n v="1"/>
    <n v="244"/>
    <s v="TA"/>
    <s v="TA"/>
    <s v="Y"/>
    <n v="0"/>
    <n v="98"/>
    <n v="0"/>
    <n v="0"/>
    <n v="0"/>
    <n v="0"/>
    <s v="NA"/>
    <s v="NA"/>
    <s v="NA"/>
    <n v="0"/>
    <n v="3"/>
    <n v="2010"/>
    <s v="WD"/>
    <s v="Normal"/>
    <n v="132000"/>
  </r>
  <r>
    <n v="370"/>
    <n v="20"/>
    <s v="RL"/>
    <s v="NA"/>
    <n v="9830"/>
    <s v="Pave"/>
    <s v="NA"/>
    <s v="IR1"/>
    <s v="Lvl"/>
    <s v="AllPub"/>
    <s v="Corner"/>
    <s v="Gtl"/>
    <x v="11"/>
    <x v="0"/>
    <s v="Norm"/>
    <x v="0"/>
    <x v="1"/>
    <n v="5"/>
    <n v="7"/>
    <x v="28"/>
    <n v="2006"/>
    <s v="Gable"/>
    <s v="CompShg"/>
    <s v="Wd Sdng"/>
    <s v="Wd Sdng"/>
    <s v="None"/>
    <n v="0"/>
    <s v="TA"/>
    <s v="Gd"/>
    <s v="CBlock"/>
    <s v="TA"/>
    <s v="TA"/>
    <s v="No"/>
    <s v="ALQ"/>
    <n v="72"/>
    <s v="Rec"/>
    <n v="258"/>
    <n v="733"/>
    <n v="1063"/>
    <s v="GasA"/>
    <s v="Ex"/>
    <s v="Y"/>
    <s v="SBrkr"/>
    <n v="1287"/>
    <n v="0"/>
    <n v="0"/>
    <x v="306"/>
    <n v="1"/>
    <n v="0"/>
    <n v="1"/>
    <n v="0"/>
    <n v="3"/>
    <n v="1"/>
    <s v="Gd"/>
    <n v="7"/>
    <s v="Typ"/>
    <n v="1"/>
    <s v="Gd"/>
    <s v="Detchd"/>
    <n v="1997"/>
    <s v="Fin"/>
    <n v="2"/>
    <n v="576"/>
    <s v="TA"/>
    <s v="TA"/>
    <s v="Y"/>
    <n v="364"/>
    <n v="17"/>
    <n v="0"/>
    <n v="0"/>
    <n v="182"/>
    <n v="0"/>
    <s v="NA"/>
    <s v="NA"/>
    <s v="NA"/>
    <n v="0"/>
    <n v="3"/>
    <n v="2010"/>
    <s v="WD"/>
    <s v="Normal"/>
    <n v="162000"/>
  </r>
  <r>
    <n v="371"/>
    <n v="60"/>
    <s v="RL"/>
    <s v="NA"/>
    <n v="8121"/>
    <s v="Pave"/>
    <s v="NA"/>
    <s v="IR1"/>
    <s v="Lvl"/>
    <s v="AllPub"/>
    <s v="Inside"/>
    <s v="Gtl"/>
    <x v="17"/>
    <x v="0"/>
    <s v="Norm"/>
    <x v="0"/>
    <x v="0"/>
    <n v="6"/>
    <n v="5"/>
    <x v="4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53"/>
    <n v="953"/>
    <s v="GasA"/>
    <s v="Ex"/>
    <s v="Y"/>
    <s v="SBrkr"/>
    <n v="953"/>
    <n v="711"/>
    <n v="0"/>
    <x v="307"/>
    <n v="0"/>
    <n v="0"/>
    <n v="2"/>
    <n v="1"/>
    <n v="3"/>
    <n v="1"/>
    <s v="TA"/>
    <n v="7"/>
    <s v="Typ"/>
    <n v="1"/>
    <s v="TA"/>
    <s v="Attchd"/>
    <n v="2000"/>
    <s v="RFn"/>
    <n v="2"/>
    <n v="460"/>
    <s v="TA"/>
    <s v="TA"/>
    <s v="Y"/>
    <n v="100"/>
    <n v="40"/>
    <n v="0"/>
    <n v="0"/>
    <n v="0"/>
    <n v="0"/>
    <s v="NA"/>
    <s v="NA"/>
    <s v="NA"/>
    <n v="0"/>
    <n v="1"/>
    <n v="2006"/>
    <s v="WD"/>
    <s v="Normal"/>
    <n v="172400"/>
  </r>
  <r>
    <n v="372"/>
    <n v="50"/>
    <s v="RL"/>
    <n v="80"/>
    <n v="17120"/>
    <s v="Pave"/>
    <s v="NA"/>
    <s v="Reg"/>
    <s v="Lvl"/>
    <s v="AllPub"/>
    <s v="Inside"/>
    <s v="Gtl"/>
    <x v="19"/>
    <x v="1"/>
    <s v="Norm"/>
    <x v="0"/>
    <x v="2"/>
    <n v="4"/>
    <n v="4"/>
    <x v="28"/>
    <n v="1959"/>
    <s v="Gable"/>
    <s v="CompShg"/>
    <s v="WdShing"/>
    <s v="Plywood"/>
    <s v="None"/>
    <n v="0"/>
    <s v="TA"/>
    <s v="TA"/>
    <s v="CBlock"/>
    <s v="NA"/>
    <s v="NA"/>
    <s v="NA"/>
    <s v="NA"/>
    <n v="0"/>
    <s v="NA"/>
    <n v="0"/>
    <n v="0"/>
    <n v="0"/>
    <s v="GasA"/>
    <s v="TA"/>
    <s v="Y"/>
    <s v="SBrkr"/>
    <n v="1120"/>
    <n v="468"/>
    <n v="0"/>
    <x v="90"/>
    <n v="0"/>
    <n v="0"/>
    <n v="2"/>
    <n v="0"/>
    <n v="4"/>
    <n v="1"/>
    <s v="TA"/>
    <n v="7"/>
    <s v="Min2"/>
    <n v="1"/>
    <s v="Gd"/>
    <s v="Detchd"/>
    <n v="1991"/>
    <s v="Fin"/>
    <n v="2"/>
    <n v="680"/>
    <s v="TA"/>
    <s v="TA"/>
    <s v="N"/>
    <n v="0"/>
    <n v="59"/>
    <n v="0"/>
    <n v="0"/>
    <n v="0"/>
    <n v="0"/>
    <s v="NA"/>
    <s v="NA"/>
    <s v="NA"/>
    <n v="0"/>
    <n v="7"/>
    <n v="2008"/>
    <s v="WD"/>
    <s v="Normal"/>
    <n v="134432"/>
  </r>
  <r>
    <n v="373"/>
    <n v="120"/>
    <s v="RL"/>
    <n v="50"/>
    <n v="7175"/>
    <s v="Pave"/>
    <s v="NA"/>
    <s v="Reg"/>
    <s v="Lvl"/>
    <s v="AllPub"/>
    <s v="Inside"/>
    <s v="Gtl"/>
    <x v="12"/>
    <x v="0"/>
    <s v="Norm"/>
    <x v="3"/>
    <x v="1"/>
    <n v="6"/>
    <n v="5"/>
    <x v="68"/>
    <n v="1984"/>
    <s v="Gable"/>
    <s v="CompShg"/>
    <s v="Plywood"/>
    <s v="Plywood"/>
    <s v="None"/>
    <n v="0"/>
    <s v="TA"/>
    <s v="TA"/>
    <s v="CBlock"/>
    <s v="Gd"/>
    <s v="TA"/>
    <s v="No"/>
    <s v="ALQ"/>
    <n v="623"/>
    <s v="LwQ"/>
    <n v="121"/>
    <n v="0"/>
    <n v="744"/>
    <s v="GasA"/>
    <s v="TA"/>
    <s v="Y"/>
    <s v="SBrkr"/>
    <n v="752"/>
    <n v="0"/>
    <n v="0"/>
    <x v="308"/>
    <n v="1"/>
    <n v="0"/>
    <n v="1"/>
    <n v="0"/>
    <n v="2"/>
    <n v="1"/>
    <s v="TA"/>
    <n v="4"/>
    <s v="Typ"/>
    <n v="0"/>
    <s v="NA"/>
    <s v="Attchd"/>
    <n v="1984"/>
    <s v="Unf"/>
    <n v="1"/>
    <n v="264"/>
    <s v="TA"/>
    <s v="TA"/>
    <s v="Y"/>
    <n v="353"/>
    <n v="0"/>
    <n v="0"/>
    <n v="0"/>
    <n v="90"/>
    <n v="0"/>
    <s v="NA"/>
    <s v="MnPrv"/>
    <s v="NA"/>
    <n v="0"/>
    <n v="2"/>
    <n v="2010"/>
    <s v="WD"/>
    <s v="Normal"/>
    <n v="125000"/>
  </r>
  <r>
    <n v="374"/>
    <n v="20"/>
    <s v="RL"/>
    <n v="79"/>
    <n v="10634"/>
    <s v="Pave"/>
    <s v="NA"/>
    <s v="Reg"/>
    <s v="Lvl"/>
    <s v="AllPub"/>
    <s v="Inside"/>
    <s v="Gtl"/>
    <x v="11"/>
    <x v="0"/>
    <s v="Norm"/>
    <x v="0"/>
    <x v="1"/>
    <n v="5"/>
    <n v="6"/>
    <x v="31"/>
    <n v="1953"/>
    <s v="Gable"/>
    <s v="CompShg"/>
    <s v="MetalSd"/>
    <s v="MetalSd"/>
    <s v="None"/>
    <n v="0"/>
    <s v="TA"/>
    <s v="TA"/>
    <s v="PConc"/>
    <s v="TA"/>
    <s v="TA"/>
    <s v="No"/>
    <s v="BLQ"/>
    <n v="428"/>
    <s v="LwQ"/>
    <n v="180"/>
    <n v="0"/>
    <n v="608"/>
    <s v="GasA"/>
    <s v="TA"/>
    <s v="Y"/>
    <s v="SBrkr"/>
    <n v="1319"/>
    <n v="0"/>
    <n v="0"/>
    <x v="309"/>
    <n v="1"/>
    <n v="0"/>
    <n v="1"/>
    <n v="0"/>
    <n v="3"/>
    <n v="1"/>
    <s v="TA"/>
    <n v="5"/>
    <s v="Min2"/>
    <n v="0"/>
    <s v="NA"/>
    <s v="Attchd"/>
    <n v="1953"/>
    <s v="Unf"/>
    <n v="1"/>
    <n v="270"/>
    <s v="TA"/>
    <s v="TA"/>
    <s v="Y"/>
    <n v="66"/>
    <n v="0"/>
    <n v="0"/>
    <n v="0"/>
    <n v="0"/>
    <n v="0"/>
    <s v="NA"/>
    <s v="GdWo"/>
    <s v="NA"/>
    <n v="0"/>
    <n v="11"/>
    <n v="2009"/>
    <s v="WD"/>
    <s v="Normal"/>
    <n v="123000"/>
  </r>
  <r>
    <n v="375"/>
    <n v="60"/>
    <s v="RL"/>
    <n v="65"/>
    <n v="8200"/>
    <s v="Pave"/>
    <s v="NA"/>
    <s v="Reg"/>
    <s v="Lvl"/>
    <s v="AllPub"/>
    <s v="Inside"/>
    <s v="Gtl"/>
    <x v="0"/>
    <x v="0"/>
    <s v="Norm"/>
    <x v="0"/>
    <x v="0"/>
    <n v="7"/>
    <n v="5"/>
    <x v="0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47"/>
    <n v="847"/>
    <s v="GasA"/>
    <s v="Ex"/>
    <s v="Y"/>
    <s v="SBrkr"/>
    <n v="847"/>
    <n v="1081"/>
    <n v="0"/>
    <x v="214"/>
    <n v="0"/>
    <n v="0"/>
    <n v="2"/>
    <n v="1"/>
    <n v="4"/>
    <n v="1"/>
    <s v="Gd"/>
    <n v="8"/>
    <s v="Typ"/>
    <n v="1"/>
    <s v="Gd"/>
    <s v="BuiltIn"/>
    <n v="2003"/>
    <s v="Fin"/>
    <n v="2"/>
    <n v="434"/>
    <s v="TA"/>
    <s v="TA"/>
    <s v="Y"/>
    <n v="100"/>
    <n v="48"/>
    <n v="0"/>
    <n v="0"/>
    <n v="0"/>
    <n v="0"/>
    <s v="NA"/>
    <s v="NA"/>
    <s v="NA"/>
    <n v="0"/>
    <n v="7"/>
    <n v="2007"/>
    <s v="WD"/>
    <s v="Normal"/>
    <n v="219500"/>
  </r>
  <r>
    <n v="376"/>
    <n v="30"/>
    <s v="RL"/>
    <s v="NA"/>
    <n v="10020"/>
    <s v="Pave"/>
    <s v="NA"/>
    <s v="IR1"/>
    <s v="Low"/>
    <s v="AllPub"/>
    <s v="Inside"/>
    <s v="Sev"/>
    <x v="15"/>
    <x v="0"/>
    <s v="Norm"/>
    <x v="0"/>
    <x v="1"/>
    <n v="1"/>
    <n v="1"/>
    <x v="91"/>
    <n v="1950"/>
    <s v="Gable"/>
    <s v="CompShg"/>
    <s v="Wd Sdng"/>
    <s v="Wd Sdng"/>
    <s v="None"/>
    <n v="0"/>
    <s v="Fa"/>
    <s v="Fa"/>
    <s v="BrkTil"/>
    <s v="Fa"/>
    <s v="Po"/>
    <s v="Gd"/>
    <s v="BLQ"/>
    <n v="350"/>
    <s v="Unf"/>
    <n v="0"/>
    <n v="333"/>
    <n v="683"/>
    <s v="GasA"/>
    <s v="Gd"/>
    <s v="N"/>
    <s v="FuseA"/>
    <n v="904"/>
    <n v="0"/>
    <n v="0"/>
    <x v="310"/>
    <n v="1"/>
    <n v="0"/>
    <n v="0"/>
    <n v="1"/>
    <n v="1"/>
    <n v="1"/>
    <s v="Fa"/>
    <n v="4"/>
    <s v="Maj1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3"/>
    <n v="2009"/>
    <s v="WD"/>
    <s v="Normal"/>
    <n v="61000"/>
  </r>
  <r>
    <n v="377"/>
    <n v="85"/>
    <s v="RL"/>
    <n v="57"/>
    <n v="8846"/>
    <s v="Pave"/>
    <s v="NA"/>
    <s v="IR1"/>
    <s v="Lvl"/>
    <s v="AllPub"/>
    <s v="CulDSac"/>
    <s v="Gtl"/>
    <x v="0"/>
    <x v="0"/>
    <s v="Norm"/>
    <x v="0"/>
    <x v="4"/>
    <n v="5"/>
    <n v="5"/>
    <x v="92"/>
    <n v="1996"/>
    <s v="Gable"/>
    <s v="CompShg"/>
    <s v="VinylSd"/>
    <s v="VinylSd"/>
    <s v="None"/>
    <n v="0"/>
    <s v="Gd"/>
    <s v="TA"/>
    <s v="PConc"/>
    <s v="Gd"/>
    <s v="TA"/>
    <s v="Av"/>
    <s v="GLQ"/>
    <n v="298"/>
    <s v="Unf"/>
    <n v="0"/>
    <n v="572"/>
    <n v="870"/>
    <s v="GasA"/>
    <s v="Ex"/>
    <s v="Y"/>
    <s v="SBrkr"/>
    <n v="914"/>
    <n v="0"/>
    <n v="0"/>
    <x v="311"/>
    <n v="0"/>
    <n v="0"/>
    <n v="1"/>
    <n v="0"/>
    <n v="2"/>
    <n v="1"/>
    <s v="TA"/>
    <n v="5"/>
    <s v="Typ"/>
    <n v="0"/>
    <s v="NA"/>
    <s v="Detchd"/>
    <n v="1998"/>
    <s v="Unf"/>
    <n v="2"/>
    <n v="576"/>
    <s v="TA"/>
    <s v="TA"/>
    <s v="Y"/>
    <n v="0"/>
    <n v="0"/>
    <n v="0"/>
    <n v="0"/>
    <n v="0"/>
    <n v="0"/>
    <s v="NA"/>
    <s v="NA"/>
    <s v="NA"/>
    <n v="0"/>
    <n v="7"/>
    <n v="2006"/>
    <s v="WD"/>
    <s v="Normal"/>
    <n v="148000"/>
  </r>
  <r>
    <n v="378"/>
    <n v="60"/>
    <s v="FV"/>
    <n v="102"/>
    <n v="11143"/>
    <s v="Pave"/>
    <s v="NA"/>
    <s v="IR1"/>
    <s v="Lvl"/>
    <s v="AllPub"/>
    <s v="Corner"/>
    <s v="Gtl"/>
    <x v="5"/>
    <x v="0"/>
    <s v="Norm"/>
    <x v="0"/>
    <x v="0"/>
    <n v="8"/>
    <n v="5"/>
    <x v="6"/>
    <n v="2005"/>
    <s v="Gable"/>
    <s v="CompShg"/>
    <s v="CemntBd"/>
    <s v="CmentBd"/>
    <s v="None"/>
    <n v="0"/>
    <s v="Gd"/>
    <s v="TA"/>
    <s v="PConc"/>
    <s v="Gd"/>
    <s v="TA"/>
    <s v="No"/>
    <s v="Unf"/>
    <n v="0"/>
    <s v="Unf"/>
    <n v="0"/>
    <n v="1580"/>
    <n v="1580"/>
    <s v="GasA"/>
    <s v="Ex"/>
    <s v="Y"/>
    <s v="SBrkr"/>
    <n v="1580"/>
    <n v="886"/>
    <n v="0"/>
    <x v="312"/>
    <n v="0"/>
    <n v="0"/>
    <n v="3"/>
    <n v="0"/>
    <n v="4"/>
    <n v="1"/>
    <s v="Gd"/>
    <n v="8"/>
    <s v="Typ"/>
    <n v="1"/>
    <s v="Gd"/>
    <s v="Attchd"/>
    <n v="2004"/>
    <s v="RFn"/>
    <n v="2"/>
    <n v="610"/>
    <s v="TA"/>
    <s v="TA"/>
    <s v="Y"/>
    <n v="159"/>
    <n v="214"/>
    <n v="0"/>
    <n v="0"/>
    <n v="0"/>
    <n v="0"/>
    <s v="NA"/>
    <s v="NA"/>
    <s v="NA"/>
    <n v="0"/>
    <n v="12"/>
    <n v="2007"/>
    <s v="WD"/>
    <s v="Normal"/>
    <n v="340000"/>
  </r>
  <r>
    <n v="379"/>
    <n v="20"/>
    <s v="RL"/>
    <n v="88"/>
    <n v="11394"/>
    <s v="Pave"/>
    <s v="NA"/>
    <s v="Reg"/>
    <s v="Lvl"/>
    <s v="AllPub"/>
    <s v="Corner"/>
    <s v="Gtl"/>
    <x v="18"/>
    <x v="0"/>
    <s v="Norm"/>
    <x v="0"/>
    <x v="1"/>
    <n v="9"/>
    <n v="2"/>
    <x v="93"/>
    <n v="2010"/>
    <s v="Hip"/>
    <s v="CompShg"/>
    <s v="VinylSd"/>
    <s v="VinylSd"/>
    <s v="Stone"/>
    <n v="350"/>
    <s v="Gd"/>
    <s v="TA"/>
    <s v="PConc"/>
    <s v="Ex"/>
    <s v="TA"/>
    <s v="Av"/>
    <s v="GLQ"/>
    <n v="1445"/>
    <s v="Unf"/>
    <n v="0"/>
    <n v="411"/>
    <n v="1856"/>
    <s v="GasA"/>
    <s v="Ex"/>
    <s v="Y"/>
    <s v="SBrkr"/>
    <n v="1856"/>
    <n v="0"/>
    <n v="0"/>
    <x v="313"/>
    <n v="1"/>
    <n v="0"/>
    <n v="1"/>
    <n v="1"/>
    <n v="1"/>
    <n v="1"/>
    <s v="Ex"/>
    <n v="8"/>
    <s v="Typ"/>
    <n v="1"/>
    <s v="Ex"/>
    <s v="Attchd"/>
    <n v="2010"/>
    <s v="Fin"/>
    <n v="3"/>
    <n v="834"/>
    <s v="TA"/>
    <s v="TA"/>
    <s v="Y"/>
    <n v="113"/>
    <n v="0"/>
    <n v="0"/>
    <n v="0"/>
    <n v="0"/>
    <n v="0"/>
    <s v="NA"/>
    <s v="NA"/>
    <s v="NA"/>
    <n v="0"/>
    <n v="6"/>
    <n v="2010"/>
    <s v="New"/>
    <s v="Partial"/>
    <n v="394432"/>
  </r>
  <r>
    <n v="380"/>
    <n v="60"/>
    <s v="RL"/>
    <n v="60"/>
    <n v="8123"/>
    <s v="Pave"/>
    <s v="NA"/>
    <s v="IR1"/>
    <s v="Lvl"/>
    <s v="AllPub"/>
    <s v="Inside"/>
    <s v="Gtl"/>
    <x v="17"/>
    <x v="6"/>
    <s v="Norm"/>
    <x v="0"/>
    <x v="0"/>
    <n v="6"/>
    <n v="5"/>
    <x v="4"/>
    <n v="2000"/>
    <s v="Gable"/>
    <s v="CompShg"/>
    <s v="VinylSd"/>
    <s v="VinylSd"/>
    <s v="BrkFace"/>
    <n v="16"/>
    <s v="TA"/>
    <s v="TA"/>
    <s v="PConc"/>
    <s v="Gd"/>
    <s v="TA"/>
    <s v="No"/>
    <s v="Unf"/>
    <n v="0"/>
    <s v="Unf"/>
    <n v="0"/>
    <n v="982"/>
    <n v="982"/>
    <s v="GasA"/>
    <s v="Ex"/>
    <s v="Y"/>
    <s v="SBrkr"/>
    <n v="1007"/>
    <n v="793"/>
    <n v="0"/>
    <x v="314"/>
    <n v="0"/>
    <n v="0"/>
    <n v="2"/>
    <n v="1"/>
    <n v="3"/>
    <n v="1"/>
    <s v="TA"/>
    <n v="7"/>
    <s v="Typ"/>
    <n v="1"/>
    <s v="TA"/>
    <s v="Attchd"/>
    <n v="2000"/>
    <s v="Fin"/>
    <n v="2"/>
    <n v="463"/>
    <s v="TA"/>
    <s v="TA"/>
    <s v="Y"/>
    <n v="100"/>
    <n v="63"/>
    <n v="0"/>
    <n v="0"/>
    <n v="0"/>
    <n v="0"/>
    <s v="NA"/>
    <s v="NA"/>
    <s v="NA"/>
    <n v="0"/>
    <n v="6"/>
    <n v="2009"/>
    <s v="WD"/>
    <s v="Normal"/>
    <n v="179000"/>
  </r>
  <r>
    <n v="381"/>
    <n v="50"/>
    <s v="RL"/>
    <n v="50"/>
    <n v="5000"/>
    <s v="Pave"/>
    <s v="Pave"/>
    <s v="Reg"/>
    <s v="Lvl"/>
    <s v="AllPub"/>
    <s v="Inside"/>
    <s v="Gtl"/>
    <x v="23"/>
    <x v="0"/>
    <s v="Norm"/>
    <x v="0"/>
    <x v="2"/>
    <n v="5"/>
    <n v="6"/>
    <x v="67"/>
    <n v="1950"/>
    <s v="Gable"/>
    <s v="CompShg"/>
    <s v="BrkFace"/>
    <s v="Wd Sdng"/>
    <s v="None"/>
    <n v="0"/>
    <s v="TA"/>
    <s v="TA"/>
    <s v="BrkTil"/>
    <s v="TA"/>
    <s v="TA"/>
    <s v="No"/>
    <s v="LwQ"/>
    <n v="218"/>
    <s v="Unf"/>
    <n v="0"/>
    <n v="808"/>
    <n v="1026"/>
    <s v="GasA"/>
    <s v="TA"/>
    <s v="Y"/>
    <s v="SBrkr"/>
    <n v="1026"/>
    <n v="665"/>
    <n v="0"/>
    <x v="315"/>
    <n v="0"/>
    <n v="0"/>
    <n v="2"/>
    <n v="0"/>
    <n v="3"/>
    <n v="1"/>
    <s v="Gd"/>
    <n v="6"/>
    <s v="Typ"/>
    <n v="1"/>
    <s v="Gd"/>
    <s v="Detchd"/>
    <n v="1924"/>
    <s v="Unf"/>
    <n v="1"/>
    <n v="308"/>
    <s v="TA"/>
    <s v="TA"/>
    <s v="Y"/>
    <n v="0"/>
    <n v="0"/>
    <n v="242"/>
    <n v="0"/>
    <n v="0"/>
    <n v="0"/>
    <s v="NA"/>
    <s v="NA"/>
    <s v="NA"/>
    <n v="0"/>
    <n v="5"/>
    <n v="2010"/>
    <s v="WD"/>
    <s v="Normal"/>
    <n v="127000"/>
  </r>
  <r>
    <n v="382"/>
    <n v="20"/>
    <s v="FV"/>
    <n v="60"/>
    <n v="7200"/>
    <s v="Pave"/>
    <s v="Pave"/>
    <s v="Reg"/>
    <s v="Lvl"/>
    <s v="AllPub"/>
    <s v="Inside"/>
    <s v="Gtl"/>
    <x v="5"/>
    <x v="0"/>
    <s v="Norm"/>
    <x v="0"/>
    <x v="1"/>
    <n v="7"/>
    <n v="5"/>
    <x v="13"/>
    <n v="2006"/>
    <s v="Gable"/>
    <s v="CompShg"/>
    <s v="VinylSd"/>
    <s v="VinylSd"/>
    <s v="None"/>
    <n v="0"/>
    <s v="Gd"/>
    <s v="TA"/>
    <s v="PConc"/>
    <s v="Gd"/>
    <s v="Gd"/>
    <s v="No"/>
    <s v="Unf"/>
    <n v="0"/>
    <s v="Unf"/>
    <n v="0"/>
    <n v="1293"/>
    <n v="1293"/>
    <s v="GasA"/>
    <s v="Ex"/>
    <s v="Y"/>
    <s v="SBrkr"/>
    <n v="1301"/>
    <n v="0"/>
    <n v="0"/>
    <x v="316"/>
    <n v="1"/>
    <n v="0"/>
    <n v="2"/>
    <n v="0"/>
    <n v="2"/>
    <n v="1"/>
    <s v="Gd"/>
    <n v="5"/>
    <s v="Typ"/>
    <n v="1"/>
    <s v="Gd"/>
    <s v="Attchd"/>
    <n v="2006"/>
    <s v="RFn"/>
    <n v="2"/>
    <n v="572"/>
    <s v="TA"/>
    <s v="TA"/>
    <s v="Y"/>
    <n v="216"/>
    <n v="121"/>
    <n v="0"/>
    <n v="0"/>
    <n v="0"/>
    <n v="0"/>
    <s v="NA"/>
    <s v="NA"/>
    <s v="NA"/>
    <n v="0"/>
    <n v="8"/>
    <n v="2006"/>
    <s v="New"/>
    <s v="Partial"/>
    <n v="187750"/>
  </r>
  <r>
    <n v="383"/>
    <n v="60"/>
    <s v="RL"/>
    <n v="79"/>
    <n v="9245"/>
    <s v="Pave"/>
    <s v="NA"/>
    <s v="IR1"/>
    <s v="Lvl"/>
    <s v="AllPub"/>
    <s v="Inside"/>
    <s v="Gtl"/>
    <x v="0"/>
    <x v="0"/>
    <s v="Norm"/>
    <x v="0"/>
    <x v="0"/>
    <n v="7"/>
    <n v="5"/>
    <x v="13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939"/>
    <n v="939"/>
    <s v="GasA"/>
    <s v="Ex"/>
    <s v="Y"/>
    <s v="SBrkr"/>
    <n v="939"/>
    <n v="858"/>
    <n v="0"/>
    <x v="317"/>
    <n v="0"/>
    <n v="0"/>
    <n v="2"/>
    <n v="1"/>
    <n v="3"/>
    <n v="1"/>
    <s v="Gd"/>
    <n v="8"/>
    <s v="Typ"/>
    <n v="0"/>
    <s v="NA"/>
    <s v="Attchd"/>
    <n v="2006"/>
    <s v="RFn"/>
    <n v="2"/>
    <n v="639"/>
    <s v="TA"/>
    <s v="TA"/>
    <s v="Y"/>
    <n v="144"/>
    <n v="53"/>
    <n v="0"/>
    <n v="0"/>
    <n v="0"/>
    <n v="0"/>
    <s v="NA"/>
    <s v="NA"/>
    <s v="NA"/>
    <n v="0"/>
    <n v="4"/>
    <n v="2007"/>
    <s v="WD"/>
    <s v="Normal"/>
    <n v="213500"/>
  </r>
  <r>
    <n v="384"/>
    <n v="45"/>
    <s v="RH"/>
    <n v="60"/>
    <n v="9000"/>
    <s v="Pave"/>
    <s v="NA"/>
    <s v="Reg"/>
    <s v="Lvl"/>
    <s v="AllPub"/>
    <s v="Corner"/>
    <s v="Gtl"/>
    <x v="12"/>
    <x v="0"/>
    <s v="Norm"/>
    <x v="0"/>
    <x v="3"/>
    <n v="6"/>
    <n v="3"/>
    <x v="89"/>
    <n v="1950"/>
    <s v="Gable"/>
    <s v="CompShg"/>
    <s v="Wd Sdng"/>
    <s v="Wd Sdng"/>
    <s v="None"/>
    <n v="0"/>
    <s v="TA"/>
    <s v="TA"/>
    <s v="BrkTil"/>
    <s v="Fa"/>
    <s v="Fa"/>
    <s v="No"/>
    <s v="Unf"/>
    <n v="0"/>
    <s v="Unf"/>
    <n v="0"/>
    <n v="784"/>
    <n v="784"/>
    <s v="GasA"/>
    <s v="TA"/>
    <s v="N"/>
    <s v="FuseA"/>
    <n v="784"/>
    <n v="0"/>
    <n v="0"/>
    <x v="318"/>
    <n v="0"/>
    <n v="0"/>
    <n v="1"/>
    <n v="0"/>
    <n v="2"/>
    <n v="1"/>
    <s v="TA"/>
    <n v="5"/>
    <s v="Typ"/>
    <n v="0"/>
    <s v="NA"/>
    <s v="Detchd"/>
    <n v="1950"/>
    <s v="Unf"/>
    <n v="2"/>
    <n v="360"/>
    <s v="Fa"/>
    <s v="Fa"/>
    <s v="N"/>
    <n v="0"/>
    <n v="0"/>
    <n v="91"/>
    <n v="0"/>
    <n v="0"/>
    <n v="0"/>
    <s v="NA"/>
    <s v="NA"/>
    <s v="NA"/>
    <n v="0"/>
    <n v="10"/>
    <n v="2009"/>
    <s v="WD"/>
    <s v="Normal"/>
    <n v="76000"/>
  </r>
  <r>
    <n v="385"/>
    <n v="60"/>
    <s v="RL"/>
    <s v="NA"/>
    <n v="53107"/>
    <s v="Pave"/>
    <s v="NA"/>
    <s v="IR2"/>
    <s v="Low"/>
    <s v="AllPub"/>
    <s v="Corner"/>
    <s v="Mod"/>
    <x v="19"/>
    <x v="1"/>
    <s v="Norm"/>
    <x v="0"/>
    <x v="0"/>
    <n v="6"/>
    <n v="5"/>
    <x v="86"/>
    <n v="1992"/>
    <s v="Gable"/>
    <s v="CompShg"/>
    <s v="HdBoard"/>
    <s v="HdBoard"/>
    <s v="None"/>
    <n v="0"/>
    <s v="Gd"/>
    <s v="TA"/>
    <s v="PConc"/>
    <s v="Gd"/>
    <s v="TA"/>
    <s v="Av"/>
    <s v="GLQ"/>
    <n v="985"/>
    <s v="Unf"/>
    <n v="0"/>
    <n v="595"/>
    <n v="1580"/>
    <s v="GasA"/>
    <s v="Ex"/>
    <s v="Y"/>
    <s v="SBrkr"/>
    <n v="1079"/>
    <n v="874"/>
    <n v="0"/>
    <x v="319"/>
    <n v="1"/>
    <n v="0"/>
    <n v="2"/>
    <n v="1"/>
    <n v="3"/>
    <n v="1"/>
    <s v="Gd"/>
    <n v="9"/>
    <s v="Typ"/>
    <n v="2"/>
    <s v="Fa"/>
    <s v="Attchd"/>
    <n v="1992"/>
    <s v="Fin"/>
    <n v="2"/>
    <n v="501"/>
    <s v="TA"/>
    <s v="TA"/>
    <s v="Y"/>
    <n v="216"/>
    <n v="231"/>
    <n v="0"/>
    <n v="0"/>
    <n v="0"/>
    <n v="0"/>
    <s v="NA"/>
    <s v="NA"/>
    <s v="NA"/>
    <n v="0"/>
    <n v="6"/>
    <n v="2007"/>
    <s v="WD"/>
    <s v="Normal"/>
    <n v="240000"/>
  </r>
  <r>
    <n v="386"/>
    <n v="120"/>
    <s v="RL"/>
    <n v="43"/>
    <n v="3182"/>
    <s v="Pave"/>
    <s v="NA"/>
    <s v="Reg"/>
    <s v="Lvl"/>
    <s v="AllPub"/>
    <s v="Inside"/>
    <s v="Gtl"/>
    <x v="21"/>
    <x v="0"/>
    <s v="Norm"/>
    <x v="3"/>
    <x v="1"/>
    <n v="8"/>
    <n v="5"/>
    <x v="6"/>
    <n v="2005"/>
    <s v="Gable"/>
    <s v="CompShg"/>
    <s v="VinylSd"/>
    <s v="VinylSd"/>
    <s v="BrkFace"/>
    <n v="16"/>
    <s v="Gd"/>
    <s v="TA"/>
    <s v="PConc"/>
    <s v="Gd"/>
    <s v="TA"/>
    <s v="No"/>
    <s v="GLQ"/>
    <n v="24"/>
    <s v="Unf"/>
    <n v="0"/>
    <n v="1232"/>
    <n v="1256"/>
    <s v="GasA"/>
    <s v="Ex"/>
    <s v="Y"/>
    <s v="SBrkr"/>
    <n v="1269"/>
    <n v="0"/>
    <n v="0"/>
    <x v="320"/>
    <n v="0"/>
    <n v="0"/>
    <n v="2"/>
    <n v="0"/>
    <n v="2"/>
    <n v="1"/>
    <s v="Gd"/>
    <n v="6"/>
    <s v="Typ"/>
    <n v="1"/>
    <s v="TA"/>
    <s v="Attchd"/>
    <n v="2004"/>
    <s v="Fin"/>
    <n v="2"/>
    <n v="430"/>
    <s v="TA"/>
    <s v="TA"/>
    <s v="Y"/>
    <n v="146"/>
    <n v="20"/>
    <n v="0"/>
    <n v="0"/>
    <n v="144"/>
    <n v="0"/>
    <s v="NA"/>
    <s v="NA"/>
    <s v="NA"/>
    <n v="0"/>
    <n v="4"/>
    <n v="2010"/>
    <s v="WD"/>
    <s v="Normal"/>
    <n v="192000"/>
  </r>
  <r>
    <n v="387"/>
    <n v="50"/>
    <s v="RL"/>
    <n v="58"/>
    <n v="8410"/>
    <s v="Pave"/>
    <s v="NA"/>
    <s v="Reg"/>
    <s v="Lvl"/>
    <s v="AllPub"/>
    <s v="FR2"/>
    <s v="Gtl"/>
    <x v="15"/>
    <x v="1"/>
    <s v="Norm"/>
    <x v="0"/>
    <x v="2"/>
    <n v="5"/>
    <n v="3"/>
    <x v="48"/>
    <n v="1996"/>
    <s v="Gambrel"/>
    <s v="CompShg"/>
    <s v="Wd Sdng"/>
    <s v="VinylSd"/>
    <s v="None"/>
    <n v="0"/>
    <s v="TA"/>
    <s v="Fa"/>
    <s v="PConc"/>
    <s v="TA"/>
    <s v="TA"/>
    <s v="No"/>
    <s v="Unf"/>
    <n v="0"/>
    <s v="Unf"/>
    <n v="0"/>
    <n v="658"/>
    <n v="658"/>
    <s v="GasA"/>
    <s v="TA"/>
    <s v="Y"/>
    <s v="SBrkr"/>
    <n v="658"/>
    <n v="526"/>
    <n v="0"/>
    <x v="321"/>
    <n v="0"/>
    <n v="0"/>
    <n v="1"/>
    <n v="0"/>
    <n v="5"/>
    <n v="1"/>
    <s v="TA"/>
    <n v="8"/>
    <s v="Typ"/>
    <n v="0"/>
    <s v="NA"/>
    <s v="NA"/>
    <s v="NA"/>
    <s v="NA"/>
    <n v="0"/>
    <n v="0"/>
    <s v="NA"/>
    <s v="NA"/>
    <s v="N"/>
    <n v="0"/>
    <n v="151"/>
    <n v="0"/>
    <n v="0"/>
    <n v="0"/>
    <n v="0"/>
    <s v="NA"/>
    <s v="NA"/>
    <s v="NA"/>
    <n v="0"/>
    <n v="5"/>
    <n v="2006"/>
    <s v="WD"/>
    <s v="AdjLand"/>
    <n v="81000"/>
  </r>
  <r>
    <n v="388"/>
    <n v="80"/>
    <s v="RL"/>
    <n v="72"/>
    <n v="7200"/>
    <s v="Pave"/>
    <s v="NA"/>
    <s v="Reg"/>
    <s v="Lvl"/>
    <s v="AllPub"/>
    <s v="Inside"/>
    <s v="Gtl"/>
    <x v="15"/>
    <x v="0"/>
    <s v="Norm"/>
    <x v="0"/>
    <x v="5"/>
    <n v="6"/>
    <n v="6"/>
    <x v="1"/>
    <n v="1976"/>
    <s v="Hip"/>
    <s v="CompShg"/>
    <s v="MetalSd"/>
    <s v="MetalSd"/>
    <s v="BrkFace"/>
    <n v="255"/>
    <s v="TA"/>
    <s v="TA"/>
    <s v="CBlock"/>
    <s v="TA"/>
    <s v="TA"/>
    <s v="Av"/>
    <s v="ALQ"/>
    <n v="631"/>
    <s v="Unf"/>
    <n v="0"/>
    <n v="410"/>
    <n v="1041"/>
    <s v="GasA"/>
    <s v="Ex"/>
    <s v="Y"/>
    <s v="SBrkr"/>
    <n v="1125"/>
    <n v="0"/>
    <n v="0"/>
    <x v="111"/>
    <n v="1"/>
    <n v="0"/>
    <n v="1"/>
    <n v="0"/>
    <n v="3"/>
    <n v="1"/>
    <s v="TA"/>
    <n v="6"/>
    <s v="Typ"/>
    <n v="1"/>
    <s v="Fa"/>
    <s v="Detchd"/>
    <n v="1977"/>
    <s v="Unf"/>
    <n v="1"/>
    <n v="352"/>
    <s v="TA"/>
    <s v="TA"/>
    <s v="Y"/>
    <n v="296"/>
    <n v="0"/>
    <n v="0"/>
    <n v="0"/>
    <n v="0"/>
    <n v="0"/>
    <s v="NA"/>
    <s v="GdWo"/>
    <s v="NA"/>
    <n v="0"/>
    <n v="10"/>
    <n v="2009"/>
    <s v="WD"/>
    <s v="Abnorml"/>
    <n v="125000"/>
  </r>
  <r>
    <n v="389"/>
    <n v="20"/>
    <s v="RL"/>
    <n v="93"/>
    <n v="9382"/>
    <s v="Pave"/>
    <s v="NA"/>
    <s v="IR1"/>
    <s v="Lvl"/>
    <s v="AllPub"/>
    <s v="CulDSac"/>
    <s v="Gtl"/>
    <x v="0"/>
    <x v="0"/>
    <s v="Norm"/>
    <x v="0"/>
    <x v="1"/>
    <n v="7"/>
    <n v="5"/>
    <x v="40"/>
    <n v="2000"/>
    <s v="Gable"/>
    <s v="CompShg"/>
    <s v="VinylSd"/>
    <s v="VinylSd"/>
    <s v="BrkFace"/>
    <n v="125"/>
    <s v="Gd"/>
    <s v="TA"/>
    <s v="PConc"/>
    <s v="Gd"/>
    <s v="TA"/>
    <s v="No"/>
    <s v="Unf"/>
    <n v="0"/>
    <s v="Unf"/>
    <n v="0"/>
    <n v="1468"/>
    <n v="1468"/>
    <s v="GasA"/>
    <s v="Ex"/>
    <s v="Y"/>
    <s v="SBrkr"/>
    <n v="1479"/>
    <n v="0"/>
    <n v="0"/>
    <x v="64"/>
    <n v="0"/>
    <n v="0"/>
    <n v="2"/>
    <n v="0"/>
    <n v="3"/>
    <n v="1"/>
    <s v="Gd"/>
    <n v="6"/>
    <s v="Typ"/>
    <n v="0"/>
    <s v="NA"/>
    <s v="Attchd"/>
    <n v="1999"/>
    <s v="RFn"/>
    <n v="2"/>
    <n v="577"/>
    <s v="TA"/>
    <s v="TA"/>
    <s v="Y"/>
    <n v="120"/>
    <n v="25"/>
    <n v="0"/>
    <n v="0"/>
    <n v="0"/>
    <n v="0"/>
    <s v="NA"/>
    <s v="NA"/>
    <s v="NA"/>
    <n v="0"/>
    <n v="7"/>
    <n v="2008"/>
    <s v="WD"/>
    <s v="Normal"/>
    <n v="191000"/>
  </r>
  <r>
    <n v="390"/>
    <n v="60"/>
    <s v="RL"/>
    <n v="96"/>
    <n v="12474"/>
    <s v="Pave"/>
    <s v="NA"/>
    <s v="Reg"/>
    <s v="Lvl"/>
    <s v="AllPub"/>
    <s v="Inside"/>
    <s v="Gtl"/>
    <x v="10"/>
    <x v="0"/>
    <s v="Norm"/>
    <x v="0"/>
    <x v="0"/>
    <n v="10"/>
    <n v="5"/>
    <x v="22"/>
    <n v="2008"/>
    <s v="Gable"/>
    <s v="CompShg"/>
    <s v="VinylSd"/>
    <s v="VinylSd"/>
    <s v="Stone"/>
    <n v="272"/>
    <s v="Ex"/>
    <s v="TA"/>
    <s v="PConc"/>
    <s v="Ex"/>
    <s v="TA"/>
    <s v="Av"/>
    <s v="GLQ"/>
    <n v="1280"/>
    <s v="Unf"/>
    <n v="0"/>
    <n v="402"/>
    <n v="1682"/>
    <s v="GasA"/>
    <s v="Ex"/>
    <s v="Y"/>
    <s v="SBrkr"/>
    <n v="1742"/>
    <n v="590"/>
    <n v="0"/>
    <x v="322"/>
    <n v="1"/>
    <n v="0"/>
    <n v="2"/>
    <n v="1"/>
    <n v="3"/>
    <n v="1"/>
    <s v="Ex"/>
    <n v="9"/>
    <s v="Typ"/>
    <n v="1"/>
    <s v="Ex"/>
    <s v="BuiltIn"/>
    <n v="2008"/>
    <s v="Fin"/>
    <n v="3"/>
    <n v="846"/>
    <s v="TA"/>
    <s v="TA"/>
    <s v="Y"/>
    <n v="196"/>
    <n v="134"/>
    <n v="0"/>
    <n v="0"/>
    <n v="0"/>
    <n v="0"/>
    <s v="NA"/>
    <s v="NA"/>
    <s v="NA"/>
    <n v="0"/>
    <n v="8"/>
    <n v="2008"/>
    <s v="New"/>
    <s v="Partial"/>
    <n v="426000"/>
  </r>
  <r>
    <n v="391"/>
    <n v="50"/>
    <s v="RL"/>
    <n v="50"/>
    <n v="8405"/>
    <s v="Pave"/>
    <s v="Grvl"/>
    <s v="Reg"/>
    <s v="Lvl"/>
    <s v="AllPub"/>
    <s v="Inside"/>
    <s v="Gtl"/>
    <x v="15"/>
    <x v="0"/>
    <s v="Norm"/>
    <x v="0"/>
    <x v="2"/>
    <n v="5"/>
    <n v="8"/>
    <x v="83"/>
    <n v="1950"/>
    <s v="Gable"/>
    <s v="CompShg"/>
    <s v="MetalSd"/>
    <s v="MetalSd"/>
    <s v="None"/>
    <n v="0"/>
    <s v="TA"/>
    <s v="TA"/>
    <s v="BrkTil"/>
    <s v="TA"/>
    <s v="Gd"/>
    <s v="No"/>
    <s v="Rec"/>
    <n v="241"/>
    <s v="BLQ"/>
    <n v="391"/>
    <n v="229"/>
    <n v="861"/>
    <s v="GasA"/>
    <s v="Ex"/>
    <s v="Y"/>
    <s v="SBrkr"/>
    <n v="961"/>
    <n v="406"/>
    <n v="0"/>
    <x v="323"/>
    <n v="1"/>
    <n v="0"/>
    <n v="1"/>
    <n v="0"/>
    <n v="4"/>
    <n v="1"/>
    <s v="TA"/>
    <n v="7"/>
    <s v="Typ"/>
    <n v="0"/>
    <s v="NA"/>
    <s v="Detchd"/>
    <n v="1978"/>
    <s v="Unf"/>
    <n v="1"/>
    <n v="384"/>
    <s v="TA"/>
    <s v="TA"/>
    <s v="Y"/>
    <n v="0"/>
    <n v="130"/>
    <n v="112"/>
    <n v="0"/>
    <n v="0"/>
    <n v="0"/>
    <s v="NA"/>
    <s v="MnPrv"/>
    <s v="NA"/>
    <n v="0"/>
    <n v="4"/>
    <n v="2008"/>
    <s v="WD"/>
    <s v="Normal"/>
    <n v="119000"/>
  </r>
  <r>
    <n v="392"/>
    <n v="60"/>
    <s v="RL"/>
    <n v="71"/>
    <n v="12209"/>
    <s v="Pave"/>
    <s v="NA"/>
    <s v="IR1"/>
    <s v="Lvl"/>
    <s v="AllPub"/>
    <s v="CulDSac"/>
    <s v="Gtl"/>
    <x v="4"/>
    <x v="0"/>
    <s v="Norm"/>
    <x v="0"/>
    <x v="0"/>
    <n v="6"/>
    <n v="5"/>
    <x v="2"/>
    <n v="2002"/>
    <s v="Gable"/>
    <s v="CompShg"/>
    <s v="VinylSd"/>
    <s v="VinylSd"/>
    <s v="None"/>
    <n v="0"/>
    <s v="TA"/>
    <s v="TA"/>
    <s v="PConc"/>
    <s v="Ex"/>
    <s v="TA"/>
    <s v="No"/>
    <s v="ALQ"/>
    <n v="690"/>
    <s v="Unf"/>
    <n v="0"/>
    <n v="114"/>
    <n v="804"/>
    <s v="GasA"/>
    <s v="Ex"/>
    <s v="Y"/>
    <s v="SBrkr"/>
    <n v="804"/>
    <n v="1157"/>
    <n v="0"/>
    <x v="324"/>
    <n v="1"/>
    <n v="0"/>
    <n v="2"/>
    <n v="1"/>
    <n v="3"/>
    <n v="1"/>
    <s v="Gd"/>
    <n v="7"/>
    <s v="Typ"/>
    <n v="1"/>
    <s v="TA"/>
    <s v="BuiltIn"/>
    <n v="2001"/>
    <s v="Fin"/>
    <n v="2"/>
    <n v="560"/>
    <s v="TA"/>
    <s v="TA"/>
    <s v="Y"/>
    <n v="125"/>
    <n v="192"/>
    <n v="0"/>
    <n v="0"/>
    <n v="0"/>
    <n v="0"/>
    <s v="NA"/>
    <s v="NA"/>
    <s v="NA"/>
    <n v="0"/>
    <n v="6"/>
    <n v="2009"/>
    <s v="WD"/>
    <s v="Normal"/>
    <n v="215000"/>
  </r>
  <r>
    <n v="393"/>
    <n v="20"/>
    <s v="RL"/>
    <s v="NA"/>
    <n v="8339"/>
    <s v="Pave"/>
    <s v="NA"/>
    <s v="IR1"/>
    <s v="Lvl"/>
    <s v="AllPub"/>
    <s v="Inside"/>
    <s v="Gtl"/>
    <x v="11"/>
    <x v="0"/>
    <s v="Norm"/>
    <x v="0"/>
    <x v="1"/>
    <n v="5"/>
    <n v="7"/>
    <x v="28"/>
    <n v="1959"/>
    <s v="Gable"/>
    <s v="CompShg"/>
    <s v="MetalSd"/>
    <s v="MetalS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882"/>
    <n v="0"/>
    <n v="0"/>
    <x v="152"/>
    <n v="0"/>
    <n v="0"/>
    <n v="1"/>
    <n v="0"/>
    <n v="3"/>
    <n v="1"/>
    <s v="TA"/>
    <n v="5"/>
    <s v="Typ"/>
    <n v="0"/>
    <s v="NA"/>
    <s v="Attchd"/>
    <n v="1959"/>
    <s v="RFn"/>
    <n v="1"/>
    <n v="294"/>
    <s v="TA"/>
    <s v="TA"/>
    <s v="Y"/>
    <n v="0"/>
    <n v="0"/>
    <n v="0"/>
    <n v="0"/>
    <n v="0"/>
    <n v="0"/>
    <s v="NA"/>
    <s v="MnPrv"/>
    <s v="Shed"/>
    <n v="1200"/>
    <n v="7"/>
    <n v="2007"/>
    <s v="WD"/>
    <s v="Normal"/>
    <n v="106500"/>
  </r>
  <r>
    <n v="394"/>
    <n v="30"/>
    <s v="RL"/>
    <s v="NA"/>
    <n v="7446"/>
    <s v="Pave"/>
    <s v="NA"/>
    <s v="Reg"/>
    <s v="Lvl"/>
    <s v="AllPub"/>
    <s v="Corner"/>
    <s v="Gtl"/>
    <x v="8"/>
    <x v="1"/>
    <s v="Norm"/>
    <x v="0"/>
    <x v="1"/>
    <n v="4"/>
    <n v="5"/>
    <x v="71"/>
    <n v="1950"/>
    <s v="Gable"/>
    <s v="CompShg"/>
    <s v="WdShing"/>
    <s v="Wd Shng"/>
    <s v="None"/>
    <n v="0"/>
    <s v="TA"/>
    <s v="TA"/>
    <s v="CBlock"/>
    <s v="TA"/>
    <s v="TA"/>
    <s v="No"/>
    <s v="Rec"/>
    <n v="266"/>
    <s v="Unf"/>
    <n v="0"/>
    <n v="522"/>
    <n v="788"/>
    <s v="GasA"/>
    <s v="TA"/>
    <s v="Y"/>
    <s v="FuseA"/>
    <n v="788"/>
    <n v="0"/>
    <n v="0"/>
    <x v="325"/>
    <n v="0"/>
    <n v="0"/>
    <n v="1"/>
    <n v="0"/>
    <n v="2"/>
    <n v="1"/>
    <s v="TA"/>
    <n v="4"/>
    <s v="Typ"/>
    <n v="2"/>
    <s v="TA"/>
    <s v="NA"/>
    <s v="NA"/>
    <s v="NA"/>
    <n v="0"/>
    <n v="0"/>
    <s v="NA"/>
    <s v="NA"/>
    <s v="Y"/>
    <n v="0"/>
    <n v="0"/>
    <n v="0"/>
    <n v="0"/>
    <n v="0"/>
    <n v="0"/>
    <s v="NA"/>
    <s v="GdWo"/>
    <s v="NA"/>
    <n v="0"/>
    <n v="4"/>
    <n v="2006"/>
    <s v="WD"/>
    <s v="Abnorml"/>
    <n v="100000"/>
  </r>
  <r>
    <n v="395"/>
    <n v="50"/>
    <s v="RL"/>
    <n v="60"/>
    <n v="10134"/>
    <s v="Pave"/>
    <s v="NA"/>
    <s v="Reg"/>
    <s v="Lvl"/>
    <s v="AllPub"/>
    <s v="Inside"/>
    <s v="Gtl"/>
    <x v="7"/>
    <x v="0"/>
    <s v="Norm"/>
    <x v="0"/>
    <x v="2"/>
    <n v="5"/>
    <n v="6"/>
    <x v="70"/>
    <n v="195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735"/>
    <n v="735"/>
    <s v="GasA"/>
    <s v="Gd"/>
    <s v="Y"/>
    <s v="FuseA"/>
    <n v="735"/>
    <n v="299"/>
    <n v="0"/>
    <x v="326"/>
    <n v="0"/>
    <n v="0"/>
    <n v="1"/>
    <n v="0"/>
    <n v="2"/>
    <n v="1"/>
    <s v="TA"/>
    <n v="5"/>
    <s v="Typ"/>
    <n v="0"/>
    <s v="NA"/>
    <s v="Detchd"/>
    <n v="1940"/>
    <s v="Unf"/>
    <n v="1"/>
    <n v="240"/>
    <s v="TA"/>
    <s v="TA"/>
    <s v="Y"/>
    <n v="0"/>
    <n v="39"/>
    <n v="0"/>
    <n v="0"/>
    <n v="0"/>
    <n v="0"/>
    <s v="NA"/>
    <s v="NA"/>
    <s v="NA"/>
    <n v="0"/>
    <n v="7"/>
    <n v="2007"/>
    <s v="WD"/>
    <s v="Normal"/>
    <n v="109000"/>
  </r>
  <r>
    <n v="396"/>
    <n v="20"/>
    <s v="RL"/>
    <n v="68"/>
    <n v="9571"/>
    <s v="Pave"/>
    <s v="NA"/>
    <s v="Reg"/>
    <s v="Lvl"/>
    <s v="AllPub"/>
    <s v="Inside"/>
    <s v="Gtl"/>
    <x v="15"/>
    <x v="0"/>
    <s v="Norm"/>
    <x v="0"/>
    <x v="1"/>
    <n v="5"/>
    <n v="6"/>
    <x v="46"/>
    <n v="1956"/>
    <s v="Gable"/>
    <s v="CompShg"/>
    <s v="Wd Sdng"/>
    <s v="Wd Sdng"/>
    <s v="None"/>
    <n v="0"/>
    <s v="TA"/>
    <s v="TA"/>
    <s v="CBlock"/>
    <s v="TA"/>
    <s v="TA"/>
    <s v="Av"/>
    <s v="BLQ"/>
    <n v="739"/>
    <s v="Unf"/>
    <n v="0"/>
    <n v="405"/>
    <n v="1144"/>
    <s v="GasA"/>
    <s v="TA"/>
    <s v="Y"/>
    <s v="SBrkr"/>
    <n v="1144"/>
    <n v="0"/>
    <n v="0"/>
    <x v="327"/>
    <n v="1"/>
    <n v="0"/>
    <n v="1"/>
    <n v="0"/>
    <n v="3"/>
    <n v="1"/>
    <s v="TA"/>
    <n v="6"/>
    <s v="Typ"/>
    <n v="0"/>
    <s v="NA"/>
    <s v="Attchd"/>
    <n v="1956"/>
    <s v="Unf"/>
    <n v="1"/>
    <n v="596"/>
    <s v="TA"/>
    <s v="TA"/>
    <s v="Y"/>
    <n v="44"/>
    <n v="0"/>
    <n v="0"/>
    <n v="0"/>
    <n v="0"/>
    <n v="0"/>
    <s v="NA"/>
    <s v="NA"/>
    <s v="NA"/>
    <n v="0"/>
    <n v="6"/>
    <n v="2010"/>
    <s v="WD"/>
    <s v="Normal"/>
    <n v="129000"/>
  </r>
  <r>
    <n v="397"/>
    <n v="20"/>
    <s v="RL"/>
    <n v="60"/>
    <n v="7200"/>
    <s v="Pave"/>
    <s v="NA"/>
    <s v="Reg"/>
    <s v="Low"/>
    <s v="AllPub"/>
    <s v="Inside"/>
    <s v="Gtl"/>
    <x v="0"/>
    <x v="0"/>
    <s v="Norm"/>
    <x v="0"/>
    <x v="1"/>
    <n v="5"/>
    <n v="5"/>
    <x v="41"/>
    <n v="1972"/>
    <s v="Hip"/>
    <s v="CompShg"/>
    <s v="MetalSd"/>
    <s v="MetalSd"/>
    <s v="None"/>
    <n v="0"/>
    <s v="TA"/>
    <s v="TA"/>
    <s v="CBlock"/>
    <s v="TA"/>
    <s v="TA"/>
    <s v="Av"/>
    <s v="Rec"/>
    <n v="777"/>
    <s v="Unf"/>
    <n v="0"/>
    <n v="117"/>
    <n v="894"/>
    <s v="GasA"/>
    <s v="TA"/>
    <s v="Y"/>
    <s v="SBrkr"/>
    <n v="894"/>
    <n v="0"/>
    <n v="0"/>
    <x v="204"/>
    <n v="0"/>
    <n v="0"/>
    <n v="1"/>
    <n v="0"/>
    <n v="2"/>
    <n v="1"/>
    <s v="TA"/>
    <n v="6"/>
    <s v="Typ"/>
    <n v="0"/>
    <s v="NA"/>
    <s v="Detchd"/>
    <n v="1985"/>
    <s v="RFn"/>
    <n v="2"/>
    <n v="600"/>
    <s v="TA"/>
    <s v="TA"/>
    <s v="Y"/>
    <n v="215"/>
    <n v="0"/>
    <n v="0"/>
    <n v="0"/>
    <n v="0"/>
    <n v="0"/>
    <s v="NA"/>
    <s v="NA"/>
    <s v="NA"/>
    <n v="0"/>
    <n v="9"/>
    <n v="2009"/>
    <s v="WD"/>
    <s v="Normal"/>
    <n v="123000"/>
  </r>
  <r>
    <n v="398"/>
    <n v="60"/>
    <s v="RL"/>
    <n v="69"/>
    <n v="7590"/>
    <s v="Pave"/>
    <s v="NA"/>
    <s v="Reg"/>
    <s v="Lvl"/>
    <s v="AllPub"/>
    <s v="Inside"/>
    <s v="Gtl"/>
    <x v="11"/>
    <x v="2"/>
    <s v="Norm"/>
    <x v="0"/>
    <x v="0"/>
    <n v="5"/>
    <n v="5"/>
    <x v="12"/>
    <n v="1962"/>
    <s v="Gable"/>
    <s v="CompShg"/>
    <s v="VinylSd"/>
    <s v="VinylSd"/>
    <s v="BrkFace"/>
    <n v="288"/>
    <s v="TA"/>
    <s v="TA"/>
    <s v="CBlock"/>
    <s v="TA"/>
    <s v="TA"/>
    <s v="No"/>
    <s v="ALQ"/>
    <n v="540"/>
    <s v="Unf"/>
    <n v="0"/>
    <n v="324"/>
    <n v="864"/>
    <s v="GasA"/>
    <s v="TA"/>
    <s v="Y"/>
    <s v="SBrkr"/>
    <n v="876"/>
    <n v="936"/>
    <n v="0"/>
    <x v="328"/>
    <n v="0"/>
    <n v="0"/>
    <n v="2"/>
    <n v="0"/>
    <n v="4"/>
    <n v="1"/>
    <s v="TA"/>
    <n v="8"/>
    <s v="Typ"/>
    <n v="1"/>
    <s v="TA"/>
    <s v="Attchd"/>
    <n v="1962"/>
    <s v="RFn"/>
    <n v="1"/>
    <n v="264"/>
    <s v="TA"/>
    <s v="TA"/>
    <s v="Y"/>
    <n v="0"/>
    <n v="168"/>
    <n v="0"/>
    <n v="0"/>
    <n v="0"/>
    <n v="0"/>
    <s v="NA"/>
    <s v="NA"/>
    <s v="NA"/>
    <n v="0"/>
    <n v="7"/>
    <n v="2007"/>
    <s v="WD"/>
    <s v="Normal"/>
    <n v="169500"/>
  </r>
  <r>
    <n v="399"/>
    <n v="30"/>
    <s v="RM"/>
    <n v="60"/>
    <n v="8967"/>
    <s v="Pave"/>
    <s v="NA"/>
    <s v="Reg"/>
    <s v="Lvl"/>
    <s v="AllPub"/>
    <s v="Corner"/>
    <s v="Gtl"/>
    <x v="13"/>
    <x v="0"/>
    <s v="Norm"/>
    <x v="0"/>
    <x v="1"/>
    <n v="5"/>
    <n v="2"/>
    <x v="26"/>
    <n v="1950"/>
    <s v="Gable"/>
    <s v="CompShg"/>
    <s v="MetalSd"/>
    <s v="MetalSd"/>
    <s v="None"/>
    <n v="0"/>
    <s v="TA"/>
    <s v="Fa"/>
    <s v="BrkTil"/>
    <s v="Fa"/>
    <s v="Po"/>
    <s v="No"/>
    <s v="Unf"/>
    <n v="0"/>
    <s v="Unf"/>
    <n v="0"/>
    <n v="961"/>
    <n v="961"/>
    <s v="GasA"/>
    <s v="Gd"/>
    <s v="Y"/>
    <s v="Mix"/>
    <n v="1077"/>
    <n v="0"/>
    <n v="0"/>
    <x v="9"/>
    <n v="0"/>
    <n v="0"/>
    <n v="1"/>
    <n v="0"/>
    <n v="2"/>
    <n v="1"/>
    <s v="TA"/>
    <n v="6"/>
    <s v="Maj2"/>
    <n v="0"/>
    <s v="NA"/>
    <s v="Detchd"/>
    <n v="1920"/>
    <s v="Unf"/>
    <n v="1"/>
    <n v="338"/>
    <s v="Po"/>
    <s v="Po"/>
    <s v="N"/>
    <n v="0"/>
    <n v="0"/>
    <n v="0"/>
    <n v="0"/>
    <n v="0"/>
    <n v="0"/>
    <s v="NA"/>
    <s v="NA"/>
    <s v="NA"/>
    <n v="0"/>
    <n v="11"/>
    <n v="2007"/>
    <s v="WD"/>
    <s v="Abnorml"/>
    <n v="67000"/>
  </r>
  <r>
    <n v="400"/>
    <n v="60"/>
    <s v="FV"/>
    <n v="65"/>
    <n v="8125"/>
    <s v="Pave"/>
    <s v="NA"/>
    <s v="Reg"/>
    <s v="Lvl"/>
    <s v="AllPub"/>
    <s v="Inside"/>
    <s v="Gtl"/>
    <x v="5"/>
    <x v="0"/>
    <s v="Norm"/>
    <x v="0"/>
    <x v="0"/>
    <n v="7"/>
    <n v="5"/>
    <x v="13"/>
    <n v="2007"/>
    <s v="Gable"/>
    <s v="CompShg"/>
    <s v="CemntBd"/>
    <s v="CmentBd"/>
    <s v="Stone"/>
    <n v="100"/>
    <s v="Gd"/>
    <s v="TA"/>
    <s v="PConc"/>
    <s v="Gd"/>
    <s v="TA"/>
    <s v="No"/>
    <s v="GLQ"/>
    <n v="812"/>
    <s v="Unf"/>
    <n v="0"/>
    <n v="280"/>
    <n v="1092"/>
    <s v="GasA"/>
    <s v="Ex"/>
    <s v="Y"/>
    <s v="SBrkr"/>
    <n v="1112"/>
    <n v="438"/>
    <n v="0"/>
    <x v="329"/>
    <n v="1"/>
    <n v="0"/>
    <n v="2"/>
    <n v="0"/>
    <n v="2"/>
    <n v="1"/>
    <s v="Gd"/>
    <n v="7"/>
    <s v="Typ"/>
    <n v="0"/>
    <s v="NA"/>
    <s v="Attchd"/>
    <n v="2007"/>
    <s v="Fin"/>
    <n v="2"/>
    <n v="438"/>
    <s v="TA"/>
    <s v="TA"/>
    <s v="Y"/>
    <n v="0"/>
    <n v="168"/>
    <n v="0"/>
    <n v="0"/>
    <n v="0"/>
    <n v="0"/>
    <s v="NA"/>
    <s v="NA"/>
    <s v="NA"/>
    <n v="0"/>
    <n v="10"/>
    <n v="2009"/>
    <s v="WD"/>
    <s v="Normal"/>
    <n v="241000"/>
  </r>
  <r>
    <n v="401"/>
    <n v="120"/>
    <s v="RL"/>
    <n v="38"/>
    <n v="14963"/>
    <s v="Pave"/>
    <s v="NA"/>
    <s v="IR2"/>
    <s v="Lvl"/>
    <s v="AllPub"/>
    <s v="Inside"/>
    <s v="Gtl"/>
    <x v="1"/>
    <x v="0"/>
    <s v="Norm"/>
    <x v="3"/>
    <x v="1"/>
    <n v="8"/>
    <n v="5"/>
    <x v="92"/>
    <n v="1996"/>
    <s v="Gable"/>
    <s v="CompShg"/>
    <s v="BrkFace"/>
    <s v="BrkFace"/>
    <s v="None"/>
    <n v="0"/>
    <s v="Gd"/>
    <s v="TA"/>
    <s v="PConc"/>
    <s v="Gd"/>
    <s v="TA"/>
    <s v="No"/>
    <s v="GLQ"/>
    <n v="786"/>
    <s v="Unf"/>
    <n v="0"/>
    <n v="474"/>
    <n v="1260"/>
    <s v="GasA"/>
    <s v="Ex"/>
    <s v="Y"/>
    <s v="SBrkr"/>
    <n v="1288"/>
    <n v="0"/>
    <n v="0"/>
    <x v="330"/>
    <n v="1"/>
    <n v="0"/>
    <n v="1"/>
    <n v="1"/>
    <n v="1"/>
    <n v="1"/>
    <s v="Ex"/>
    <n v="4"/>
    <s v="Typ"/>
    <n v="2"/>
    <s v="Gd"/>
    <s v="Attchd"/>
    <n v="1996"/>
    <s v="Fin"/>
    <n v="2"/>
    <n v="500"/>
    <s v="TA"/>
    <s v="TA"/>
    <s v="Y"/>
    <n v="120"/>
    <n v="30"/>
    <n v="0"/>
    <n v="0"/>
    <n v="224"/>
    <n v="0"/>
    <s v="NA"/>
    <s v="NA"/>
    <s v="NA"/>
    <n v="0"/>
    <n v="12"/>
    <n v="2008"/>
    <s v="WD"/>
    <s v="Normal"/>
    <n v="245500"/>
  </r>
  <r>
    <n v="402"/>
    <n v="20"/>
    <s v="RL"/>
    <n v="65"/>
    <n v="8767"/>
    <s v="Pave"/>
    <s v="NA"/>
    <s v="IR1"/>
    <s v="Lvl"/>
    <s v="AllPub"/>
    <s v="Inside"/>
    <s v="Gtl"/>
    <x v="0"/>
    <x v="0"/>
    <s v="Norm"/>
    <x v="0"/>
    <x v="1"/>
    <n v="7"/>
    <n v="5"/>
    <x v="11"/>
    <n v="2005"/>
    <s v="Gable"/>
    <s v="CompShg"/>
    <s v="VinylSd"/>
    <s v="VinylSd"/>
    <s v="None"/>
    <n v="0"/>
    <s v="Gd"/>
    <s v="TA"/>
    <s v="PConc"/>
    <s v="Gd"/>
    <s v="TA"/>
    <s v="Av"/>
    <s v="GLQ"/>
    <n v="24"/>
    <s v="Unf"/>
    <n v="0"/>
    <n v="1286"/>
    <n v="1310"/>
    <s v="GasA"/>
    <s v="Ex"/>
    <s v="Y"/>
    <s v="SBrkr"/>
    <n v="1310"/>
    <n v="0"/>
    <n v="0"/>
    <x v="181"/>
    <n v="0"/>
    <n v="0"/>
    <n v="2"/>
    <n v="0"/>
    <n v="3"/>
    <n v="1"/>
    <s v="Gd"/>
    <n v="6"/>
    <s v="Typ"/>
    <n v="1"/>
    <s v="Gd"/>
    <s v="Attchd"/>
    <n v="2005"/>
    <s v="Fin"/>
    <n v="2"/>
    <n v="400"/>
    <s v="TA"/>
    <s v="TA"/>
    <s v="Y"/>
    <n v="0"/>
    <n v="0"/>
    <n v="0"/>
    <n v="0"/>
    <n v="0"/>
    <n v="0"/>
    <s v="NA"/>
    <s v="NA"/>
    <s v="NA"/>
    <n v="0"/>
    <n v="7"/>
    <n v="2006"/>
    <s v="New"/>
    <s v="Partial"/>
    <n v="164990"/>
  </r>
  <r>
    <n v="403"/>
    <n v="30"/>
    <s v="RL"/>
    <n v="60"/>
    <n v="10200"/>
    <s v="Pave"/>
    <s v="NA"/>
    <s v="Reg"/>
    <s v="Lvl"/>
    <s v="AllPub"/>
    <s v="Inside"/>
    <s v="Gtl"/>
    <x v="9"/>
    <x v="0"/>
    <s v="Norm"/>
    <x v="0"/>
    <x v="1"/>
    <n v="5"/>
    <n v="8"/>
    <x v="70"/>
    <n v="1997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72"/>
    <n v="672"/>
    <s v="GasA"/>
    <s v="Ex"/>
    <s v="Y"/>
    <s v="SBrkr"/>
    <n v="672"/>
    <n v="0"/>
    <n v="0"/>
    <x v="331"/>
    <n v="0"/>
    <n v="0"/>
    <n v="1"/>
    <n v="0"/>
    <n v="2"/>
    <n v="1"/>
    <s v="TA"/>
    <n v="4"/>
    <s v="Typ"/>
    <n v="0"/>
    <s v="NA"/>
    <s v="Detchd"/>
    <n v="1940"/>
    <s v="Unf"/>
    <n v="1"/>
    <n v="240"/>
    <s v="TA"/>
    <s v="TA"/>
    <s v="N"/>
    <n v="168"/>
    <n v="0"/>
    <n v="0"/>
    <n v="0"/>
    <n v="0"/>
    <n v="0"/>
    <s v="NA"/>
    <s v="GdPrv"/>
    <s v="NA"/>
    <n v="0"/>
    <n v="8"/>
    <n v="2008"/>
    <s v="WD"/>
    <s v="Normal"/>
    <n v="108000"/>
  </r>
  <r>
    <n v="404"/>
    <n v="60"/>
    <s v="RL"/>
    <n v="93"/>
    <n v="12090"/>
    <s v="Pave"/>
    <s v="NA"/>
    <s v="Reg"/>
    <s v="Lvl"/>
    <s v="AllPub"/>
    <s v="Corner"/>
    <s v="Gtl"/>
    <x v="3"/>
    <x v="0"/>
    <s v="Norm"/>
    <x v="0"/>
    <x v="0"/>
    <n v="8"/>
    <n v="5"/>
    <x v="45"/>
    <n v="1998"/>
    <s v="Hip"/>
    <s v="CompShg"/>
    <s v="VinylSd"/>
    <s v="VinylSd"/>
    <s v="BrkFace"/>
    <n v="650"/>
    <s v="Gd"/>
    <s v="TA"/>
    <s v="PConc"/>
    <s v="Gd"/>
    <s v="TA"/>
    <s v="No"/>
    <s v="Unf"/>
    <n v="0"/>
    <s v="Unf"/>
    <n v="0"/>
    <n v="1141"/>
    <n v="1141"/>
    <s v="GasA"/>
    <s v="Gd"/>
    <s v="Y"/>
    <s v="SBrkr"/>
    <n v="1165"/>
    <n v="1098"/>
    <n v="0"/>
    <x v="247"/>
    <n v="0"/>
    <n v="0"/>
    <n v="2"/>
    <n v="1"/>
    <n v="4"/>
    <n v="1"/>
    <s v="Gd"/>
    <n v="10"/>
    <s v="Typ"/>
    <n v="1"/>
    <s v="TA"/>
    <s v="BuiltIn"/>
    <n v="1998"/>
    <s v="Fin"/>
    <n v="2"/>
    <n v="420"/>
    <s v="TA"/>
    <s v="TA"/>
    <s v="Y"/>
    <n v="144"/>
    <n v="123"/>
    <n v="0"/>
    <n v="0"/>
    <n v="0"/>
    <n v="0"/>
    <s v="NA"/>
    <s v="NA"/>
    <s v="NA"/>
    <n v="0"/>
    <n v="7"/>
    <n v="2006"/>
    <s v="WD"/>
    <s v="Abnorml"/>
    <n v="258000"/>
  </r>
  <r>
    <n v="405"/>
    <n v="60"/>
    <s v="RL"/>
    <s v="NA"/>
    <n v="10364"/>
    <s v="Pave"/>
    <s v="NA"/>
    <s v="IR1"/>
    <s v="Lvl"/>
    <s v="AllPub"/>
    <s v="Inside"/>
    <s v="Gtl"/>
    <x v="17"/>
    <x v="0"/>
    <s v="Norm"/>
    <x v="0"/>
    <x v="0"/>
    <n v="6"/>
    <n v="5"/>
    <x v="49"/>
    <n v="1996"/>
    <s v="Gable"/>
    <s v="CompShg"/>
    <s v="MetalSd"/>
    <s v="MetalSd"/>
    <s v="None"/>
    <n v="0"/>
    <s v="TA"/>
    <s v="TA"/>
    <s v="PConc"/>
    <s v="Gd"/>
    <s v="TA"/>
    <s v="No"/>
    <s v="Unf"/>
    <n v="0"/>
    <s v="Unf"/>
    <n v="0"/>
    <n v="806"/>
    <n v="806"/>
    <s v="GasA"/>
    <s v="Gd"/>
    <s v="Y"/>
    <s v="SBrkr"/>
    <n v="806"/>
    <n v="766"/>
    <n v="0"/>
    <x v="332"/>
    <n v="0"/>
    <n v="0"/>
    <n v="2"/>
    <n v="1"/>
    <n v="3"/>
    <n v="1"/>
    <s v="TA"/>
    <n v="7"/>
    <s v="Typ"/>
    <n v="1"/>
    <s v="TA"/>
    <s v="BuiltIn"/>
    <n v="1995"/>
    <s v="Fin"/>
    <n v="2"/>
    <n v="373"/>
    <s v="TA"/>
    <s v="TA"/>
    <s v="Y"/>
    <n v="0"/>
    <n v="40"/>
    <n v="0"/>
    <n v="0"/>
    <n v="0"/>
    <n v="0"/>
    <s v="NA"/>
    <s v="NA"/>
    <s v="NA"/>
    <n v="0"/>
    <n v="5"/>
    <n v="2007"/>
    <s v="WD"/>
    <s v="Normal"/>
    <n v="168000"/>
  </r>
  <r>
    <n v="406"/>
    <n v="20"/>
    <s v="RL"/>
    <s v="NA"/>
    <n v="9991"/>
    <s v="Pave"/>
    <s v="NA"/>
    <s v="IR1"/>
    <s v="Lvl"/>
    <s v="AllPub"/>
    <s v="Corner"/>
    <s v="Gtl"/>
    <x v="9"/>
    <x v="1"/>
    <s v="Norm"/>
    <x v="0"/>
    <x v="1"/>
    <n v="4"/>
    <n v="4"/>
    <x v="1"/>
    <n v="1993"/>
    <s v="Gable"/>
    <s v="CompShg"/>
    <s v="Plywood"/>
    <s v="Plywood"/>
    <s v="None"/>
    <n v="0"/>
    <s v="TA"/>
    <s v="TA"/>
    <s v="CBlock"/>
    <s v="TA"/>
    <s v="TA"/>
    <s v="No"/>
    <s v="BLQ"/>
    <n v="1116"/>
    <s v="Unf"/>
    <n v="0"/>
    <n v="165"/>
    <n v="1281"/>
    <s v="GasA"/>
    <s v="Ex"/>
    <s v="Y"/>
    <s v="SBrkr"/>
    <n v="1620"/>
    <n v="0"/>
    <n v="0"/>
    <x v="333"/>
    <n v="1"/>
    <n v="0"/>
    <n v="2"/>
    <n v="0"/>
    <n v="3"/>
    <n v="1"/>
    <s v="TA"/>
    <n v="8"/>
    <s v="Min1"/>
    <n v="1"/>
    <s v="TA"/>
    <s v="Attchd"/>
    <n v="1993"/>
    <s v="Unf"/>
    <n v="2"/>
    <n v="490"/>
    <s v="TA"/>
    <s v="TA"/>
    <s v="Y"/>
    <n v="120"/>
    <n v="78"/>
    <n v="0"/>
    <n v="0"/>
    <n v="0"/>
    <n v="0"/>
    <s v="NA"/>
    <s v="GdWo"/>
    <s v="NA"/>
    <n v="0"/>
    <n v="6"/>
    <n v="2009"/>
    <s v="WD"/>
    <s v="Normal"/>
    <n v="150000"/>
  </r>
  <r>
    <n v="407"/>
    <n v="50"/>
    <s v="RL"/>
    <n v="51"/>
    <n v="10480"/>
    <s v="Pave"/>
    <s v="NA"/>
    <s v="Reg"/>
    <s v="Lvl"/>
    <s v="AllPub"/>
    <s v="Inside"/>
    <s v="Gtl"/>
    <x v="23"/>
    <x v="0"/>
    <s v="Norm"/>
    <x v="0"/>
    <x v="2"/>
    <n v="6"/>
    <n v="5"/>
    <x v="65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1064"/>
    <n v="1064"/>
    <s v="GasA"/>
    <s v="Ex"/>
    <s v="Y"/>
    <s v="FuseA"/>
    <n v="1166"/>
    <n v="0"/>
    <n v="473"/>
    <x v="334"/>
    <n v="0"/>
    <n v="0"/>
    <n v="1"/>
    <n v="0"/>
    <n v="3"/>
    <n v="1"/>
    <s v="TA"/>
    <n v="6"/>
    <s v="Maj2"/>
    <n v="0"/>
    <s v="NA"/>
    <s v="Detchd"/>
    <n v="1936"/>
    <s v="Unf"/>
    <n v="1"/>
    <n v="240"/>
    <s v="TA"/>
    <s v="TA"/>
    <s v="Y"/>
    <n v="0"/>
    <n v="0"/>
    <n v="0"/>
    <n v="0"/>
    <n v="0"/>
    <n v="0"/>
    <s v="NA"/>
    <s v="NA"/>
    <s v="NA"/>
    <n v="0"/>
    <n v="3"/>
    <n v="2008"/>
    <s v="WD"/>
    <s v="Normal"/>
    <n v="115000"/>
  </r>
  <r>
    <n v="408"/>
    <n v="70"/>
    <s v="RL"/>
    <n v="63"/>
    <n v="15576"/>
    <s v="Pave"/>
    <s v="NA"/>
    <s v="Reg"/>
    <s v="Lvl"/>
    <s v="AllPub"/>
    <s v="Inside"/>
    <s v="Gtl"/>
    <x v="2"/>
    <x v="0"/>
    <s v="Norm"/>
    <x v="0"/>
    <x v="0"/>
    <n v="6"/>
    <n v="7"/>
    <x v="3"/>
    <n v="1976"/>
    <s v="Gable"/>
    <s v="CompShg"/>
    <s v="Wd Sdng"/>
    <s v="Plywood"/>
    <s v="None"/>
    <n v="0"/>
    <s v="TA"/>
    <s v="TA"/>
    <s v="BrkTil"/>
    <s v="Gd"/>
    <s v="TA"/>
    <s v="No"/>
    <s v="Unf"/>
    <n v="0"/>
    <s v="Unf"/>
    <n v="0"/>
    <n v="840"/>
    <n v="840"/>
    <s v="GasA"/>
    <s v="Ex"/>
    <s v="Y"/>
    <s v="SBrkr"/>
    <n v="840"/>
    <n v="840"/>
    <n v="0"/>
    <x v="335"/>
    <n v="0"/>
    <n v="0"/>
    <n v="2"/>
    <n v="0"/>
    <n v="4"/>
    <n v="1"/>
    <s v="TA"/>
    <n v="8"/>
    <s v="Typ"/>
    <n v="0"/>
    <s v="NA"/>
    <s v="Attchd"/>
    <n v="1960"/>
    <s v="Unf"/>
    <n v="1"/>
    <n v="308"/>
    <s v="TA"/>
    <s v="TA"/>
    <s v="Y"/>
    <n v="0"/>
    <n v="0"/>
    <n v="160"/>
    <n v="0"/>
    <n v="0"/>
    <n v="0"/>
    <s v="NA"/>
    <s v="NA"/>
    <s v="NA"/>
    <n v="0"/>
    <n v="3"/>
    <n v="2008"/>
    <s v="WD"/>
    <s v="Normal"/>
    <n v="177000"/>
  </r>
  <r>
    <n v="409"/>
    <n v="60"/>
    <s v="RL"/>
    <n v="109"/>
    <n v="14154"/>
    <s v="Pave"/>
    <s v="NA"/>
    <s v="Reg"/>
    <s v="Lvl"/>
    <s v="AllPub"/>
    <s v="Corner"/>
    <s v="Gtl"/>
    <x v="10"/>
    <x v="0"/>
    <s v="Norm"/>
    <x v="0"/>
    <x v="0"/>
    <n v="7"/>
    <n v="5"/>
    <x v="13"/>
    <n v="2006"/>
    <s v="Gable"/>
    <s v="CompShg"/>
    <s v="VinylSd"/>
    <s v="VinylSd"/>
    <s v="BrkFace"/>
    <n v="350"/>
    <s v="Gd"/>
    <s v="TA"/>
    <s v="PConc"/>
    <s v="Ex"/>
    <s v="Gd"/>
    <s v="No"/>
    <s v="Unf"/>
    <n v="0"/>
    <s v="Unf"/>
    <n v="0"/>
    <n v="1063"/>
    <n v="1063"/>
    <s v="GasA"/>
    <s v="Ex"/>
    <s v="Y"/>
    <s v="SBrkr"/>
    <n v="1071"/>
    <n v="1101"/>
    <n v="0"/>
    <x v="336"/>
    <n v="0"/>
    <n v="0"/>
    <n v="2"/>
    <n v="1"/>
    <n v="3"/>
    <n v="1"/>
    <s v="Gd"/>
    <n v="9"/>
    <s v="Typ"/>
    <n v="1"/>
    <s v="Gd"/>
    <s v="Attchd"/>
    <n v="2006"/>
    <s v="RFn"/>
    <n v="3"/>
    <n v="947"/>
    <s v="TA"/>
    <s v="TA"/>
    <s v="Y"/>
    <n v="192"/>
    <n v="62"/>
    <n v="0"/>
    <n v="0"/>
    <n v="0"/>
    <n v="0"/>
    <s v="NA"/>
    <s v="NA"/>
    <s v="NA"/>
    <n v="0"/>
    <n v="8"/>
    <n v="2007"/>
    <s v="New"/>
    <s v="Partial"/>
    <n v="280000"/>
  </r>
  <r>
    <n v="410"/>
    <n v="60"/>
    <s v="FV"/>
    <n v="85"/>
    <n v="10800"/>
    <s v="Pave"/>
    <s v="NA"/>
    <s v="Reg"/>
    <s v="Lvl"/>
    <s v="AllPub"/>
    <s v="Inside"/>
    <s v="Gtl"/>
    <x v="5"/>
    <x v="0"/>
    <s v="Norm"/>
    <x v="0"/>
    <x v="0"/>
    <n v="8"/>
    <n v="5"/>
    <x v="22"/>
    <n v="2008"/>
    <s v="Gable"/>
    <s v="CompShg"/>
    <s v="VinylSd"/>
    <s v="VinylSd"/>
    <s v="Stone"/>
    <n v="100"/>
    <s v="Gd"/>
    <s v="TA"/>
    <s v="PConc"/>
    <s v="Ex"/>
    <s v="TA"/>
    <s v="No"/>
    <s v="GLQ"/>
    <n v="789"/>
    <s v="Unf"/>
    <n v="0"/>
    <n v="245"/>
    <n v="1034"/>
    <s v="GasA"/>
    <s v="Ex"/>
    <s v="Y"/>
    <s v="SBrkr"/>
    <n v="1050"/>
    <n v="1028"/>
    <n v="0"/>
    <x v="337"/>
    <n v="1"/>
    <n v="0"/>
    <n v="2"/>
    <n v="1"/>
    <n v="3"/>
    <n v="1"/>
    <s v="Ex"/>
    <n v="8"/>
    <s v="Typ"/>
    <n v="1"/>
    <s v="Gd"/>
    <s v="Attchd"/>
    <n v="2008"/>
    <s v="Fin"/>
    <n v="3"/>
    <n v="836"/>
    <s v="TA"/>
    <s v="TA"/>
    <s v="Y"/>
    <n v="0"/>
    <n v="102"/>
    <n v="0"/>
    <n v="0"/>
    <n v="0"/>
    <n v="0"/>
    <s v="NA"/>
    <s v="NA"/>
    <s v="NA"/>
    <n v="0"/>
    <n v="4"/>
    <n v="2008"/>
    <s v="New"/>
    <s v="Partial"/>
    <n v="339750"/>
  </r>
  <r>
    <n v="411"/>
    <n v="20"/>
    <s v="RL"/>
    <n v="68"/>
    <n v="9571"/>
    <s v="Pave"/>
    <s v="NA"/>
    <s v="Reg"/>
    <s v="Lvl"/>
    <s v="AllPub"/>
    <s v="Inside"/>
    <s v="Gtl"/>
    <x v="15"/>
    <x v="0"/>
    <s v="Norm"/>
    <x v="0"/>
    <x v="1"/>
    <n v="5"/>
    <n v="3"/>
    <x v="18"/>
    <n v="1958"/>
    <s v="Gable"/>
    <s v="CompShg"/>
    <s v="BrkComm"/>
    <s v="Brk Cmn"/>
    <s v="None"/>
    <n v="0"/>
    <s v="TA"/>
    <s v="Fa"/>
    <s v="CBlock"/>
    <s v="TA"/>
    <s v="Fa"/>
    <s v="No"/>
    <s v="Unf"/>
    <n v="0"/>
    <s v="Unf"/>
    <n v="0"/>
    <n v="1276"/>
    <n v="1276"/>
    <s v="GasA"/>
    <s v="TA"/>
    <s v="Y"/>
    <s v="FuseA"/>
    <n v="1276"/>
    <n v="0"/>
    <n v="0"/>
    <x v="338"/>
    <n v="0"/>
    <n v="0"/>
    <n v="1"/>
    <n v="0"/>
    <n v="3"/>
    <n v="1"/>
    <s v="TA"/>
    <n v="5"/>
    <s v="Mod"/>
    <n v="0"/>
    <s v="NA"/>
    <s v="Attchd"/>
    <n v="1958"/>
    <s v="Unf"/>
    <n v="1"/>
    <n v="350"/>
    <s v="TA"/>
    <s v="TA"/>
    <s v="Y"/>
    <n v="0"/>
    <n v="0"/>
    <n v="0"/>
    <n v="0"/>
    <n v="0"/>
    <n v="0"/>
    <s v="NA"/>
    <s v="NA"/>
    <s v="NA"/>
    <n v="0"/>
    <n v="6"/>
    <n v="2009"/>
    <s v="COD"/>
    <s v="Abnorml"/>
    <n v="60000"/>
  </r>
  <r>
    <n v="412"/>
    <n v="190"/>
    <s v="RL"/>
    <n v="100"/>
    <n v="34650"/>
    <s v="Pave"/>
    <s v="NA"/>
    <s v="Reg"/>
    <s v="Bnk"/>
    <s v="AllPub"/>
    <s v="Inside"/>
    <s v="Gtl"/>
    <x v="17"/>
    <x v="0"/>
    <s v="Norm"/>
    <x v="1"/>
    <x v="1"/>
    <n v="5"/>
    <n v="5"/>
    <x v="32"/>
    <n v="1955"/>
    <s v="Hip"/>
    <s v="CompShg"/>
    <s v="Wd Sdng"/>
    <s v="Wd Sdng"/>
    <s v="None"/>
    <n v="0"/>
    <s v="TA"/>
    <s v="TA"/>
    <s v="CBlock"/>
    <s v="TA"/>
    <s v="TA"/>
    <s v="Mn"/>
    <s v="Rec"/>
    <n v="1056"/>
    <s v="Unf"/>
    <n v="0"/>
    <n v="0"/>
    <n v="1056"/>
    <s v="GasA"/>
    <s v="TA"/>
    <s v="N"/>
    <s v="SBrkr"/>
    <n v="1056"/>
    <n v="0"/>
    <n v="0"/>
    <x v="278"/>
    <n v="1"/>
    <n v="0"/>
    <n v="1"/>
    <n v="0"/>
    <n v="3"/>
    <n v="1"/>
    <s v="TA"/>
    <n v="5"/>
    <s v="Typ"/>
    <n v="0"/>
    <s v="NA"/>
    <s v="Attchd"/>
    <n v="1955"/>
    <s v="Fin"/>
    <n v="2"/>
    <n v="572"/>
    <s v="TA"/>
    <s v="TA"/>
    <s v="Y"/>
    <n v="264"/>
    <n v="0"/>
    <n v="0"/>
    <n v="0"/>
    <n v="0"/>
    <n v="0"/>
    <s v="NA"/>
    <s v="NA"/>
    <s v="NA"/>
    <n v="0"/>
    <n v="1"/>
    <n v="2006"/>
    <s v="WD"/>
    <s v="Normal"/>
    <n v="145000"/>
  </r>
  <r>
    <n v="413"/>
    <n v="20"/>
    <s v="FV"/>
    <s v="NA"/>
    <n v="4403"/>
    <s v="Pave"/>
    <s v="NA"/>
    <s v="IR2"/>
    <s v="Lvl"/>
    <s v="AllPub"/>
    <s v="Inside"/>
    <s v="Gtl"/>
    <x v="5"/>
    <x v="0"/>
    <s v="Norm"/>
    <x v="0"/>
    <x v="1"/>
    <n v="7"/>
    <n v="5"/>
    <x v="51"/>
    <n v="2009"/>
    <s v="Gable"/>
    <s v="CompShg"/>
    <s v="MetalSd"/>
    <s v="MetalSd"/>
    <s v="Stone"/>
    <n v="432"/>
    <s v="Ex"/>
    <s v="TA"/>
    <s v="PConc"/>
    <s v="Ex"/>
    <s v="TA"/>
    <s v="Av"/>
    <s v="GLQ"/>
    <n v="578"/>
    <s v="Unf"/>
    <n v="0"/>
    <n v="892"/>
    <n v="1470"/>
    <s v="GasA"/>
    <s v="Ex"/>
    <s v="Y"/>
    <s v="SBrkr"/>
    <n v="1478"/>
    <n v="0"/>
    <n v="0"/>
    <x v="291"/>
    <n v="1"/>
    <n v="0"/>
    <n v="2"/>
    <n v="1"/>
    <n v="2"/>
    <n v="1"/>
    <s v="Gd"/>
    <n v="7"/>
    <s v="Typ"/>
    <n v="1"/>
    <s v="Gd"/>
    <s v="Attchd"/>
    <n v="2009"/>
    <s v="Fin"/>
    <n v="2"/>
    <n v="484"/>
    <s v="TA"/>
    <s v="TA"/>
    <s v="Y"/>
    <n v="0"/>
    <n v="144"/>
    <n v="0"/>
    <n v="0"/>
    <n v="0"/>
    <n v="0"/>
    <s v="NA"/>
    <s v="NA"/>
    <s v="NA"/>
    <n v="0"/>
    <n v="6"/>
    <n v="2010"/>
    <s v="New"/>
    <s v="Partial"/>
    <n v="222000"/>
  </r>
  <r>
    <n v="414"/>
    <n v="30"/>
    <s v="RM"/>
    <n v="56"/>
    <n v="8960"/>
    <s v="Pave"/>
    <s v="Grvl"/>
    <s v="Reg"/>
    <s v="Lvl"/>
    <s v="AllPub"/>
    <s v="Inside"/>
    <s v="Gtl"/>
    <x v="7"/>
    <x v="3"/>
    <s v="Norm"/>
    <x v="0"/>
    <x v="1"/>
    <n v="5"/>
    <n v="6"/>
    <x v="25"/>
    <n v="1950"/>
    <s v="Gable"/>
    <s v="CompShg"/>
    <s v="WdShing"/>
    <s v="Wd Shng"/>
    <s v="None"/>
    <n v="0"/>
    <s v="TA"/>
    <s v="TA"/>
    <s v="CBlock"/>
    <s v="TA"/>
    <s v="TA"/>
    <s v="No"/>
    <s v="Unf"/>
    <n v="0"/>
    <s v="Unf"/>
    <n v="0"/>
    <n v="1008"/>
    <n v="1008"/>
    <s v="GasA"/>
    <s v="Gd"/>
    <s v="Y"/>
    <s v="FuseA"/>
    <n v="1028"/>
    <n v="0"/>
    <n v="0"/>
    <x v="339"/>
    <n v="0"/>
    <n v="0"/>
    <n v="1"/>
    <n v="0"/>
    <n v="2"/>
    <n v="1"/>
    <s v="TA"/>
    <n v="5"/>
    <s v="Typ"/>
    <n v="1"/>
    <s v="Gd"/>
    <s v="Detchd"/>
    <n v="1927"/>
    <s v="Unf"/>
    <n v="2"/>
    <n v="360"/>
    <s v="TA"/>
    <s v="TA"/>
    <s v="Y"/>
    <n v="0"/>
    <n v="0"/>
    <n v="130"/>
    <n v="0"/>
    <n v="0"/>
    <n v="0"/>
    <s v="NA"/>
    <s v="NA"/>
    <s v="NA"/>
    <n v="0"/>
    <n v="3"/>
    <n v="2010"/>
    <s v="WD"/>
    <s v="Normal"/>
    <n v="115000"/>
  </r>
  <r>
    <n v="415"/>
    <n v="60"/>
    <s v="RL"/>
    <n v="59"/>
    <n v="11228"/>
    <s v="Pave"/>
    <s v="NA"/>
    <s v="IR2"/>
    <s v="Lvl"/>
    <s v="AllPub"/>
    <s v="CulDSac"/>
    <s v="Gtl"/>
    <x v="12"/>
    <x v="0"/>
    <s v="Norm"/>
    <x v="0"/>
    <x v="0"/>
    <n v="7"/>
    <n v="5"/>
    <x v="5"/>
    <n v="1993"/>
    <s v="Gable"/>
    <s v="CompShg"/>
    <s v="VinylSd"/>
    <s v="VinylSd"/>
    <s v="None"/>
    <n v="0"/>
    <s v="Gd"/>
    <s v="TA"/>
    <s v="PConc"/>
    <s v="Gd"/>
    <s v="TA"/>
    <s v="No"/>
    <s v="BLQ"/>
    <n v="50"/>
    <s v="GLQ"/>
    <n v="531"/>
    <n v="499"/>
    <n v="1080"/>
    <s v="GasA"/>
    <s v="Ex"/>
    <s v="Y"/>
    <s v="SBrkr"/>
    <n v="1080"/>
    <n v="1017"/>
    <n v="0"/>
    <x v="340"/>
    <n v="0"/>
    <n v="1"/>
    <n v="2"/>
    <n v="1"/>
    <n v="3"/>
    <n v="1"/>
    <s v="Gd"/>
    <n v="9"/>
    <s v="Typ"/>
    <n v="1"/>
    <s v="TA"/>
    <s v="Attchd"/>
    <n v="1993"/>
    <s v="Unf"/>
    <n v="3"/>
    <n v="678"/>
    <s v="TA"/>
    <s v="TA"/>
    <s v="Y"/>
    <n v="196"/>
    <n v="187"/>
    <n v="0"/>
    <n v="0"/>
    <n v="0"/>
    <n v="0"/>
    <s v="NA"/>
    <s v="NA"/>
    <s v="NA"/>
    <n v="0"/>
    <n v="12"/>
    <n v="2008"/>
    <s v="WD"/>
    <s v="Normal"/>
    <n v="228000"/>
  </r>
  <r>
    <n v="416"/>
    <n v="20"/>
    <s v="RL"/>
    <n v="73"/>
    <n v="8899"/>
    <s v="Pave"/>
    <s v="NA"/>
    <s v="IR1"/>
    <s v="Lvl"/>
    <s v="AllPub"/>
    <s v="Inside"/>
    <s v="Gtl"/>
    <x v="17"/>
    <x v="0"/>
    <s v="Norm"/>
    <x v="0"/>
    <x v="1"/>
    <n v="7"/>
    <n v="5"/>
    <x v="22"/>
    <n v="2007"/>
    <s v="Gable"/>
    <s v="CompShg"/>
    <s v="VinylSd"/>
    <s v="VinylSd"/>
    <s v="None"/>
    <n v="0"/>
    <s v="Gd"/>
    <s v="TA"/>
    <s v="PConc"/>
    <s v="Gd"/>
    <s v="TA"/>
    <s v="Av"/>
    <s v="GLQ"/>
    <n v="24"/>
    <s v="Unf"/>
    <n v="0"/>
    <n v="1316"/>
    <n v="1340"/>
    <s v="GasA"/>
    <s v="Ex"/>
    <s v="Y"/>
    <s v="SBrkr"/>
    <n v="1340"/>
    <n v="0"/>
    <n v="0"/>
    <x v="168"/>
    <n v="0"/>
    <n v="0"/>
    <n v="2"/>
    <n v="0"/>
    <n v="3"/>
    <n v="1"/>
    <s v="Gd"/>
    <n v="6"/>
    <s v="Typ"/>
    <n v="0"/>
    <s v="NA"/>
    <s v="Attchd"/>
    <n v="2007"/>
    <s v="Fin"/>
    <n v="2"/>
    <n v="396"/>
    <s v="TA"/>
    <s v="TA"/>
    <s v="Y"/>
    <n v="100"/>
    <n v="30"/>
    <n v="0"/>
    <n v="0"/>
    <n v="0"/>
    <n v="0"/>
    <s v="NA"/>
    <s v="NA"/>
    <s v="NA"/>
    <n v="0"/>
    <n v="8"/>
    <n v="2007"/>
    <s v="New"/>
    <s v="Partial"/>
    <n v="181134"/>
  </r>
  <r>
    <n v="417"/>
    <n v="60"/>
    <s v="RL"/>
    <n v="74"/>
    <n v="7844"/>
    <s v="Pave"/>
    <s v="NA"/>
    <s v="Reg"/>
    <s v="Lvl"/>
    <s v="AllPub"/>
    <s v="Inside"/>
    <s v="Gtl"/>
    <x v="9"/>
    <x v="0"/>
    <s v="Norm"/>
    <x v="0"/>
    <x v="0"/>
    <n v="6"/>
    <n v="7"/>
    <x v="90"/>
    <n v="1978"/>
    <s v="Hip"/>
    <s v="CompShg"/>
    <s v="HdBoard"/>
    <s v="HdBoard"/>
    <s v="BrkFace"/>
    <n v="203"/>
    <s v="TA"/>
    <s v="TA"/>
    <s v="CBlock"/>
    <s v="TA"/>
    <s v="TA"/>
    <s v="No"/>
    <s v="ALQ"/>
    <n v="209"/>
    <s v="Unf"/>
    <n v="0"/>
    <n v="463"/>
    <n v="672"/>
    <s v="GasA"/>
    <s v="TA"/>
    <s v="Y"/>
    <s v="SBrkr"/>
    <n v="672"/>
    <n v="728"/>
    <n v="0"/>
    <x v="341"/>
    <n v="0"/>
    <n v="0"/>
    <n v="1"/>
    <n v="1"/>
    <n v="3"/>
    <n v="1"/>
    <s v="TA"/>
    <n v="6"/>
    <s v="Typ"/>
    <n v="1"/>
    <s v="TA"/>
    <s v="Attchd"/>
    <n v="1978"/>
    <s v="Fin"/>
    <n v="2"/>
    <n v="440"/>
    <s v="TA"/>
    <s v="TA"/>
    <s v="Y"/>
    <n v="0"/>
    <n v="0"/>
    <n v="0"/>
    <n v="0"/>
    <n v="0"/>
    <n v="0"/>
    <s v="NA"/>
    <s v="NA"/>
    <s v="NA"/>
    <n v="0"/>
    <n v="3"/>
    <n v="2006"/>
    <s v="WD"/>
    <s v="Normal"/>
    <n v="149500"/>
  </r>
  <r>
    <n v="418"/>
    <n v="70"/>
    <s v="RL"/>
    <n v="86"/>
    <n v="22420"/>
    <s v="Pave"/>
    <s v="NA"/>
    <s v="IR1"/>
    <s v="Lvl"/>
    <s v="AllPub"/>
    <s v="Inside"/>
    <s v="Gtl"/>
    <x v="2"/>
    <x v="1"/>
    <s v="Norm"/>
    <x v="0"/>
    <x v="0"/>
    <n v="6"/>
    <n v="6"/>
    <x v="79"/>
    <n v="1950"/>
    <s v="Hip"/>
    <s v="CompShg"/>
    <s v="Wd Sdng"/>
    <s v="Stucco"/>
    <s v="None"/>
    <n v="0"/>
    <s v="TA"/>
    <s v="TA"/>
    <s v="BrkTil"/>
    <s v="Gd"/>
    <s v="TA"/>
    <s v="No"/>
    <s v="BLQ"/>
    <n v="1128"/>
    <s v="Unf"/>
    <n v="0"/>
    <n v="242"/>
    <n v="1370"/>
    <s v="GasW"/>
    <s v="TA"/>
    <s v="N"/>
    <s v="FuseA"/>
    <n v="1370"/>
    <n v="1254"/>
    <n v="0"/>
    <x v="342"/>
    <n v="1"/>
    <n v="0"/>
    <n v="2"/>
    <n v="1"/>
    <n v="4"/>
    <n v="1"/>
    <s v="TA"/>
    <n v="10"/>
    <s v="Typ"/>
    <n v="1"/>
    <s v="Gd"/>
    <s v="Detchd"/>
    <n v="1918"/>
    <s v="Unf"/>
    <n v="3"/>
    <n v="864"/>
    <s v="TA"/>
    <s v="TA"/>
    <s v="N"/>
    <n v="0"/>
    <n v="0"/>
    <n v="0"/>
    <n v="0"/>
    <n v="0"/>
    <n v="0"/>
    <s v="NA"/>
    <s v="NA"/>
    <s v="NA"/>
    <n v="0"/>
    <n v="11"/>
    <n v="2007"/>
    <s v="WD"/>
    <s v="Normal"/>
    <n v="239000"/>
  </r>
  <r>
    <n v="419"/>
    <n v="50"/>
    <s v="RL"/>
    <n v="60"/>
    <n v="8160"/>
    <s v="Pave"/>
    <s v="NA"/>
    <s v="Reg"/>
    <s v="Lvl"/>
    <s v="AllPub"/>
    <s v="Inside"/>
    <s v="Gtl"/>
    <x v="15"/>
    <x v="0"/>
    <s v="Norm"/>
    <x v="0"/>
    <x v="2"/>
    <n v="5"/>
    <n v="6"/>
    <x v="70"/>
    <n v="1950"/>
    <s v="Gable"/>
    <s v="CompShg"/>
    <s v="MetalSd"/>
    <s v="MetalSd"/>
    <s v="None"/>
    <n v="0"/>
    <s v="TA"/>
    <s v="TA"/>
    <s v="BrkTil"/>
    <s v="TA"/>
    <s v="TA"/>
    <s v="No"/>
    <s v="ALQ"/>
    <n v="312"/>
    <s v="Unf"/>
    <n v="0"/>
    <n v="444"/>
    <n v="756"/>
    <s v="GasA"/>
    <s v="Fa"/>
    <s v="N"/>
    <s v="FuseF"/>
    <n v="756"/>
    <n v="378"/>
    <n v="0"/>
    <x v="343"/>
    <n v="1"/>
    <n v="0"/>
    <n v="1"/>
    <n v="1"/>
    <n v="3"/>
    <n v="1"/>
    <s v="TA"/>
    <n v="7"/>
    <s v="Typ"/>
    <n v="0"/>
    <s v="NA"/>
    <s v="Detchd"/>
    <n v="1940"/>
    <s v="Unf"/>
    <n v="1"/>
    <n v="240"/>
    <s v="TA"/>
    <s v="TA"/>
    <s v="P"/>
    <n v="0"/>
    <n v="0"/>
    <n v="0"/>
    <n v="0"/>
    <n v="0"/>
    <n v="0"/>
    <s v="NA"/>
    <s v="NA"/>
    <s v="NA"/>
    <n v="0"/>
    <n v="4"/>
    <n v="2007"/>
    <s v="WD"/>
    <s v="AdjLand"/>
    <n v="126000"/>
  </r>
  <r>
    <n v="420"/>
    <n v="20"/>
    <s v="RL"/>
    <n v="65"/>
    <n v="8450"/>
    <s v="Pave"/>
    <s v="NA"/>
    <s v="Reg"/>
    <s v="Lvl"/>
    <s v="AllPub"/>
    <s v="Inside"/>
    <s v="Gtl"/>
    <x v="11"/>
    <x v="0"/>
    <s v="Norm"/>
    <x v="0"/>
    <x v="1"/>
    <n v="5"/>
    <n v="6"/>
    <x v="21"/>
    <n v="1968"/>
    <s v="Gable"/>
    <s v="CompShg"/>
    <s v="VinylSd"/>
    <s v="VinylSd"/>
    <s v="None"/>
    <n v="0"/>
    <s v="TA"/>
    <s v="TA"/>
    <s v="CBlock"/>
    <s v="TA"/>
    <s v="TA"/>
    <s v="No"/>
    <s v="BLQ"/>
    <n v="775"/>
    <s v="Unf"/>
    <n v="0"/>
    <n v="281"/>
    <n v="1056"/>
    <s v="GasA"/>
    <s v="Ex"/>
    <s v="Y"/>
    <s v="SBrkr"/>
    <n v="1056"/>
    <n v="0"/>
    <n v="0"/>
    <x v="278"/>
    <n v="1"/>
    <n v="0"/>
    <n v="1"/>
    <n v="0"/>
    <n v="3"/>
    <n v="1"/>
    <s v="TA"/>
    <n v="6"/>
    <s v="Typ"/>
    <n v="1"/>
    <s v="Fa"/>
    <s v="Attchd"/>
    <n v="1968"/>
    <s v="Unf"/>
    <n v="1"/>
    <n v="304"/>
    <s v="TA"/>
    <s v="TA"/>
    <s v="Y"/>
    <n v="0"/>
    <n v="85"/>
    <n v="184"/>
    <n v="0"/>
    <n v="0"/>
    <n v="0"/>
    <s v="NA"/>
    <s v="NA"/>
    <s v="NA"/>
    <n v="0"/>
    <n v="7"/>
    <n v="2010"/>
    <s v="WD"/>
    <s v="Normal"/>
    <n v="142000"/>
  </r>
  <r>
    <n v="421"/>
    <n v="90"/>
    <s v="RM"/>
    <n v="78"/>
    <n v="7060"/>
    <s v="Pave"/>
    <s v="NA"/>
    <s v="Reg"/>
    <s v="Lvl"/>
    <s v="AllPub"/>
    <s v="Inside"/>
    <s v="Gtl"/>
    <x v="4"/>
    <x v="0"/>
    <s v="Norm"/>
    <x v="2"/>
    <x v="4"/>
    <n v="7"/>
    <n v="5"/>
    <x v="35"/>
    <n v="1998"/>
    <s v="Gable"/>
    <s v="CompShg"/>
    <s v="VinylSd"/>
    <s v="VinylSd"/>
    <s v="BrkFace"/>
    <n v="200"/>
    <s v="TA"/>
    <s v="Gd"/>
    <s v="PConc"/>
    <s v="Gd"/>
    <s v="Gd"/>
    <s v="Gd"/>
    <s v="GLQ"/>
    <n v="1309"/>
    <s v="Unf"/>
    <n v="0"/>
    <n v="35"/>
    <n v="1344"/>
    <s v="GasA"/>
    <s v="Ex"/>
    <s v="Y"/>
    <s v="SBrkr"/>
    <n v="1344"/>
    <n v="0"/>
    <n v="0"/>
    <x v="140"/>
    <n v="2"/>
    <n v="0"/>
    <n v="2"/>
    <n v="0"/>
    <n v="2"/>
    <n v="2"/>
    <s v="TA"/>
    <n v="8"/>
    <s v="Typ"/>
    <n v="0"/>
    <s v="NA"/>
    <s v="Attchd"/>
    <n v="1997"/>
    <s v="Fin"/>
    <n v="4"/>
    <n v="784"/>
    <s v="TA"/>
    <s v="TA"/>
    <s v="Y"/>
    <n v="0"/>
    <n v="0"/>
    <n v="0"/>
    <n v="0"/>
    <n v="0"/>
    <n v="0"/>
    <s v="NA"/>
    <s v="NA"/>
    <s v="NA"/>
    <n v="0"/>
    <n v="11"/>
    <n v="2008"/>
    <s v="WD"/>
    <s v="Alloca"/>
    <n v="206300"/>
  </r>
  <r>
    <n v="422"/>
    <n v="20"/>
    <s v="RL"/>
    <s v="NA"/>
    <n v="16635"/>
    <s v="Pave"/>
    <s v="NA"/>
    <s v="IR1"/>
    <s v="Lvl"/>
    <s v="AllPub"/>
    <s v="FR2"/>
    <s v="Gtl"/>
    <x v="6"/>
    <x v="0"/>
    <s v="Norm"/>
    <x v="0"/>
    <x v="1"/>
    <n v="6"/>
    <n v="7"/>
    <x v="54"/>
    <n v="2000"/>
    <s v="Gable"/>
    <s v="CompShg"/>
    <s v="CemntBd"/>
    <s v="CmentBd"/>
    <s v="Stone"/>
    <n v="126"/>
    <s v="Gd"/>
    <s v="TA"/>
    <s v="CBlock"/>
    <s v="Gd"/>
    <s v="TA"/>
    <s v="No"/>
    <s v="ALQ"/>
    <n v="1246"/>
    <s v="Unf"/>
    <n v="0"/>
    <n v="356"/>
    <n v="1602"/>
    <s v="GasA"/>
    <s v="Gd"/>
    <s v="Y"/>
    <s v="SBrkr"/>
    <n v="1602"/>
    <n v="0"/>
    <n v="0"/>
    <x v="344"/>
    <n v="0"/>
    <n v="1"/>
    <n v="2"/>
    <n v="0"/>
    <n v="3"/>
    <n v="1"/>
    <s v="Gd"/>
    <n v="8"/>
    <s v="Typ"/>
    <n v="1"/>
    <s v="TA"/>
    <s v="Attchd"/>
    <n v="1977"/>
    <s v="Fin"/>
    <n v="2"/>
    <n v="529"/>
    <s v="TA"/>
    <s v="TA"/>
    <s v="Y"/>
    <n v="240"/>
    <n v="0"/>
    <n v="0"/>
    <n v="0"/>
    <n v="0"/>
    <n v="0"/>
    <s v="NA"/>
    <s v="NA"/>
    <s v="NA"/>
    <n v="0"/>
    <n v="6"/>
    <n v="2009"/>
    <s v="WD"/>
    <s v="Normal"/>
    <n v="215000"/>
  </r>
  <r>
    <n v="423"/>
    <n v="20"/>
    <s v="RL"/>
    <n v="100"/>
    <n v="21750"/>
    <s v="Pave"/>
    <s v="NA"/>
    <s v="Reg"/>
    <s v="HLS"/>
    <s v="AllPub"/>
    <s v="Inside"/>
    <s v="Mod"/>
    <x v="4"/>
    <x v="3"/>
    <s v="Norm"/>
    <x v="0"/>
    <x v="1"/>
    <n v="5"/>
    <n v="5"/>
    <x v="30"/>
    <n v="1954"/>
    <s v="Hip"/>
    <s v="CompShg"/>
    <s v="HdBoard"/>
    <s v="HdBoard"/>
    <s v="None"/>
    <n v="0"/>
    <s v="TA"/>
    <s v="TA"/>
    <s v="CBlock"/>
    <s v="TA"/>
    <s v="TA"/>
    <s v="No"/>
    <s v="Unf"/>
    <n v="0"/>
    <s v="Unf"/>
    <n v="0"/>
    <n v="988"/>
    <n v="988"/>
    <s v="GasA"/>
    <s v="Ex"/>
    <s v="Y"/>
    <s v="FuseA"/>
    <n v="988"/>
    <n v="0"/>
    <n v="0"/>
    <x v="72"/>
    <n v="0"/>
    <n v="0"/>
    <n v="1"/>
    <n v="0"/>
    <n v="2"/>
    <n v="1"/>
    <s v="TA"/>
    <n v="4"/>
    <s v="Typ"/>
    <n v="0"/>
    <s v="NA"/>
    <s v="Attchd"/>
    <n v="1954"/>
    <s v="RFn"/>
    <n v="2"/>
    <n v="520"/>
    <s v="TA"/>
    <s v="TA"/>
    <s v="N"/>
    <n v="0"/>
    <n v="0"/>
    <n v="0"/>
    <n v="0"/>
    <n v="0"/>
    <n v="0"/>
    <s v="NA"/>
    <s v="NA"/>
    <s v="NA"/>
    <n v="0"/>
    <n v="2"/>
    <n v="2008"/>
    <s v="WD"/>
    <s v="Normal"/>
    <n v="113000"/>
  </r>
  <r>
    <n v="424"/>
    <n v="60"/>
    <s v="RL"/>
    <n v="80"/>
    <n v="9200"/>
    <s v="Pave"/>
    <s v="NA"/>
    <s v="Reg"/>
    <s v="Lvl"/>
    <s v="AllPub"/>
    <s v="Inside"/>
    <s v="Gtl"/>
    <x v="3"/>
    <x v="0"/>
    <s v="Norm"/>
    <x v="0"/>
    <x v="0"/>
    <n v="8"/>
    <n v="5"/>
    <x v="45"/>
    <n v="1998"/>
    <s v="Gable"/>
    <s v="CompShg"/>
    <s v="VinylSd"/>
    <s v="VinylSd"/>
    <s v="BrkFace"/>
    <n v="473"/>
    <s v="Gd"/>
    <s v="TA"/>
    <s v="PConc"/>
    <s v="Gd"/>
    <s v="TA"/>
    <s v="No"/>
    <s v="GLQ"/>
    <n v="986"/>
    <s v="Unf"/>
    <n v="0"/>
    <n v="484"/>
    <n v="1470"/>
    <s v="GasA"/>
    <s v="Gd"/>
    <s v="Y"/>
    <s v="SBrkr"/>
    <n v="1470"/>
    <n v="1160"/>
    <n v="0"/>
    <x v="345"/>
    <n v="1"/>
    <n v="0"/>
    <n v="2"/>
    <n v="1"/>
    <n v="4"/>
    <n v="1"/>
    <s v="Gd"/>
    <n v="8"/>
    <s v="Typ"/>
    <n v="1"/>
    <s v="TA"/>
    <s v="Attchd"/>
    <n v="1998"/>
    <s v="Fin"/>
    <n v="3"/>
    <n v="696"/>
    <s v="TA"/>
    <s v="TA"/>
    <s v="Y"/>
    <n v="0"/>
    <n v="66"/>
    <n v="0"/>
    <n v="0"/>
    <n v="0"/>
    <n v="0"/>
    <s v="NA"/>
    <s v="NA"/>
    <s v="NA"/>
    <n v="0"/>
    <n v="6"/>
    <n v="2008"/>
    <s v="WD"/>
    <s v="Normal"/>
    <n v="315000"/>
  </r>
  <r>
    <n v="425"/>
    <n v="20"/>
    <s v="RL"/>
    <n v="72"/>
    <n v="9000"/>
    <s v="Pave"/>
    <s v="NA"/>
    <s v="Reg"/>
    <s v="Lvl"/>
    <s v="AllPub"/>
    <s v="Inside"/>
    <s v="Gtl"/>
    <x v="11"/>
    <x v="0"/>
    <s v="Norm"/>
    <x v="0"/>
    <x v="1"/>
    <n v="6"/>
    <n v="5"/>
    <x v="46"/>
    <n v="1956"/>
    <s v="Gable"/>
    <s v="CompShg"/>
    <s v="Wd Sdng"/>
    <s v="Wd Sdng"/>
    <s v="BrkFace"/>
    <n v="74"/>
    <s v="TA"/>
    <s v="TA"/>
    <s v="CBlock"/>
    <s v="Gd"/>
    <s v="TA"/>
    <s v="No"/>
    <s v="LwQ"/>
    <n v="616"/>
    <s v="Unf"/>
    <n v="0"/>
    <n v="580"/>
    <n v="1196"/>
    <s v="GasA"/>
    <s v="Gd"/>
    <s v="Y"/>
    <s v="FuseA"/>
    <n v="1196"/>
    <n v="0"/>
    <n v="0"/>
    <x v="346"/>
    <n v="1"/>
    <n v="0"/>
    <n v="1"/>
    <n v="0"/>
    <n v="2"/>
    <n v="1"/>
    <s v="TA"/>
    <n v="6"/>
    <s v="Typ"/>
    <n v="1"/>
    <s v="Gd"/>
    <s v="Attchd"/>
    <n v="1956"/>
    <s v="RFn"/>
    <n v="1"/>
    <n v="297"/>
    <s v="TA"/>
    <s v="TA"/>
    <s v="Y"/>
    <n v="0"/>
    <n v="44"/>
    <n v="0"/>
    <n v="0"/>
    <n v="0"/>
    <n v="0"/>
    <s v="NA"/>
    <s v="NA"/>
    <s v="NA"/>
    <n v="0"/>
    <n v="5"/>
    <n v="2008"/>
    <s v="WD"/>
    <s v="Normal"/>
    <n v="139000"/>
  </r>
  <r>
    <n v="426"/>
    <n v="60"/>
    <s v="RM"/>
    <n v="60"/>
    <n v="3378"/>
    <s v="Pave"/>
    <s v="Grvl"/>
    <s v="Reg"/>
    <s v="HLS"/>
    <s v="AllPub"/>
    <s v="Inside"/>
    <s v="Gtl"/>
    <x v="7"/>
    <x v="0"/>
    <s v="Norm"/>
    <x v="0"/>
    <x v="0"/>
    <n v="7"/>
    <n v="8"/>
    <x v="94"/>
    <n v="1992"/>
    <s v="Gable"/>
    <s v="CompShg"/>
    <s v="HdBoard"/>
    <s v="HdBoard"/>
    <s v="None"/>
    <n v="0"/>
    <s v="TA"/>
    <s v="Gd"/>
    <s v="CBlock"/>
    <s v="TA"/>
    <s v="TA"/>
    <s v="No"/>
    <s v="Unf"/>
    <n v="0"/>
    <s v="Unf"/>
    <n v="0"/>
    <n v="651"/>
    <n v="651"/>
    <s v="GasA"/>
    <s v="Gd"/>
    <s v="Y"/>
    <s v="SBrkr"/>
    <n v="707"/>
    <n v="682"/>
    <n v="0"/>
    <x v="347"/>
    <n v="0"/>
    <n v="0"/>
    <n v="1"/>
    <n v="1"/>
    <n v="3"/>
    <n v="1"/>
    <s v="TA"/>
    <n v="6"/>
    <s v="Typ"/>
    <n v="2"/>
    <s v="Gd"/>
    <s v="Detchd"/>
    <n v="1947"/>
    <s v="Unf"/>
    <n v="1"/>
    <n v="240"/>
    <s v="TA"/>
    <s v="TA"/>
    <s v="P"/>
    <n v="0"/>
    <n v="0"/>
    <n v="126"/>
    <n v="0"/>
    <n v="0"/>
    <n v="0"/>
    <s v="NA"/>
    <s v="NA"/>
    <s v="NA"/>
    <n v="0"/>
    <n v="9"/>
    <n v="2009"/>
    <s v="WD"/>
    <s v="Normal"/>
    <n v="135000"/>
  </r>
  <r>
    <n v="427"/>
    <n v="80"/>
    <s v="RL"/>
    <s v="NA"/>
    <n v="12800"/>
    <s v="Pave"/>
    <s v="NA"/>
    <s v="Reg"/>
    <s v="Low"/>
    <s v="AllPub"/>
    <s v="Inside"/>
    <s v="Mod"/>
    <x v="12"/>
    <x v="0"/>
    <s v="Norm"/>
    <x v="0"/>
    <x v="5"/>
    <n v="7"/>
    <n v="5"/>
    <x v="85"/>
    <n v="1989"/>
    <s v="Gable"/>
    <s v="CompShg"/>
    <s v="Wd Sdng"/>
    <s v="Wd Sdng"/>
    <s v="BrkFace"/>
    <n v="145"/>
    <s v="Gd"/>
    <s v="TA"/>
    <s v="PConc"/>
    <s v="Gd"/>
    <s v="TA"/>
    <s v="Gd"/>
    <s v="GLQ"/>
    <n v="1518"/>
    <s v="Unf"/>
    <n v="0"/>
    <n v="0"/>
    <n v="1518"/>
    <s v="GasA"/>
    <s v="Gd"/>
    <s v="Y"/>
    <s v="SBrkr"/>
    <n v="1644"/>
    <n v="0"/>
    <n v="0"/>
    <x v="248"/>
    <n v="1"/>
    <n v="1"/>
    <n v="2"/>
    <n v="0"/>
    <n v="2"/>
    <n v="1"/>
    <s v="Gd"/>
    <n v="5"/>
    <s v="Typ"/>
    <n v="1"/>
    <s v="TA"/>
    <s v="Attchd"/>
    <n v="1989"/>
    <s v="Fin"/>
    <n v="2"/>
    <n v="569"/>
    <s v="TA"/>
    <s v="TA"/>
    <s v="Y"/>
    <n v="80"/>
    <n v="0"/>
    <n v="0"/>
    <n v="0"/>
    <n v="396"/>
    <n v="0"/>
    <s v="NA"/>
    <s v="NA"/>
    <s v="NA"/>
    <n v="0"/>
    <n v="8"/>
    <n v="2009"/>
    <s v="WD"/>
    <s v="Normal"/>
    <n v="275000"/>
  </r>
  <r>
    <n v="428"/>
    <n v="20"/>
    <s v="RL"/>
    <n v="77"/>
    <n v="8593"/>
    <s v="Pave"/>
    <s v="NA"/>
    <s v="IR1"/>
    <s v="Lvl"/>
    <s v="AllPub"/>
    <s v="Inside"/>
    <s v="Gtl"/>
    <x v="11"/>
    <x v="0"/>
    <s v="Norm"/>
    <x v="0"/>
    <x v="1"/>
    <n v="4"/>
    <n v="6"/>
    <x v="24"/>
    <n v="1957"/>
    <s v="Hip"/>
    <s v="CompShg"/>
    <s v="MetalSd"/>
    <s v="MetalSd"/>
    <s v="None"/>
    <n v="0"/>
    <s v="TA"/>
    <s v="TA"/>
    <s v="CBlock"/>
    <s v="TA"/>
    <s v="TA"/>
    <s v="No"/>
    <s v="Rec"/>
    <n v="288"/>
    <s v="Unf"/>
    <n v="0"/>
    <n v="619"/>
    <n v="907"/>
    <s v="GasA"/>
    <s v="Ex"/>
    <s v="Y"/>
    <s v="SBrkr"/>
    <n v="907"/>
    <n v="0"/>
    <n v="0"/>
    <x v="348"/>
    <n v="0"/>
    <n v="0"/>
    <n v="1"/>
    <n v="0"/>
    <n v="3"/>
    <n v="1"/>
    <s v="TA"/>
    <n v="5"/>
    <s v="Typ"/>
    <n v="0"/>
    <s v="NA"/>
    <s v="Detchd"/>
    <n v="1964"/>
    <s v="Unf"/>
    <n v="1"/>
    <n v="352"/>
    <s v="TA"/>
    <s v="TA"/>
    <s v="Y"/>
    <n v="0"/>
    <n v="0"/>
    <n v="0"/>
    <n v="0"/>
    <n v="0"/>
    <n v="0"/>
    <s v="NA"/>
    <s v="NA"/>
    <s v="NA"/>
    <n v="0"/>
    <n v="7"/>
    <n v="2008"/>
    <s v="WD"/>
    <s v="Normal"/>
    <n v="109008"/>
  </r>
  <r>
    <n v="429"/>
    <n v="20"/>
    <s v="RL"/>
    <n v="64"/>
    <n v="6762"/>
    <s v="Pave"/>
    <s v="NA"/>
    <s v="Reg"/>
    <s v="Lvl"/>
    <s v="AllPub"/>
    <s v="Inside"/>
    <s v="Gtl"/>
    <x v="0"/>
    <x v="0"/>
    <s v="Norm"/>
    <x v="0"/>
    <x v="1"/>
    <n v="7"/>
    <n v="5"/>
    <x v="22"/>
    <n v="2007"/>
    <s v="Gable"/>
    <s v="CompShg"/>
    <s v="VinylSd"/>
    <s v="VinylSd"/>
    <s v="BrkFace"/>
    <n v="108"/>
    <s v="Gd"/>
    <s v="TA"/>
    <s v="PConc"/>
    <s v="Gd"/>
    <s v="TA"/>
    <s v="No"/>
    <s v="GLQ"/>
    <n v="664"/>
    <s v="Unf"/>
    <n v="0"/>
    <n v="544"/>
    <n v="1208"/>
    <s v="GasA"/>
    <s v="Ex"/>
    <s v="Y"/>
    <s v="SBrkr"/>
    <n v="1208"/>
    <n v="0"/>
    <n v="0"/>
    <x v="349"/>
    <n v="1"/>
    <n v="0"/>
    <n v="2"/>
    <n v="0"/>
    <n v="2"/>
    <n v="1"/>
    <s v="Gd"/>
    <n v="6"/>
    <s v="Typ"/>
    <n v="0"/>
    <s v="NA"/>
    <s v="Attchd"/>
    <n v="2007"/>
    <s v="RFn"/>
    <n v="2"/>
    <n v="628"/>
    <s v="TA"/>
    <s v="TA"/>
    <s v="Y"/>
    <n v="105"/>
    <n v="54"/>
    <n v="0"/>
    <n v="0"/>
    <n v="0"/>
    <n v="0"/>
    <s v="NA"/>
    <s v="NA"/>
    <s v="NA"/>
    <n v="0"/>
    <n v="9"/>
    <n v="2007"/>
    <s v="New"/>
    <s v="Partial"/>
    <n v="195400"/>
  </r>
  <r>
    <n v="430"/>
    <n v="20"/>
    <s v="RL"/>
    <n v="130"/>
    <n v="11457"/>
    <s v="Pave"/>
    <s v="NA"/>
    <s v="IR1"/>
    <s v="Lvl"/>
    <s v="AllPub"/>
    <s v="Corner"/>
    <s v="Gtl"/>
    <x v="16"/>
    <x v="0"/>
    <s v="Norm"/>
    <x v="0"/>
    <x v="1"/>
    <n v="6"/>
    <n v="5"/>
    <x v="62"/>
    <n v="1988"/>
    <s v="Gable"/>
    <s v="CompShg"/>
    <s v="HdBoard"/>
    <s v="HdBoard"/>
    <s v="None"/>
    <n v="0"/>
    <s v="TA"/>
    <s v="TA"/>
    <s v="CBlock"/>
    <s v="Gd"/>
    <s v="TA"/>
    <s v="Mn"/>
    <s v="GLQ"/>
    <n v="1005"/>
    <s v="Unf"/>
    <n v="0"/>
    <n v="387"/>
    <n v="1392"/>
    <s v="GasA"/>
    <s v="TA"/>
    <s v="Y"/>
    <s v="SBrkr"/>
    <n v="1412"/>
    <n v="0"/>
    <n v="0"/>
    <x v="350"/>
    <n v="1"/>
    <n v="0"/>
    <n v="2"/>
    <n v="0"/>
    <n v="3"/>
    <n v="1"/>
    <s v="Gd"/>
    <n v="6"/>
    <s v="Typ"/>
    <n v="1"/>
    <s v="TA"/>
    <s v="Attchd"/>
    <n v="1988"/>
    <s v="Unf"/>
    <n v="2"/>
    <n v="576"/>
    <s v="TA"/>
    <s v="TA"/>
    <s v="Y"/>
    <n v="0"/>
    <n v="0"/>
    <n v="169"/>
    <n v="0"/>
    <n v="0"/>
    <n v="0"/>
    <s v="NA"/>
    <s v="NA"/>
    <s v="NA"/>
    <n v="0"/>
    <n v="3"/>
    <n v="2009"/>
    <s v="WD"/>
    <s v="Normal"/>
    <n v="175000"/>
  </r>
  <r>
    <n v="431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6"/>
    <n v="5"/>
    <x v="63"/>
    <n v="1971"/>
    <s v="Gable"/>
    <s v="CompShg"/>
    <s v="HdBoard"/>
    <s v="HdBoard"/>
    <s v="BrkFace"/>
    <n v="232"/>
    <s v="TA"/>
    <s v="TA"/>
    <s v="CBlock"/>
    <s v="TA"/>
    <s v="TA"/>
    <s v="No"/>
    <s v="ALQ"/>
    <n v="387"/>
    <s v="Unf"/>
    <n v="0"/>
    <n v="96"/>
    <n v="483"/>
    <s v="GasA"/>
    <s v="TA"/>
    <s v="Y"/>
    <s v="SBrkr"/>
    <n v="483"/>
    <n v="504"/>
    <n v="0"/>
    <x v="200"/>
    <n v="0"/>
    <n v="0"/>
    <n v="1"/>
    <n v="1"/>
    <n v="2"/>
    <n v="1"/>
    <s v="TA"/>
    <n v="4"/>
    <s v="Typ"/>
    <n v="0"/>
    <s v="NA"/>
    <s v="Detchd"/>
    <n v="1971"/>
    <s v="Unf"/>
    <n v="1"/>
    <n v="264"/>
    <s v="TA"/>
    <s v="TA"/>
    <s v="Y"/>
    <n v="0"/>
    <n v="0"/>
    <n v="0"/>
    <n v="0"/>
    <n v="0"/>
    <n v="0"/>
    <s v="NA"/>
    <s v="NA"/>
    <s v="NA"/>
    <n v="0"/>
    <n v="7"/>
    <n v="2008"/>
    <s v="COD"/>
    <s v="Abnorml"/>
    <n v="85400"/>
  </r>
  <r>
    <n v="432"/>
    <n v="50"/>
    <s v="RM"/>
    <n v="60"/>
    <n v="5586"/>
    <s v="Pave"/>
    <s v="NA"/>
    <s v="IR1"/>
    <s v="Bnk"/>
    <s v="AllPub"/>
    <s v="Inside"/>
    <s v="Gtl"/>
    <x v="7"/>
    <x v="1"/>
    <s v="Norm"/>
    <x v="0"/>
    <x v="2"/>
    <n v="6"/>
    <n v="7"/>
    <x v="26"/>
    <n v="1998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901"/>
    <n v="901"/>
    <s v="GasA"/>
    <s v="Gd"/>
    <s v="Y"/>
    <s v="SBrkr"/>
    <n v="1088"/>
    <n v="110"/>
    <n v="0"/>
    <x v="351"/>
    <n v="0"/>
    <n v="0"/>
    <n v="1"/>
    <n v="0"/>
    <n v="4"/>
    <n v="1"/>
    <s v="TA"/>
    <n v="7"/>
    <s v="Typ"/>
    <n v="0"/>
    <s v="NA"/>
    <s v="NA"/>
    <s v="NA"/>
    <s v="NA"/>
    <n v="0"/>
    <n v="0"/>
    <s v="NA"/>
    <s v="NA"/>
    <s v="N"/>
    <n v="0"/>
    <n v="98"/>
    <n v="0"/>
    <n v="0"/>
    <n v="0"/>
    <n v="0"/>
    <s v="NA"/>
    <s v="MnPrv"/>
    <s v="NA"/>
    <n v="0"/>
    <n v="9"/>
    <n v="2008"/>
    <s v="ConLD"/>
    <s v="Abnorml"/>
    <n v="79900"/>
  </r>
  <r>
    <n v="433"/>
    <n v="160"/>
    <s v="RM"/>
    <n v="24"/>
    <n v="1920"/>
    <s v="Pave"/>
    <s v="NA"/>
    <s v="Reg"/>
    <s v="Lvl"/>
    <s v="AllPub"/>
    <s v="Inside"/>
    <s v="Gtl"/>
    <x v="22"/>
    <x v="0"/>
    <s v="Norm"/>
    <x v="3"/>
    <x v="0"/>
    <n v="5"/>
    <n v="5"/>
    <x v="63"/>
    <n v="1971"/>
    <s v="Gable"/>
    <s v="CompShg"/>
    <s v="HdBoard"/>
    <s v="HdBoard"/>
    <s v="BrkFace"/>
    <n v="376"/>
    <s v="TA"/>
    <s v="TA"/>
    <s v="CBlock"/>
    <s v="TA"/>
    <s v="TA"/>
    <s v="No"/>
    <s v="ALQ"/>
    <n v="471"/>
    <s v="Unf"/>
    <n v="0"/>
    <n v="294"/>
    <n v="765"/>
    <s v="GasA"/>
    <s v="Ex"/>
    <s v="Y"/>
    <s v="SBrkr"/>
    <n v="765"/>
    <n v="600"/>
    <n v="0"/>
    <x v="352"/>
    <n v="1"/>
    <n v="0"/>
    <n v="1"/>
    <n v="1"/>
    <n v="2"/>
    <n v="1"/>
    <s v="TA"/>
    <n v="6"/>
    <s v="Min1"/>
    <n v="0"/>
    <s v="NA"/>
    <s v="Detchd"/>
    <n v="1971"/>
    <s v="Unf"/>
    <n v="2"/>
    <n v="440"/>
    <s v="TA"/>
    <s v="TA"/>
    <s v="Y"/>
    <n v="240"/>
    <n v="36"/>
    <n v="0"/>
    <n v="0"/>
    <n v="0"/>
    <n v="0"/>
    <s v="NA"/>
    <s v="NA"/>
    <s v="NA"/>
    <n v="0"/>
    <n v="8"/>
    <n v="2007"/>
    <s v="WD"/>
    <s v="Normal"/>
    <n v="122500"/>
  </r>
  <r>
    <n v="434"/>
    <n v="60"/>
    <s v="RL"/>
    <n v="100"/>
    <n v="10839"/>
    <s v="Pave"/>
    <s v="NA"/>
    <s v="IR1"/>
    <s v="Lvl"/>
    <s v="AllPub"/>
    <s v="Corner"/>
    <s v="Gtl"/>
    <x v="17"/>
    <x v="0"/>
    <s v="Norm"/>
    <x v="0"/>
    <x v="0"/>
    <n v="6"/>
    <n v="5"/>
    <x v="35"/>
    <n v="1998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26"/>
    <n v="926"/>
    <s v="GasA"/>
    <s v="Ex"/>
    <s v="Y"/>
    <s v="SBrkr"/>
    <n v="926"/>
    <n v="678"/>
    <n v="0"/>
    <x v="222"/>
    <n v="0"/>
    <n v="0"/>
    <n v="2"/>
    <n v="1"/>
    <n v="3"/>
    <n v="1"/>
    <s v="TA"/>
    <n v="7"/>
    <s v="Typ"/>
    <n v="1"/>
    <s v="TA"/>
    <s v="Attchd"/>
    <n v="1997"/>
    <s v="Fin"/>
    <n v="2"/>
    <n v="470"/>
    <s v="TA"/>
    <s v="TA"/>
    <s v="Y"/>
    <n v="0"/>
    <n v="36"/>
    <n v="0"/>
    <n v="0"/>
    <n v="0"/>
    <n v="0"/>
    <s v="NA"/>
    <s v="NA"/>
    <s v="NA"/>
    <n v="0"/>
    <n v="7"/>
    <n v="2008"/>
    <s v="WD"/>
    <s v="Normal"/>
    <n v="181000"/>
  </r>
  <r>
    <n v="435"/>
    <n v="180"/>
    <s v="RM"/>
    <n v="21"/>
    <n v="1890"/>
    <s v="Pave"/>
    <s v="NA"/>
    <s v="Reg"/>
    <s v="Lvl"/>
    <s v="AllPub"/>
    <s v="Inside"/>
    <s v="Gtl"/>
    <x v="14"/>
    <x v="0"/>
    <s v="Norm"/>
    <x v="4"/>
    <x v="4"/>
    <n v="4"/>
    <n v="7"/>
    <x v="41"/>
    <n v="1972"/>
    <s v="Gable"/>
    <s v="CompShg"/>
    <s v="CemntBd"/>
    <s v="CmentBd"/>
    <s v="None"/>
    <n v="0"/>
    <s v="TA"/>
    <s v="Gd"/>
    <s v="CBlock"/>
    <s v="Gd"/>
    <s v="TA"/>
    <s v="Av"/>
    <s v="ALQ"/>
    <n v="495"/>
    <s v="Unf"/>
    <n v="0"/>
    <n v="135"/>
    <n v="630"/>
    <s v="GasA"/>
    <s v="Gd"/>
    <s v="Y"/>
    <s v="SBrkr"/>
    <n v="630"/>
    <n v="0"/>
    <n v="0"/>
    <x v="353"/>
    <n v="1"/>
    <n v="0"/>
    <n v="1"/>
    <n v="0"/>
    <n v="1"/>
    <n v="1"/>
    <s v="TA"/>
    <n v="3"/>
    <s v="Typ"/>
    <n v="0"/>
    <s v="NA"/>
    <s v="NA"/>
    <s v="NA"/>
    <s v="NA"/>
    <n v="0"/>
    <n v="0"/>
    <s v="NA"/>
    <s v="NA"/>
    <s v="Y"/>
    <n v="88"/>
    <n v="0"/>
    <n v="0"/>
    <n v="0"/>
    <n v="0"/>
    <n v="0"/>
    <s v="NA"/>
    <s v="NA"/>
    <s v="NA"/>
    <n v="0"/>
    <n v="6"/>
    <n v="2008"/>
    <s v="WD"/>
    <s v="Normal"/>
    <n v="81000"/>
  </r>
  <r>
    <n v="436"/>
    <n v="60"/>
    <s v="RL"/>
    <n v="43"/>
    <n v="10667"/>
    <s v="Pave"/>
    <s v="NA"/>
    <s v="IR2"/>
    <s v="Lvl"/>
    <s v="AllPub"/>
    <s v="CulDSac"/>
    <s v="Gtl"/>
    <x v="0"/>
    <x v="2"/>
    <s v="Norm"/>
    <x v="0"/>
    <x v="0"/>
    <n v="7"/>
    <n v="6"/>
    <x v="92"/>
    <n v="1996"/>
    <s v="Gable"/>
    <s v="CompShg"/>
    <s v="VinylSd"/>
    <s v="VinylSd"/>
    <s v="None"/>
    <n v="0"/>
    <s v="Gd"/>
    <s v="TA"/>
    <s v="PConc"/>
    <s v="Gd"/>
    <s v="TA"/>
    <s v="Av"/>
    <s v="GLQ"/>
    <n v="385"/>
    <s v="ALQ"/>
    <n v="344"/>
    <n v="70"/>
    <n v="799"/>
    <s v="GasA"/>
    <s v="Ex"/>
    <s v="Y"/>
    <s v="SBrkr"/>
    <n v="827"/>
    <n v="834"/>
    <n v="0"/>
    <x v="354"/>
    <n v="1"/>
    <n v="0"/>
    <n v="2"/>
    <n v="1"/>
    <n v="3"/>
    <n v="1"/>
    <s v="Gd"/>
    <n v="6"/>
    <s v="Typ"/>
    <n v="1"/>
    <s v="TA"/>
    <s v="Attchd"/>
    <n v="1996"/>
    <s v="RFn"/>
    <n v="2"/>
    <n v="550"/>
    <s v="TA"/>
    <s v="TA"/>
    <s v="Y"/>
    <n v="158"/>
    <n v="61"/>
    <n v="0"/>
    <n v="0"/>
    <n v="0"/>
    <n v="0"/>
    <s v="NA"/>
    <s v="NA"/>
    <s v="NA"/>
    <n v="0"/>
    <n v="4"/>
    <n v="2009"/>
    <s v="ConLw"/>
    <s v="Normal"/>
    <n v="212000"/>
  </r>
  <r>
    <n v="437"/>
    <n v="50"/>
    <s v="RM"/>
    <n v="40"/>
    <n v="4400"/>
    <s v="Pave"/>
    <s v="NA"/>
    <s v="Reg"/>
    <s v="Lvl"/>
    <s v="AllPub"/>
    <s v="Inside"/>
    <s v="Gtl"/>
    <x v="7"/>
    <x v="0"/>
    <s v="Norm"/>
    <x v="0"/>
    <x v="2"/>
    <n v="6"/>
    <n v="8"/>
    <x v="26"/>
    <n v="1950"/>
    <s v="Gable"/>
    <s v="CompShg"/>
    <s v="Stucco"/>
    <s v="Stucco"/>
    <s v="None"/>
    <n v="0"/>
    <s v="TA"/>
    <s v="TA"/>
    <s v="BrkTil"/>
    <s v="Fa"/>
    <s v="TA"/>
    <s v="No"/>
    <s v="Unf"/>
    <n v="0"/>
    <s v="Unf"/>
    <n v="0"/>
    <n v="648"/>
    <n v="648"/>
    <s v="GasA"/>
    <s v="TA"/>
    <s v="Y"/>
    <s v="FuseA"/>
    <n v="734"/>
    <n v="384"/>
    <n v="0"/>
    <x v="261"/>
    <n v="0"/>
    <n v="0"/>
    <n v="1"/>
    <n v="0"/>
    <n v="2"/>
    <n v="1"/>
    <s v="TA"/>
    <n v="6"/>
    <s v="Typ"/>
    <n v="0"/>
    <s v="NA"/>
    <s v="Detchd"/>
    <n v="1990"/>
    <s v="Unf"/>
    <n v="2"/>
    <n v="440"/>
    <s v="TA"/>
    <s v="TA"/>
    <s v="Y"/>
    <n v="0"/>
    <n v="0"/>
    <n v="0"/>
    <n v="0"/>
    <n v="0"/>
    <n v="0"/>
    <s v="NA"/>
    <s v="NA"/>
    <s v="NA"/>
    <n v="0"/>
    <n v="10"/>
    <n v="2006"/>
    <s v="WD"/>
    <s v="Normal"/>
    <n v="116000"/>
  </r>
  <r>
    <n v="438"/>
    <n v="45"/>
    <s v="RM"/>
    <n v="50"/>
    <n v="6000"/>
    <s v="Pave"/>
    <s v="NA"/>
    <s v="Reg"/>
    <s v="Lvl"/>
    <s v="AllPub"/>
    <s v="Inside"/>
    <s v="Gtl"/>
    <x v="8"/>
    <x v="0"/>
    <s v="Norm"/>
    <x v="0"/>
    <x v="3"/>
    <n v="6"/>
    <n v="7"/>
    <x v="69"/>
    <n v="2004"/>
    <s v="Gable"/>
    <s v="CompShg"/>
    <s v="Wd Sdng"/>
    <s v="Wd Sdng"/>
    <s v="None"/>
    <n v="0"/>
    <s v="Gd"/>
    <s v="TA"/>
    <s v="PConc"/>
    <s v="TA"/>
    <s v="TA"/>
    <s v="No"/>
    <s v="Unf"/>
    <n v="0"/>
    <s v="Unf"/>
    <n v="0"/>
    <n v="884"/>
    <n v="884"/>
    <s v="GasA"/>
    <s v="Gd"/>
    <s v="Y"/>
    <s v="SBrkr"/>
    <n v="904"/>
    <n v="0"/>
    <n v="0"/>
    <x v="310"/>
    <n v="0"/>
    <n v="0"/>
    <n v="1"/>
    <n v="0"/>
    <n v="2"/>
    <n v="1"/>
    <s v="TA"/>
    <n v="4"/>
    <s v="Typ"/>
    <n v="0"/>
    <s v="NA"/>
    <s v="Detchd"/>
    <n v="1926"/>
    <s v="Unf"/>
    <n v="1"/>
    <n v="180"/>
    <s v="TA"/>
    <s v="TA"/>
    <s v="Y"/>
    <n v="0"/>
    <n v="0"/>
    <n v="105"/>
    <n v="0"/>
    <n v="0"/>
    <n v="0"/>
    <s v="NA"/>
    <s v="NA"/>
    <s v="NA"/>
    <n v="0"/>
    <n v="1"/>
    <n v="2009"/>
    <s v="WD"/>
    <s v="Normal"/>
    <n v="119000"/>
  </r>
  <r>
    <n v="439"/>
    <n v="30"/>
    <s v="RL"/>
    <n v="40"/>
    <n v="4280"/>
    <s v="Pave"/>
    <s v="NA"/>
    <s v="Reg"/>
    <s v="Lvl"/>
    <s v="AllPub"/>
    <s v="Inside"/>
    <s v="Gtl"/>
    <x v="2"/>
    <x v="0"/>
    <s v="Norm"/>
    <x v="0"/>
    <x v="1"/>
    <n v="5"/>
    <n v="6"/>
    <x v="95"/>
    <n v="2002"/>
    <s v="Gable"/>
    <s v="CompShg"/>
    <s v="WdShing"/>
    <s v="Stucco"/>
    <s v="None"/>
    <n v="0"/>
    <s v="TA"/>
    <s v="TA"/>
    <s v="PConc"/>
    <s v="TA"/>
    <s v="TA"/>
    <s v="No"/>
    <s v="LwQ"/>
    <n v="365"/>
    <s v="Unf"/>
    <n v="0"/>
    <n v="75"/>
    <n v="440"/>
    <s v="GasA"/>
    <s v="TA"/>
    <s v="N"/>
    <s v="SBrkr"/>
    <n v="694"/>
    <n v="0"/>
    <n v="0"/>
    <x v="355"/>
    <n v="0"/>
    <n v="0"/>
    <n v="1"/>
    <n v="0"/>
    <n v="2"/>
    <n v="1"/>
    <s v="Gd"/>
    <n v="4"/>
    <s v="Typ"/>
    <n v="1"/>
    <s v="Gd"/>
    <s v="Detchd"/>
    <n v="1990"/>
    <s v="Unf"/>
    <n v="1"/>
    <n v="352"/>
    <s v="Gd"/>
    <s v="TA"/>
    <s v="P"/>
    <n v="0"/>
    <n v="0"/>
    <n v="34"/>
    <n v="0"/>
    <n v="0"/>
    <n v="0"/>
    <s v="NA"/>
    <s v="MnPrv"/>
    <s v="NA"/>
    <n v="0"/>
    <n v="3"/>
    <n v="2007"/>
    <s v="WD"/>
    <s v="Normal"/>
    <n v="90350"/>
  </r>
  <r>
    <n v="440"/>
    <n v="50"/>
    <s v="RL"/>
    <n v="67"/>
    <n v="12354"/>
    <s v="Pave"/>
    <s v="Grvl"/>
    <s v="Reg"/>
    <s v="Lvl"/>
    <s v="AllPub"/>
    <s v="Corner"/>
    <s v="Gtl"/>
    <x v="15"/>
    <x v="0"/>
    <s v="Norm"/>
    <x v="0"/>
    <x v="2"/>
    <n v="6"/>
    <n v="8"/>
    <x v="26"/>
    <n v="2000"/>
    <s v="Gable"/>
    <s v="CompShg"/>
    <s v="Wd Sdng"/>
    <s v="Wd Sdng"/>
    <s v="None"/>
    <n v="0"/>
    <s v="TA"/>
    <s v="TA"/>
    <s v="BrkTil"/>
    <s v="TA"/>
    <s v="Fa"/>
    <s v="Mn"/>
    <s v="Unf"/>
    <n v="0"/>
    <s v="Unf"/>
    <n v="0"/>
    <n v="684"/>
    <n v="684"/>
    <s v="GasA"/>
    <s v="Gd"/>
    <s v="Y"/>
    <s v="SBrkr"/>
    <n v="684"/>
    <n v="512"/>
    <n v="0"/>
    <x v="346"/>
    <n v="0"/>
    <n v="0"/>
    <n v="1"/>
    <n v="0"/>
    <n v="3"/>
    <n v="1"/>
    <s v="Gd"/>
    <n v="7"/>
    <s v="Typ"/>
    <n v="0"/>
    <s v="NA"/>
    <s v="Detchd"/>
    <n v="2005"/>
    <s v="Unf"/>
    <n v="2"/>
    <n v="528"/>
    <s v="TA"/>
    <s v="TA"/>
    <s v="Y"/>
    <n v="0"/>
    <n v="46"/>
    <n v="0"/>
    <n v="0"/>
    <n v="0"/>
    <n v="0"/>
    <s v="NA"/>
    <s v="GdPrv"/>
    <s v="Shed"/>
    <n v="800"/>
    <n v="8"/>
    <n v="2009"/>
    <s v="ConLI"/>
    <s v="Normal"/>
    <n v="110000"/>
  </r>
  <r>
    <n v="441"/>
    <n v="20"/>
    <s v="RL"/>
    <n v="105"/>
    <n v="15431"/>
    <s v="Pave"/>
    <s v="NA"/>
    <s v="Reg"/>
    <s v="Lvl"/>
    <s v="AllPub"/>
    <s v="Inside"/>
    <s v="Gtl"/>
    <x v="10"/>
    <x v="0"/>
    <s v="Norm"/>
    <x v="0"/>
    <x v="1"/>
    <n v="10"/>
    <n v="5"/>
    <x v="74"/>
    <n v="2008"/>
    <s v="Hip"/>
    <s v="CompShg"/>
    <s v="VinylSd"/>
    <s v="VinylSd"/>
    <s v="Stone"/>
    <n v="200"/>
    <s v="Ex"/>
    <s v="TA"/>
    <s v="PConc"/>
    <s v="Ex"/>
    <s v="TA"/>
    <s v="Gd"/>
    <s v="GLQ"/>
    <n v="1767"/>
    <s v="ALQ"/>
    <n v="539"/>
    <n v="788"/>
    <n v="3094"/>
    <s v="GasA"/>
    <s v="Ex"/>
    <s v="Y"/>
    <s v="SBrkr"/>
    <n v="2402"/>
    <n v="0"/>
    <n v="0"/>
    <x v="356"/>
    <n v="1"/>
    <n v="0"/>
    <n v="2"/>
    <n v="0"/>
    <n v="2"/>
    <n v="1"/>
    <s v="Ex"/>
    <n v="10"/>
    <s v="Typ"/>
    <n v="2"/>
    <s v="Gd"/>
    <s v="Attchd"/>
    <n v="2008"/>
    <s v="Fin"/>
    <n v="3"/>
    <n v="672"/>
    <s v="TA"/>
    <s v="TA"/>
    <s v="Y"/>
    <n v="0"/>
    <n v="72"/>
    <n v="0"/>
    <n v="0"/>
    <n v="170"/>
    <n v="0"/>
    <s v="NA"/>
    <s v="NA"/>
    <s v="NA"/>
    <n v="0"/>
    <n v="4"/>
    <n v="2009"/>
    <s v="WD"/>
    <s v="Normal"/>
    <n v="555000"/>
  </r>
  <r>
    <n v="442"/>
    <n v="90"/>
    <s v="RL"/>
    <n v="92"/>
    <n v="12108"/>
    <s v="Pave"/>
    <s v="NA"/>
    <s v="Reg"/>
    <s v="Lvl"/>
    <s v="AllPub"/>
    <s v="Inside"/>
    <s v="Gtl"/>
    <x v="15"/>
    <x v="0"/>
    <s v="Norm"/>
    <x v="2"/>
    <x v="1"/>
    <n v="4"/>
    <n v="4"/>
    <x v="32"/>
    <n v="1955"/>
    <s v="Gable"/>
    <s v="CompShg"/>
    <s v="VinylSd"/>
    <s v="VinylSd"/>
    <s v="BrkFace"/>
    <n v="270"/>
    <s v="TA"/>
    <s v="TA"/>
    <s v="CBlock"/>
    <s v="TA"/>
    <s v="TA"/>
    <s v="No"/>
    <s v="ALQ"/>
    <n v="133"/>
    <s v="Unf"/>
    <n v="0"/>
    <n v="1307"/>
    <n v="1440"/>
    <s v="GasA"/>
    <s v="TA"/>
    <s v="N"/>
    <s v="FuseF"/>
    <n v="1440"/>
    <n v="0"/>
    <n v="0"/>
    <x v="211"/>
    <n v="0"/>
    <n v="0"/>
    <n v="2"/>
    <n v="0"/>
    <n v="4"/>
    <n v="2"/>
    <s v="Fa"/>
    <n v="8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9"/>
    <n v="2008"/>
    <s v="WD"/>
    <s v="Normal"/>
    <n v="118000"/>
  </r>
  <r>
    <n v="443"/>
    <n v="50"/>
    <s v="RM"/>
    <n v="52"/>
    <n v="6240"/>
    <s v="Pave"/>
    <s v="NA"/>
    <s v="Reg"/>
    <s v="Lvl"/>
    <s v="AllPub"/>
    <s v="Inside"/>
    <s v="Gtl"/>
    <x v="8"/>
    <x v="0"/>
    <s v="Norm"/>
    <x v="0"/>
    <x v="2"/>
    <n v="5"/>
    <n v="7"/>
    <x v="19"/>
    <n v="1992"/>
    <s v="Gable"/>
    <s v="CompShg"/>
    <s v="MetalSd"/>
    <s v="MetalSd"/>
    <s v="None"/>
    <n v="0"/>
    <s v="TA"/>
    <s v="TA"/>
    <s v="PConc"/>
    <s v="TA"/>
    <s v="TA"/>
    <s v="No"/>
    <s v="Unf"/>
    <n v="0"/>
    <s v="Unf"/>
    <n v="0"/>
    <n v="1078"/>
    <n v="1078"/>
    <s v="GasA"/>
    <s v="TA"/>
    <s v="Y"/>
    <s v="SBrkr"/>
    <n v="1128"/>
    <n v="445"/>
    <n v="0"/>
    <x v="357"/>
    <n v="0"/>
    <n v="0"/>
    <n v="2"/>
    <n v="0"/>
    <n v="3"/>
    <n v="1"/>
    <s v="TA"/>
    <n v="8"/>
    <s v="Typ"/>
    <n v="1"/>
    <s v="Gd"/>
    <s v="Detchd"/>
    <n v="1930"/>
    <s v="Unf"/>
    <n v="2"/>
    <n v="360"/>
    <s v="TA"/>
    <s v="TA"/>
    <s v="P"/>
    <n v="0"/>
    <n v="0"/>
    <n v="0"/>
    <n v="0"/>
    <n v="0"/>
    <n v="0"/>
    <s v="NA"/>
    <s v="NA"/>
    <s v="NA"/>
    <n v="0"/>
    <n v="6"/>
    <n v="2008"/>
    <s v="WD"/>
    <s v="Normal"/>
    <n v="162900"/>
  </r>
  <r>
    <n v="444"/>
    <n v="120"/>
    <s v="RL"/>
    <n v="53"/>
    <n v="3922"/>
    <s v="Pave"/>
    <s v="NA"/>
    <s v="Reg"/>
    <s v="Lvl"/>
    <s v="AllPub"/>
    <s v="Inside"/>
    <s v="Gtl"/>
    <x v="21"/>
    <x v="0"/>
    <s v="Norm"/>
    <x v="3"/>
    <x v="1"/>
    <n v="7"/>
    <n v="5"/>
    <x v="13"/>
    <n v="2007"/>
    <s v="Gable"/>
    <s v="CompShg"/>
    <s v="WdShing"/>
    <s v="Wd Shng"/>
    <s v="BrkFace"/>
    <n v="72"/>
    <s v="Gd"/>
    <s v="TA"/>
    <s v="PConc"/>
    <s v="Ex"/>
    <s v="TA"/>
    <s v="Av"/>
    <s v="Unf"/>
    <n v="0"/>
    <s v="Unf"/>
    <n v="0"/>
    <n v="1258"/>
    <n v="1258"/>
    <s v="GasA"/>
    <s v="Ex"/>
    <s v="Y"/>
    <s v="SBrkr"/>
    <n v="1258"/>
    <n v="0"/>
    <n v="0"/>
    <x v="358"/>
    <n v="0"/>
    <n v="0"/>
    <n v="2"/>
    <n v="0"/>
    <n v="2"/>
    <n v="1"/>
    <s v="Gd"/>
    <n v="6"/>
    <s v="Typ"/>
    <n v="1"/>
    <s v="Gd"/>
    <s v="Attchd"/>
    <n v="2007"/>
    <s v="Fin"/>
    <n v="3"/>
    <n v="648"/>
    <s v="TA"/>
    <s v="TA"/>
    <s v="Y"/>
    <n v="144"/>
    <n v="16"/>
    <n v="0"/>
    <n v="0"/>
    <n v="0"/>
    <n v="0"/>
    <s v="NA"/>
    <s v="NA"/>
    <s v="NA"/>
    <n v="0"/>
    <n v="6"/>
    <n v="2007"/>
    <s v="New"/>
    <s v="Partial"/>
    <n v="172500"/>
  </r>
  <r>
    <n v="445"/>
    <n v="60"/>
    <s v="RL"/>
    <n v="70"/>
    <n v="8750"/>
    <s v="Pave"/>
    <s v="NA"/>
    <s v="Reg"/>
    <s v="Lvl"/>
    <s v="AllPub"/>
    <s v="Inside"/>
    <s v="Gtl"/>
    <x v="0"/>
    <x v="0"/>
    <s v="Norm"/>
    <x v="0"/>
    <x v="0"/>
    <n v="7"/>
    <n v="5"/>
    <x v="29"/>
    <n v="1995"/>
    <s v="Gable"/>
    <s v="CompShg"/>
    <s v="VinylSd"/>
    <s v="VinylSd"/>
    <s v="None"/>
    <n v="0"/>
    <s v="Gd"/>
    <s v="Gd"/>
    <s v="PConc"/>
    <s v="Gd"/>
    <s v="TA"/>
    <s v="No"/>
    <s v="GLQ"/>
    <n v="642"/>
    <s v="Unf"/>
    <n v="0"/>
    <n v="273"/>
    <n v="915"/>
    <s v="GasA"/>
    <s v="Ex"/>
    <s v="Y"/>
    <s v="SBrkr"/>
    <n v="933"/>
    <n v="975"/>
    <n v="0"/>
    <x v="286"/>
    <n v="1"/>
    <n v="0"/>
    <n v="2"/>
    <n v="1"/>
    <n v="4"/>
    <n v="1"/>
    <s v="Gd"/>
    <n v="8"/>
    <s v="Typ"/>
    <n v="1"/>
    <s v="TA"/>
    <s v="Attchd"/>
    <n v="1994"/>
    <s v="Unf"/>
    <n v="2"/>
    <n v="493"/>
    <s v="TA"/>
    <s v="TA"/>
    <s v="Y"/>
    <n v="144"/>
    <n v="133"/>
    <n v="0"/>
    <n v="0"/>
    <n v="0"/>
    <n v="0"/>
    <s v="NA"/>
    <s v="NA"/>
    <s v="NA"/>
    <n v="0"/>
    <n v="7"/>
    <n v="2008"/>
    <s v="WD"/>
    <s v="Normal"/>
    <n v="210000"/>
  </r>
  <r>
    <n v="446"/>
    <n v="20"/>
    <s v="RL"/>
    <n v="73"/>
    <n v="9855"/>
    <s v="Pave"/>
    <s v="NA"/>
    <s v="Reg"/>
    <s v="Lvl"/>
    <s v="AllPub"/>
    <s v="Corner"/>
    <s v="Gtl"/>
    <x v="15"/>
    <x v="0"/>
    <s v="Norm"/>
    <x v="0"/>
    <x v="1"/>
    <n v="6"/>
    <n v="5"/>
    <x v="46"/>
    <n v="1956"/>
    <s v="Hip"/>
    <s v="CompShg"/>
    <s v="Wd Sdng"/>
    <s v="Wd Sdng"/>
    <s v="None"/>
    <n v="0"/>
    <s v="TA"/>
    <s v="TA"/>
    <s v="CBlock"/>
    <s v="TA"/>
    <s v="TA"/>
    <s v="No"/>
    <s v="Unf"/>
    <n v="0"/>
    <s v="Unf"/>
    <n v="0"/>
    <n v="1436"/>
    <n v="1436"/>
    <s v="GasA"/>
    <s v="Fa"/>
    <s v="Y"/>
    <s v="SBrkr"/>
    <n v="1689"/>
    <n v="0"/>
    <n v="0"/>
    <x v="359"/>
    <n v="0"/>
    <n v="0"/>
    <n v="1"/>
    <n v="0"/>
    <n v="3"/>
    <n v="1"/>
    <s v="TA"/>
    <n v="7"/>
    <s v="Typ"/>
    <n v="1"/>
    <s v="Gd"/>
    <s v="Attchd"/>
    <n v="1956"/>
    <s v="Unf"/>
    <n v="2"/>
    <n v="480"/>
    <s v="TA"/>
    <s v="TA"/>
    <s v="Y"/>
    <n v="0"/>
    <n v="0"/>
    <n v="0"/>
    <n v="0"/>
    <n v="0"/>
    <n v="0"/>
    <s v="NA"/>
    <s v="MnPrv"/>
    <s v="NA"/>
    <n v="0"/>
    <n v="11"/>
    <n v="2009"/>
    <s v="COD"/>
    <s v="Normal"/>
    <n v="127500"/>
  </r>
  <r>
    <n v="447"/>
    <n v="20"/>
    <s v="RL"/>
    <n v="137"/>
    <n v="16492"/>
    <s v="Pave"/>
    <s v="NA"/>
    <s v="IR1"/>
    <s v="Lvl"/>
    <s v="AllPub"/>
    <s v="Corner"/>
    <s v="Gtl"/>
    <x v="11"/>
    <x v="7"/>
    <s v="Norm"/>
    <x v="0"/>
    <x v="1"/>
    <n v="6"/>
    <n v="6"/>
    <x v="27"/>
    <n v="2002"/>
    <s v="Gable"/>
    <s v="CompShg"/>
    <s v="BrkFace"/>
    <s v="Plywood"/>
    <s v="None"/>
    <n v="0"/>
    <s v="Gd"/>
    <s v="TA"/>
    <s v="CBlock"/>
    <s v="TA"/>
    <s v="TA"/>
    <s v="No"/>
    <s v="ALQ"/>
    <n v="247"/>
    <s v="Rec"/>
    <n v="713"/>
    <n v="557"/>
    <n v="1517"/>
    <s v="GasA"/>
    <s v="Ex"/>
    <s v="Y"/>
    <s v="SBrkr"/>
    <n v="1888"/>
    <n v="0"/>
    <n v="0"/>
    <x v="360"/>
    <n v="0"/>
    <n v="0"/>
    <n v="2"/>
    <n v="1"/>
    <n v="2"/>
    <n v="1"/>
    <s v="Gd"/>
    <n v="6"/>
    <s v="Mod"/>
    <n v="1"/>
    <s v="Gd"/>
    <s v="Attchd"/>
    <n v="1966"/>
    <s v="Fin"/>
    <n v="2"/>
    <n v="578"/>
    <s v="TA"/>
    <s v="TA"/>
    <s v="Y"/>
    <n v="0"/>
    <n v="0"/>
    <n v="0"/>
    <n v="0"/>
    <n v="0"/>
    <n v="0"/>
    <s v="NA"/>
    <s v="NA"/>
    <s v="NA"/>
    <n v="0"/>
    <n v="6"/>
    <n v="2010"/>
    <s v="WD"/>
    <s v="Normal"/>
    <n v="190000"/>
  </r>
  <r>
    <n v="448"/>
    <n v="60"/>
    <s v="RL"/>
    <s v="NA"/>
    <n v="11214"/>
    <s v="Pave"/>
    <s v="NA"/>
    <s v="IR1"/>
    <s v="Lvl"/>
    <s v="AllPub"/>
    <s v="Corner"/>
    <s v="Gtl"/>
    <x v="17"/>
    <x v="0"/>
    <s v="Norm"/>
    <x v="0"/>
    <x v="0"/>
    <n v="7"/>
    <n v="5"/>
    <x v="45"/>
    <n v="1999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930"/>
    <n v="930"/>
    <s v="GasA"/>
    <s v="Gd"/>
    <s v="Y"/>
    <s v="SBrkr"/>
    <n v="956"/>
    <n v="930"/>
    <n v="0"/>
    <x v="361"/>
    <n v="0"/>
    <n v="0"/>
    <n v="2"/>
    <n v="1"/>
    <n v="4"/>
    <n v="1"/>
    <s v="Gd"/>
    <n v="10"/>
    <s v="Typ"/>
    <n v="1"/>
    <s v="TA"/>
    <s v="Attchd"/>
    <n v="1998"/>
    <s v="Fin"/>
    <n v="2"/>
    <n v="431"/>
    <s v="TA"/>
    <s v="TA"/>
    <s v="Y"/>
    <n v="89"/>
    <n v="0"/>
    <n v="0"/>
    <n v="0"/>
    <n v="0"/>
    <n v="0"/>
    <s v="NA"/>
    <s v="NA"/>
    <s v="NA"/>
    <n v="0"/>
    <n v="7"/>
    <n v="2006"/>
    <s v="WD"/>
    <s v="Normal"/>
    <n v="199900"/>
  </r>
  <r>
    <n v="449"/>
    <n v="50"/>
    <s v="RM"/>
    <n v="50"/>
    <n v="8600"/>
    <s v="Pave"/>
    <s v="NA"/>
    <s v="Reg"/>
    <s v="Bnk"/>
    <s v="AllPub"/>
    <s v="Inside"/>
    <s v="Gtl"/>
    <x v="13"/>
    <x v="0"/>
    <s v="Norm"/>
    <x v="0"/>
    <x v="2"/>
    <n v="6"/>
    <n v="6"/>
    <x v="96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780"/>
    <n v="780"/>
    <s v="GasA"/>
    <s v="TA"/>
    <s v="Y"/>
    <s v="SBrkr"/>
    <n v="780"/>
    <n v="596"/>
    <n v="0"/>
    <x v="362"/>
    <n v="0"/>
    <n v="0"/>
    <n v="2"/>
    <n v="0"/>
    <n v="3"/>
    <n v="1"/>
    <s v="TA"/>
    <n v="7"/>
    <s v="Typ"/>
    <n v="1"/>
    <s v="Gd"/>
    <s v="Detchd"/>
    <n v="1937"/>
    <s v="Unf"/>
    <n v="1"/>
    <n v="198"/>
    <s v="TA"/>
    <s v="TA"/>
    <s v="N"/>
    <n v="0"/>
    <n v="0"/>
    <n v="0"/>
    <n v="0"/>
    <n v="0"/>
    <n v="0"/>
    <s v="NA"/>
    <s v="NA"/>
    <s v="NA"/>
    <n v="0"/>
    <n v="6"/>
    <n v="2006"/>
    <s v="WD"/>
    <s v="Normal"/>
    <n v="119500"/>
  </r>
  <r>
    <n v="450"/>
    <n v="50"/>
    <s v="RM"/>
    <n v="50"/>
    <n v="6000"/>
    <s v="Pave"/>
    <s v="NA"/>
    <s v="Reg"/>
    <s v="Lvl"/>
    <s v="AllPub"/>
    <s v="Inside"/>
    <s v="Gtl"/>
    <x v="7"/>
    <x v="0"/>
    <s v="Norm"/>
    <x v="0"/>
    <x v="2"/>
    <n v="3"/>
    <n v="7"/>
    <x v="47"/>
    <n v="2002"/>
    <s v="Gable"/>
    <s v="CompShg"/>
    <s v="MetalSd"/>
    <s v="MetalSd"/>
    <s v="None"/>
    <n v="0"/>
    <s v="TA"/>
    <s v="Gd"/>
    <s v="CBlock"/>
    <s v="TA"/>
    <s v="TA"/>
    <s v="No"/>
    <s v="ALQ"/>
    <n v="331"/>
    <s v="Unf"/>
    <n v="0"/>
    <n v="318"/>
    <n v="649"/>
    <s v="GasA"/>
    <s v="Ex"/>
    <s v="Y"/>
    <s v="SBrkr"/>
    <n v="679"/>
    <n v="504"/>
    <n v="0"/>
    <x v="363"/>
    <n v="0"/>
    <n v="0"/>
    <n v="1"/>
    <n v="1"/>
    <n v="2"/>
    <n v="1"/>
    <s v="TA"/>
    <n v="6"/>
    <s v="Typ"/>
    <n v="0"/>
    <s v="NA"/>
    <s v="Detchd"/>
    <n v="1981"/>
    <s v="Unf"/>
    <n v="1"/>
    <n v="308"/>
    <s v="TA"/>
    <s v="TA"/>
    <s v="Y"/>
    <n v="0"/>
    <n v="176"/>
    <n v="0"/>
    <n v="0"/>
    <n v="0"/>
    <n v="0"/>
    <s v="NA"/>
    <s v="NA"/>
    <s v="NA"/>
    <n v="0"/>
    <n v="6"/>
    <n v="2007"/>
    <s v="WD"/>
    <s v="Normal"/>
    <n v="120000"/>
  </r>
  <r>
    <n v="451"/>
    <n v="30"/>
    <s v="RM"/>
    <n v="70"/>
    <n v="5684"/>
    <s v="Pave"/>
    <s v="NA"/>
    <s v="Reg"/>
    <s v="Lvl"/>
    <s v="AllPub"/>
    <s v="Inside"/>
    <s v="Gtl"/>
    <x v="7"/>
    <x v="0"/>
    <s v="Norm"/>
    <x v="0"/>
    <x v="1"/>
    <n v="6"/>
    <n v="8"/>
    <x v="19"/>
    <n v="2005"/>
    <s v="Hip"/>
    <s v="CompShg"/>
    <s v="Wd Sdng"/>
    <s v="Wd Sdng"/>
    <s v="None"/>
    <n v="0"/>
    <s v="TA"/>
    <s v="TA"/>
    <s v="BrkTil"/>
    <s v="TA"/>
    <s v="TA"/>
    <s v="No"/>
    <s v="Unf"/>
    <n v="0"/>
    <s v="Unf"/>
    <n v="0"/>
    <n v="813"/>
    <n v="813"/>
    <s v="GasA"/>
    <s v="Ex"/>
    <s v="Y"/>
    <s v="FuseA"/>
    <n v="813"/>
    <n v="0"/>
    <n v="0"/>
    <x v="364"/>
    <n v="0"/>
    <n v="0"/>
    <n v="1"/>
    <n v="0"/>
    <n v="2"/>
    <n v="1"/>
    <s v="Gd"/>
    <n v="5"/>
    <s v="Typ"/>
    <n v="0"/>
    <s v="NA"/>
    <s v="Detchd"/>
    <n v="1932"/>
    <s v="Unf"/>
    <n v="1"/>
    <n v="270"/>
    <s v="Fa"/>
    <s v="Fa"/>
    <s v="N"/>
    <n v="0"/>
    <n v="113"/>
    <n v="0"/>
    <n v="0"/>
    <n v="0"/>
    <n v="0"/>
    <s v="NA"/>
    <s v="NA"/>
    <s v="NA"/>
    <n v="0"/>
    <n v="6"/>
    <n v="2006"/>
    <s v="WD"/>
    <s v="Normal"/>
    <n v="110000"/>
  </r>
  <r>
    <n v="452"/>
    <n v="20"/>
    <s v="RL"/>
    <n v="62"/>
    <n v="70761"/>
    <s v="Pave"/>
    <s v="NA"/>
    <s v="IR1"/>
    <s v="Low"/>
    <s v="AllPub"/>
    <s v="Inside"/>
    <s v="Mod"/>
    <x v="19"/>
    <x v="0"/>
    <s v="Norm"/>
    <x v="0"/>
    <x v="1"/>
    <n v="7"/>
    <n v="5"/>
    <x v="34"/>
    <n v="1975"/>
    <s v="Gable"/>
    <s v="WdShngl"/>
    <s v="Plywood"/>
    <s v="Plywood"/>
    <s v="None"/>
    <n v="0"/>
    <s v="TA"/>
    <s v="TA"/>
    <s v="CBlock"/>
    <s v="Gd"/>
    <s v="TA"/>
    <s v="Gd"/>
    <s v="ALQ"/>
    <n v="655"/>
    <s v="Unf"/>
    <n v="0"/>
    <n v="878"/>
    <n v="1533"/>
    <s v="GasA"/>
    <s v="TA"/>
    <s v="Y"/>
    <s v="SBrkr"/>
    <n v="1533"/>
    <n v="0"/>
    <n v="0"/>
    <x v="365"/>
    <n v="1"/>
    <n v="0"/>
    <n v="2"/>
    <n v="0"/>
    <n v="2"/>
    <n v="1"/>
    <s v="Gd"/>
    <n v="5"/>
    <s v="Typ"/>
    <n v="2"/>
    <s v="TA"/>
    <s v="Attchd"/>
    <n v="1975"/>
    <s v="Unf"/>
    <n v="2"/>
    <n v="576"/>
    <s v="TA"/>
    <s v="TA"/>
    <s v="Y"/>
    <n v="200"/>
    <n v="54"/>
    <n v="0"/>
    <n v="0"/>
    <n v="0"/>
    <n v="0"/>
    <s v="NA"/>
    <s v="NA"/>
    <s v="NA"/>
    <n v="0"/>
    <n v="12"/>
    <n v="2006"/>
    <s v="WD"/>
    <s v="Normal"/>
    <n v="280000"/>
  </r>
  <r>
    <n v="453"/>
    <n v="60"/>
    <s v="RL"/>
    <s v="NA"/>
    <n v="9303"/>
    <s v="Pave"/>
    <s v="NA"/>
    <s v="IR1"/>
    <s v="Lvl"/>
    <s v="AllPub"/>
    <s v="Corner"/>
    <s v="Gtl"/>
    <x v="16"/>
    <x v="0"/>
    <s v="Norm"/>
    <x v="0"/>
    <x v="0"/>
    <n v="6"/>
    <n v="5"/>
    <x v="92"/>
    <n v="1997"/>
    <s v="Hip"/>
    <s v="CompShg"/>
    <s v="VinylSd"/>
    <s v="VinylSd"/>
    <s v="BrkFace"/>
    <n v="42"/>
    <s v="Gd"/>
    <s v="TA"/>
    <s v="PConc"/>
    <s v="Ex"/>
    <s v="TA"/>
    <s v="No"/>
    <s v="ALQ"/>
    <n v="742"/>
    <s v="Unf"/>
    <n v="0"/>
    <n v="130"/>
    <n v="872"/>
    <s v="GasA"/>
    <s v="Ex"/>
    <s v="Y"/>
    <s v="SBrkr"/>
    <n v="888"/>
    <n v="868"/>
    <n v="0"/>
    <x v="366"/>
    <n v="1"/>
    <n v="0"/>
    <n v="2"/>
    <n v="1"/>
    <n v="3"/>
    <n v="1"/>
    <s v="TA"/>
    <n v="7"/>
    <s v="Typ"/>
    <n v="0"/>
    <s v="NA"/>
    <s v="Attchd"/>
    <n v="1996"/>
    <s v="Fin"/>
    <n v="2"/>
    <n v="422"/>
    <s v="TA"/>
    <s v="TA"/>
    <s v="Y"/>
    <n v="144"/>
    <n v="122"/>
    <n v="0"/>
    <n v="0"/>
    <n v="0"/>
    <n v="0"/>
    <s v="NA"/>
    <s v="NA"/>
    <s v="NA"/>
    <n v="0"/>
    <n v="7"/>
    <n v="2007"/>
    <s v="WD"/>
    <s v="Normal"/>
    <n v="204000"/>
  </r>
  <r>
    <n v="454"/>
    <n v="60"/>
    <s v="FV"/>
    <n v="75"/>
    <n v="9000"/>
    <s v="Pave"/>
    <s v="NA"/>
    <s v="Reg"/>
    <s v="Lvl"/>
    <s v="AllPub"/>
    <s v="Inside"/>
    <s v="Gtl"/>
    <x v="5"/>
    <x v="0"/>
    <s v="Norm"/>
    <x v="0"/>
    <x v="0"/>
    <n v="8"/>
    <n v="5"/>
    <x v="74"/>
    <n v="2008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68"/>
    <n v="768"/>
    <s v="GasA"/>
    <s v="Ex"/>
    <s v="Y"/>
    <s v="SBrkr"/>
    <n v="786"/>
    <n v="804"/>
    <n v="0"/>
    <x v="367"/>
    <n v="0"/>
    <n v="0"/>
    <n v="2"/>
    <n v="1"/>
    <n v="3"/>
    <n v="1"/>
    <s v="Gd"/>
    <n v="6"/>
    <s v="Typ"/>
    <n v="0"/>
    <s v="NA"/>
    <s v="Attchd"/>
    <n v="2008"/>
    <s v="RFn"/>
    <n v="2"/>
    <n v="676"/>
    <s v="TA"/>
    <s v="TA"/>
    <s v="Y"/>
    <n v="0"/>
    <n v="30"/>
    <n v="0"/>
    <n v="0"/>
    <n v="0"/>
    <n v="0"/>
    <s v="NA"/>
    <s v="NA"/>
    <s v="NA"/>
    <n v="0"/>
    <n v="6"/>
    <n v="2009"/>
    <s v="WD"/>
    <s v="Normal"/>
    <n v="210000"/>
  </r>
  <r>
    <n v="455"/>
    <n v="90"/>
    <s v="RL"/>
    <n v="63"/>
    <n v="9297"/>
    <s v="Pave"/>
    <s v="NA"/>
    <s v="Reg"/>
    <s v="Lvl"/>
    <s v="AllPub"/>
    <s v="Inside"/>
    <s v="Gtl"/>
    <x v="4"/>
    <x v="0"/>
    <s v="Norm"/>
    <x v="2"/>
    <x v="1"/>
    <n v="5"/>
    <n v="5"/>
    <x v="1"/>
    <n v="1976"/>
    <s v="Gable"/>
    <s v="CompShg"/>
    <s v="Plywood"/>
    <s v="Plywood"/>
    <s v="None"/>
    <n v="0"/>
    <s v="TA"/>
    <s v="TA"/>
    <s v="CBlock"/>
    <s v="TA"/>
    <s v="TA"/>
    <s v="No"/>
    <s v="ALQ"/>
    <n v="1606"/>
    <s v="Unf"/>
    <n v="0"/>
    <n v="122"/>
    <n v="1728"/>
    <s v="GasA"/>
    <s v="TA"/>
    <s v="Y"/>
    <s v="SBrkr"/>
    <n v="1728"/>
    <n v="0"/>
    <n v="0"/>
    <x v="136"/>
    <n v="2"/>
    <n v="0"/>
    <n v="2"/>
    <n v="0"/>
    <n v="4"/>
    <n v="2"/>
    <s v="TA"/>
    <n v="8"/>
    <s v="Typ"/>
    <n v="0"/>
    <s v="NA"/>
    <s v="Detchd"/>
    <n v="1976"/>
    <s v="Unf"/>
    <n v="2"/>
    <n v="560"/>
    <s v="TA"/>
    <s v="TA"/>
    <s v="Y"/>
    <n v="0"/>
    <n v="0"/>
    <n v="0"/>
    <n v="0"/>
    <n v="0"/>
    <n v="0"/>
    <s v="NA"/>
    <s v="NA"/>
    <s v="NA"/>
    <n v="0"/>
    <n v="7"/>
    <n v="2006"/>
    <s v="WD"/>
    <s v="Family"/>
    <n v="188000"/>
  </r>
  <r>
    <n v="456"/>
    <n v="20"/>
    <s v="RL"/>
    <n v="80"/>
    <n v="9600"/>
    <s v="Pave"/>
    <s v="NA"/>
    <s v="Reg"/>
    <s v="Lvl"/>
    <s v="AllPub"/>
    <s v="Inside"/>
    <s v="Gtl"/>
    <x v="6"/>
    <x v="0"/>
    <s v="Norm"/>
    <x v="0"/>
    <x v="1"/>
    <n v="7"/>
    <n v="6"/>
    <x v="7"/>
    <n v="1973"/>
    <s v="Hip"/>
    <s v="CompShg"/>
    <s v="HdBoard"/>
    <s v="HdBoard"/>
    <s v="BrkFace"/>
    <n v="320"/>
    <s v="TA"/>
    <s v="TA"/>
    <s v="CBlock"/>
    <s v="TA"/>
    <s v="TA"/>
    <s v="No"/>
    <s v="ALQ"/>
    <n v="916"/>
    <s v="Unf"/>
    <n v="0"/>
    <n v="326"/>
    <n v="1242"/>
    <s v="GasA"/>
    <s v="Fa"/>
    <s v="Y"/>
    <s v="SBrkr"/>
    <n v="1242"/>
    <n v="0"/>
    <n v="0"/>
    <x v="368"/>
    <n v="0"/>
    <n v="0"/>
    <n v="1"/>
    <n v="1"/>
    <n v="3"/>
    <n v="1"/>
    <s v="TA"/>
    <n v="6"/>
    <s v="Typ"/>
    <n v="1"/>
    <s v="TA"/>
    <s v="Attchd"/>
    <n v="1973"/>
    <s v="Unf"/>
    <n v="2"/>
    <n v="528"/>
    <s v="TA"/>
    <s v="TA"/>
    <s v="Y"/>
    <n v="0"/>
    <n v="0"/>
    <n v="0"/>
    <n v="0"/>
    <n v="0"/>
    <n v="0"/>
    <s v="NA"/>
    <s v="NA"/>
    <s v="NA"/>
    <n v="0"/>
    <n v="9"/>
    <n v="2007"/>
    <s v="WD"/>
    <s v="Normal"/>
    <n v="175500"/>
  </r>
  <r>
    <n v="457"/>
    <n v="70"/>
    <s v="RM"/>
    <n v="34"/>
    <n v="4571"/>
    <s v="Pave"/>
    <s v="Grvl"/>
    <s v="Reg"/>
    <s v="Lvl"/>
    <s v="AllPub"/>
    <s v="Inside"/>
    <s v="Gtl"/>
    <x v="7"/>
    <x v="0"/>
    <s v="Norm"/>
    <x v="0"/>
    <x v="0"/>
    <n v="5"/>
    <n v="5"/>
    <x v="77"/>
    <n v="1950"/>
    <s v="Gable"/>
    <s v="CompShg"/>
    <s v="AsbShng"/>
    <s v="AsbShng"/>
    <s v="None"/>
    <n v="0"/>
    <s v="TA"/>
    <s v="TA"/>
    <s v="BrkTil"/>
    <s v="TA"/>
    <s v="TA"/>
    <s v="No"/>
    <s v="Unf"/>
    <n v="0"/>
    <s v="Unf"/>
    <n v="0"/>
    <n v="624"/>
    <n v="624"/>
    <s v="GasA"/>
    <s v="Fa"/>
    <s v="N"/>
    <s v="SBrkr"/>
    <n v="624"/>
    <n v="720"/>
    <n v="0"/>
    <x v="140"/>
    <n v="0"/>
    <n v="0"/>
    <n v="1"/>
    <n v="0"/>
    <n v="4"/>
    <n v="1"/>
    <s v="TA"/>
    <n v="7"/>
    <s v="Typ"/>
    <n v="0"/>
    <s v="NA"/>
    <s v="Detchd"/>
    <n v="1916"/>
    <s v="Unf"/>
    <n v="3"/>
    <n v="513"/>
    <s v="Fa"/>
    <s v="Fa"/>
    <s v="Y"/>
    <n v="0"/>
    <n v="0"/>
    <n v="96"/>
    <n v="0"/>
    <n v="0"/>
    <n v="0"/>
    <s v="NA"/>
    <s v="NA"/>
    <s v="NA"/>
    <n v="0"/>
    <n v="5"/>
    <n v="2008"/>
    <s v="COD"/>
    <s v="Abnorml"/>
    <n v="98000"/>
  </r>
  <r>
    <n v="458"/>
    <n v="20"/>
    <s v="RL"/>
    <s v="NA"/>
    <n v="53227"/>
    <s v="Pave"/>
    <s v="NA"/>
    <s v="IR1"/>
    <s v="Low"/>
    <s v="AllPub"/>
    <s v="CulDSac"/>
    <s v="Mod"/>
    <x v="19"/>
    <x v="0"/>
    <s v="Norm"/>
    <x v="0"/>
    <x v="1"/>
    <n v="4"/>
    <n v="6"/>
    <x v="30"/>
    <n v="1994"/>
    <s v="Flat"/>
    <s v="Tar&amp;Grv"/>
    <s v="Plywood"/>
    <s v="Plywood"/>
    <s v="None"/>
    <n v="0"/>
    <s v="TA"/>
    <s v="TA"/>
    <s v="CBlock"/>
    <s v="Gd"/>
    <s v="TA"/>
    <s v="Gd"/>
    <s v="BLQ"/>
    <n v="1116"/>
    <s v="Unf"/>
    <n v="0"/>
    <n v="248"/>
    <n v="1364"/>
    <s v="GasA"/>
    <s v="Ex"/>
    <s v="Y"/>
    <s v="SBrkr"/>
    <n v="1663"/>
    <n v="0"/>
    <n v="0"/>
    <x v="369"/>
    <n v="1"/>
    <n v="0"/>
    <n v="1"/>
    <n v="0"/>
    <n v="2"/>
    <n v="1"/>
    <s v="Gd"/>
    <n v="6"/>
    <s v="Min1"/>
    <n v="2"/>
    <s v="Gd"/>
    <s v="Attchd"/>
    <n v="1954"/>
    <s v="Fin"/>
    <n v="2"/>
    <n v="529"/>
    <s v="TA"/>
    <s v="TA"/>
    <s v="Y"/>
    <n v="224"/>
    <n v="137"/>
    <n v="0"/>
    <n v="0"/>
    <n v="0"/>
    <n v="0"/>
    <s v="NA"/>
    <s v="NA"/>
    <s v="NA"/>
    <n v="0"/>
    <n v="3"/>
    <n v="2008"/>
    <s v="WD"/>
    <s v="Normal"/>
    <n v="256000"/>
  </r>
  <r>
    <n v="459"/>
    <n v="70"/>
    <s v="RM"/>
    <s v="NA"/>
    <n v="5100"/>
    <s v="Pave"/>
    <s v="Grvl"/>
    <s v="Reg"/>
    <s v="Lvl"/>
    <s v="AllPub"/>
    <s v="Inside"/>
    <s v="Gtl"/>
    <x v="7"/>
    <x v="0"/>
    <s v="Norm"/>
    <x v="0"/>
    <x v="0"/>
    <n v="8"/>
    <n v="7"/>
    <x v="82"/>
    <n v="1996"/>
    <s v="Hip"/>
    <s v="CompShg"/>
    <s v="Stucco"/>
    <s v="Wd Shng"/>
    <s v="None"/>
    <n v="0"/>
    <s v="TA"/>
    <s v="Gd"/>
    <s v="PConc"/>
    <s v="TA"/>
    <s v="TA"/>
    <s v="No"/>
    <s v="Unf"/>
    <n v="0"/>
    <s v="Unf"/>
    <n v="0"/>
    <n v="588"/>
    <n v="588"/>
    <s v="GasA"/>
    <s v="Fa"/>
    <s v="Y"/>
    <s v="SBrkr"/>
    <n v="833"/>
    <n v="833"/>
    <n v="0"/>
    <x v="370"/>
    <n v="0"/>
    <n v="0"/>
    <n v="1"/>
    <n v="0"/>
    <n v="3"/>
    <n v="1"/>
    <s v="Gd"/>
    <n v="7"/>
    <s v="Typ"/>
    <n v="1"/>
    <s v="Gd"/>
    <s v="Detchd"/>
    <n v="1925"/>
    <s v="Unf"/>
    <n v="1"/>
    <n v="228"/>
    <s v="TA"/>
    <s v="TA"/>
    <s v="Y"/>
    <n v="192"/>
    <n v="63"/>
    <n v="0"/>
    <n v="0"/>
    <n v="0"/>
    <n v="0"/>
    <s v="NA"/>
    <s v="MnPrv"/>
    <s v="NA"/>
    <n v="0"/>
    <n v="6"/>
    <n v="2008"/>
    <s v="WD"/>
    <s v="Normal"/>
    <n v="161000"/>
  </r>
  <r>
    <n v="460"/>
    <n v="50"/>
    <s v="RL"/>
    <s v="NA"/>
    <n v="7015"/>
    <s v="Pave"/>
    <s v="NA"/>
    <s v="IR1"/>
    <s v="Bnk"/>
    <s v="AllPub"/>
    <s v="Corner"/>
    <s v="Gtl"/>
    <x v="8"/>
    <x v="0"/>
    <s v="Norm"/>
    <x v="0"/>
    <x v="2"/>
    <n v="5"/>
    <n v="4"/>
    <x v="52"/>
    <n v="1950"/>
    <s v="Gable"/>
    <s v="CompShg"/>
    <s v="MetalSd"/>
    <s v="MetalSd"/>
    <s v="BrkCmn"/>
    <n v="161"/>
    <s v="TA"/>
    <s v="TA"/>
    <s v="CBlock"/>
    <s v="TA"/>
    <s v="TA"/>
    <s v="No"/>
    <s v="LwQ"/>
    <n v="185"/>
    <s v="Unf"/>
    <n v="0"/>
    <n v="524"/>
    <n v="709"/>
    <s v="GasA"/>
    <s v="TA"/>
    <s v="Y"/>
    <s v="SBrkr"/>
    <n v="979"/>
    <n v="224"/>
    <n v="0"/>
    <x v="371"/>
    <n v="1"/>
    <n v="0"/>
    <n v="1"/>
    <n v="0"/>
    <n v="3"/>
    <n v="1"/>
    <s v="Gd"/>
    <n v="5"/>
    <s v="Typ"/>
    <n v="1"/>
    <s v="TA"/>
    <s v="Detchd"/>
    <n v="1950"/>
    <s v="Unf"/>
    <n v="1"/>
    <n v="352"/>
    <s v="TA"/>
    <s v="TA"/>
    <s v="Y"/>
    <n v="0"/>
    <n v="0"/>
    <n v="248"/>
    <n v="0"/>
    <n v="0"/>
    <n v="0"/>
    <s v="NA"/>
    <s v="NA"/>
    <s v="NA"/>
    <n v="0"/>
    <n v="7"/>
    <n v="2009"/>
    <s v="WD"/>
    <s v="Normal"/>
    <n v="110000"/>
  </r>
  <r>
    <n v="461"/>
    <n v="60"/>
    <s v="FV"/>
    <n v="75"/>
    <n v="8004"/>
    <s v="Pave"/>
    <s v="NA"/>
    <s v="IR1"/>
    <s v="Lvl"/>
    <s v="AllPub"/>
    <s v="Inside"/>
    <s v="Gtl"/>
    <x v="5"/>
    <x v="6"/>
    <s v="Norm"/>
    <x v="0"/>
    <x v="0"/>
    <n v="8"/>
    <n v="5"/>
    <x v="51"/>
    <n v="2009"/>
    <s v="Gable"/>
    <s v="CompShg"/>
    <s v="VinylSd"/>
    <s v="VinylSd"/>
    <s v="Stone"/>
    <n v="110"/>
    <s v="Gd"/>
    <s v="TA"/>
    <s v="PConc"/>
    <s v="Gd"/>
    <s v="TA"/>
    <s v="No"/>
    <s v="GLQ"/>
    <n v="544"/>
    <s v="Unf"/>
    <n v="0"/>
    <n v="288"/>
    <n v="832"/>
    <s v="GasA"/>
    <s v="Ex"/>
    <s v="Y"/>
    <s v="SBrkr"/>
    <n v="832"/>
    <n v="1103"/>
    <n v="0"/>
    <x v="372"/>
    <n v="1"/>
    <n v="0"/>
    <n v="2"/>
    <n v="1"/>
    <n v="3"/>
    <n v="1"/>
    <s v="TA"/>
    <n v="8"/>
    <s v="Typ"/>
    <n v="0"/>
    <s v="NA"/>
    <s v="BuiltIn"/>
    <n v="2009"/>
    <s v="Fin"/>
    <n v="2"/>
    <n v="552"/>
    <s v="TA"/>
    <s v="TA"/>
    <s v="Y"/>
    <n v="0"/>
    <n v="150"/>
    <n v="0"/>
    <n v="0"/>
    <n v="0"/>
    <n v="0"/>
    <s v="NA"/>
    <s v="NA"/>
    <s v="NA"/>
    <n v="0"/>
    <n v="12"/>
    <n v="2009"/>
    <s v="New"/>
    <s v="Partial"/>
    <n v="263435"/>
  </r>
  <r>
    <n v="462"/>
    <n v="70"/>
    <s v="RL"/>
    <n v="60"/>
    <n v="7200"/>
    <s v="Pave"/>
    <s v="NA"/>
    <s v="Reg"/>
    <s v="Lvl"/>
    <s v="AllPub"/>
    <s v="Inside"/>
    <s v="Gtl"/>
    <x v="23"/>
    <x v="1"/>
    <s v="Norm"/>
    <x v="0"/>
    <x v="0"/>
    <n v="7"/>
    <n v="9"/>
    <x v="65"/>
    <n v="2007"/>
    <s v="Gable"/>
    <s v="CompShg"/>
    <s v="Wd Sdng"/>
    <s v="Wd Sdng"/>
    <s v="None"/>
    <n v="0"/>
    <s v="Gd"/>
    <s v="Gd"/>
    <s v="PConc"/>
    <s v="Gd"/>
    <s v="Gd"/>
    <s v="No"/>
    <s v="ALQ"/>
    <n v="350"/>
    <s v="BLQ"/>
    <n v="210"/>
    <n v="0"/>
    <n v="560"/>
    <s v="GasA"/>
    <s v="Ex"/>
    <s v="Y"/>
    <s v="SBrkr"/>
    <n v="575"/>
    <n v="560"/>
    <n v="0"/>
    <x v="373"/>
    <n v="1"/>
    <n v="0"/>
    <n v="1"/>
    <n v="0"/>
    <n v="3"/>
    <n v="1"/>
    <s v="Gd"/>
    <n v="6"/>
    <s v="Typ"/>
    <n v="0"/>
    <s v="NA"/>
    <s v="Detchd"/>
    <n v="1971"/>
    <s v="RFn"/>
    <n v="2"/>
    <n v="576"/>
    <s v="TA"/>
    <s v="TA"/>
    <s v="Y"/>
    <n v="256"/>
    <n v="0"/>
    <n v="0"/>
    <n v="0"/>
    <n v="0"/>
    <n v="0"/>
    <s v="NA"/>
    <s v="MnPrv"/>
    <s v="NA"/>
    <n v="0"/>
    <n v="4"/>
    <n v="2009"/>
    <s v="WD"/>
    <s v="Normal"/>
    <n v="155000"/>
  </r>
  <r>
    <n v="463"/>
    <n v="20"/>
    <s v="RL"/>
    <n v="60"/>
    <n v="8281"/>
    <s v="Pave"/>
    <s v="NA"/>
    <s v="IR1"/>
    <s v="Lvl"/>
    <s v="AllPub"/>
    <s v="Inside"/>
    <s v="Gtl"/>
    <x v="9"/>
    <x v="0"/>
    <s v="Norm"/>
    <x v="0"/>
    <x v="1"/>
    <n v="5"/>
    <n v="5"/>
    <x v="10"/>
    <n v="1965"/>
    <s v="Gable"/>
    <s v="CompShg"/>
    <s v="MetalSd"/>
    <s v="MetalSd"/>
    <s v="None"/>
    <n v="0"/>
    <s v="TA"/>
    <s v="TA"/>
    <s v="CBlock"/>
    <s v="TA"/>
    <s v="TA"/>
    <s v="No"/>
    <s v="Rec"/>
    <n v="553"/>
    <s v="BLQ"/>
    <n v="311"/>
    <n v="0"/>
    <n v="864"/>
    <s v="GasA"/>
    <s v="Gd"/>
    <s v="Y"/>
    <s v="SBrkr"/>
    <n v="864"/>
    <n v="0"/>
    <n v="0"/>
    <x v="132"/>
    <n v="0"/>
    <n v="0"/>
    <n v="1"/>
    <n v="0"/>
    <n v="3"/>
    <n v="1"/>
    <s v="TA"/>
    <n v="5"/>
    <s v="Typ"/>
    <n v="1"/>
    <s v="Po"/>
    <s v="Detchd"/>
    <n v="1965"/>
    <s v="Unf"/>
    <n v="1"/>
    <n v="360"/>
    <s v="TA"/>
    <s v="TA"/>
    <s v="Y"/>
    <n v="0"/>
    <n v="0"/>
    <n v="236"/>
    <n v="0"/>
    <n v="0"/>
    <n v="0"/>
    <s v="NA"/>
    <s v="GdWo"/>
    <s v="NA"/>
    <n v="0"/>
    <n v="12"/>
    <n v="2009"/>
    <s v="WD"/>
    <s v="Normal"/>
    <n v="62383"/>
  </r>
  <r>
    <n v="464"/>
    <n v="70"/>
    <s v="RL"/>
    <n v="74"/>
    <n v="11988"/>
    <s v="Pave"/>
    <s v="NA"/>
    <s v="IR1"/>
    <s v="HLS"/>
    <s v="AllPub"/>
    <s v="Inside"/>
    <s v="Mod"/>
    <x v="2"/>
    <x v="0"/>
    <s v="Norm"/>
    <x v="0"/>
    <x v="0"/>
    <n v="6"/>
    <n v="7"/>
    <x v="36"/>
    <n v="1995"/>
    <s v="Hip"/>
    <s v="CompShg"/>
    <s v="Stucco"/>
    <s v="Stucco"/>
    <s v="None"/>
    <n v="0"/>
    <s v="TA"/>
    <s v="TA"/>
    <s v="CBlock"/>
    <s v="TA"/>
    <s v="TA"/>
    <s v="No"/>
    <s v="LwQ"/>
    <n v="326"/>
    <s v="Unf"/>
    <n v="0"/>
    <n v="389"/>
    <n v="715"/>
    <s v="GasA"/>
    <s v="Fa"/>
    <s v="Y"/>
    <s v="FuseA"/>
    <n v="849"/>
    <n v="811"/>
    <n v="0"/>
    <x v="374"/>
    <n v="0"/>
    <n v="0"/>
    <n v="1"/>
    <n v="1"/>
    <n v="3"/>
    <n v="1"/>
    <s v="TA"/>
    <n v="6"/>
    <s v="Typ"/>
    <n v="1"/>
    <s v="Gd"/>
    <s v="Detchd"/>
    <n v="1939"/>
    <s v="Unf"/>
    <n v="1"/>
    <n v="240"/>
    <s v="TA"/>
    <s v="TA"/>
    <s v="Y"/>
    <n v="0"/>
    <n v="0"/>
    <n v="0"/>
    <n v="0"/>
    <n v="0"/>
    <n v="0"/>
    <s v="NA"/>
    <s v="NA"/>
    <s v="NA"/>
    <n v="0"/>
    <n v="8"/>
    <n v="2008"/>
    <s v="WD"/>
    <s v="Normal"/>
    <n v="188700"/>
  </r>
  <r>
    <n v="465"/>
    <n v="20"/>
    <s v="RL"/>
    <n v="60"/>
    <n v="8430"/>
    <s v="Pave"/>
    <s v="NA"/>
    <s v="Reg"/>
    <s v="HLS"/>
    <s v="AllPub"/>
    <s v="Inside"/>
    <s v="Mod"/>
    <x v="0"/>
    <x v="0"/>
    <s v="Norm"/>
    <x v="0"/>
    <x v="1"/>
    <n v="5"/>
    <n v="5"/>
    <x v="90"/>
    <n v="1978"/>
    <s v="Gable"/>
    <s v="CompShg"/>
    <s v="HdBoard"/>
    <s v="HdBoard"/>
    <s v="BrkFace"/>
    <n v="136"/>
    <s v="TA"/>
    <s v="TA"/>
    <s v="CBlock"/>
    <s v="Gd"/>
    <s v="TA"/>
    <s v="No"/>
    <s v="Rec"/>
    <n v="616"/>
    <s v="Unf"/>
    <n v="0"/>
    <n v="424"/>
    <n v="1040"/>
    <s v="GasA"/>
    <s v="TA"/>
    <s v="Y"/>
    <s v="SBrkr"/>
    <n v="1040"/>
    <n v="0"/>
    <n v="0"/>
    <x v="10"/>
    <n v="0"/>
    <n v="0"/>
    <n v="2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n v="2009"/>
    <s v="WD"/>
    <s v="Normal"/>
    <n v="124000"/>
  </r>
  <r>
    <n v="466"/>
    <n v="120"/>
    <s v="RM"/>
    <s v="NA"/>
    <n v="3072"/>
    <s v="Pave"/>
    <s v="NA"/>
    <s v="Reg"/>
    <s v="Lvl"/>
    <s v="AllPub"/>
    <s v="Inside"/>
    <s v="Gtl"/>
    <x v="21"/>
    <x v="0"/>
    <s v="Norm"/>
    <x v="3"/>
    <x v="1"/>
    <n v="7"/>
    <n v="5"/>
    <x v="6"/>
    <n v="2004"/>
    <s v="Hip"/>
    <s v="CompShg"/>
    <s v="VinylSd"/>
    <s v="VinylSd"/>
    <s v="BrkFace"/>
    <n v="18"/>
    <s v="Gd"/>
    <s v="TA"/>
    <s v="PConc"/>
    <s v="Gd"/>
    <s v="TA"/>
    <s v="No"/>
    <s v="Unf"/>
    <n v="0"/>
    <s v="Unf"/>
    <n v="0"/>
    <n v="1375"/>
    <n v="1375"/>
    <s v="GasA"/>
    <s v="Ex"/>
    <s v="Y"/>
    <s v="SBrkr"/>
    <n v="1414"/>
    <n v="0"/>
    <n v="0"/>
    <x v="206"/>
    <n v="0"/>
    <n v="0"/>
    <n v="2"/>
    <n v="0"/>
    <n v="2"/>
    <n v="1"/>
    <s v="Gd"/>
    <n v="6"/>
    <s v="Typ"/>
    <n v="1"/>
    <s v="TA"/>
    <s v="Attchd"/>
    <n v="2004"/>
    <s v="Fin"/>
    <n v="2"/>
    <n v="398"/>
    <s v="TA"/>
    <s v="TA"/>
    <s v="Y"/>
    <n v="144"/>
    <n v="20"/>
    <n v="0"/>
    <n v="0"/>
    <n v="0"/>
    <n v="0"/>
    <s v="NA"/>
    <s v="NA"/>
    <s v="NA"/>
    <n v="0"/>
    <n v="5"/>
    <n v="2006"/>
    <s v="WD"/>
    <s v="Normal"/>
    <n v="178740"/>
  </r>
  <r>
    <n v="467"/>
    <n v="20"/>
    <s v="RL"/>
    <n v="85"/>
    <n v="10628"/>
    <s v="Pave"/>
    <s v="NA"/>
    <s v="Reg"/>
    <s v="Lvl"/>
    <s v="AllPub"/>
    <s v="Inside"/>
    <s v="Gtl"/>
    <x v="11"/>
    <x v="0"/>
    <s v="Norm"/>
    <x v="0"/>
    <x v="1"/>
    <n v="7"/>
    <n v="5"/>
    <x v="16"/>
    <n v="1970"/>
    <s v="Flat"/>
    <s v="Tar&amp;Grv"/>
    <s v="Plywood"/>
    <s v="Plywood"/>
    <s v="None"/>
    <n v="0"/>
    <s v="TA"/>
    <s v="Gd"/>
    <s v="CBlock"/>
    <s v="TA"/>
    <s v="Gd"/>
    <s v="Gd"/>
    <s v="GLQ"/>
    <n v="778"/>
    <s v="Unf"/>
    <n v="0"/>
    <n v="499"/>
    <n v="1277"/>
    <s v="GasA"/>
    <s v="TA"/>
    <s v="Y"/>
    <s v="SBrkr"/>
    <n v="1277"/>
    <n v="0"/>
    <n v="0"/>
    <x v="375"/>
    <n v="1"/>
    <n v="0"/>
    <n v="1"/>
    <n v="0"/>
    <n v="2"/>
    <n v="1"/>
    <s v="TA"/>
    <n v="5"/>
    <s v="Typ"/>
    <n v="1"/>
    <s v="Po"/>
    <s v="Attchd"/>
    <n v="1970"/>
    <s v="Unf"/>
    <n v="2"/>
    <n v="526"/>
    <s v="TA"/>
    <s v="TA"/>
    <s v="Y"/>
    <n v="0"/>
    <n v="0"/>
    <n v="0"/>
    <n v="0"/>
    <n v="176"/>
    <n v="0"/>
    <s v="NA"/>
    <s v="GdWo"/>
    <s v="NA"/>
    <n v="0"/>
    <n v="4"/>
    <n v="2007"/>
    <s v="WD"/>
    <s v="Normal"/>
    <n v="167000"/>
  </r>
  <r>
    <n v="468"/>
    <n v="70"/>
    <s v="RL"/>
    <n v="79"/>
    <n v="9480"/>
    <s v="Pave"/>
    <s v="NA"/>
    <s v="Reg"/>
    <s v="Lvl"/>
    <s v="AllPub"/>
    <s v="Inside"/>
    <s v="Gtl"/>
    <x v="11"/>
    <x v="3"/>
    <s v="Norm"/>
    <x v="0"/>
    <x v="0"/>
    <n v="5"/>
    <n v="7"/>
    <x v="97"/>
    <n v="1995"/>
    <s v="Gable"/>
    <s v="CompShg"/>
    <s v="MetalSd"/>
    <s v="MetalSd"/>
    <s v="Stone"/>
    <n v="224"/>
    <s v="TA"/>
    <s v="TA"/>
    <s v="CBlock"/>
    <s v="TA"/>
    <s v="TA"/>
    <s v="No"/>
    <s v="LwQ"/>
    <n v="386"/>
    <s v="Unf"/>
    <n v="0"/>
    <n v="342"/>
    <n v="728"/>
    <s v="GasA"/>
    <s v="Ex"/>
    <s v="Y"/>
    <s v="SBrkr"/>
    <n v="888"/>
    <n v="756"/>
    <n v="0"/>
    <x v="248"/>
    <n v="0"/>
    <n v="0"/>
    <n v="1"/>
    <n v="1"/>
    <n v="3"/>
    <n v="1"/>
    <s v="Gd"/>
    <n v="7"/>
    <s v="Typ"/>
    <n v="2"/>
    <s v="Gd"/>
    <s v="Attchd"/>
    <n v="1942"/>
    <s v="Unf"/>
    <n v="1"/>
    <n v="312"/>
    <s v="TA"/>
    <s v="TA"/>
    <s v="Y"/>
    <n v="168"/>
    <n v="0"/>
    <n v="0"/>
    <n v="0"/>
    <n v="0"/>
    <n v="0"/>
    <s v="NA"/>
    <s v="NA"/>
    <s v="NA"/>
    <n v="0"/>
    <n v="6"/>
    <n v="2007"/>
    <s v="WD"/>
    <s v="Normal"/>
    <n v="146500"/>
  </r>
  <r>
    <n v="469"/>
    <n v="20"/>
    <s v="RL"/>
    <n v="98"/>
    <n v="11428"/>
    <s v="Pave"/>
    <s v="NA"/>
    <s v="IR1"/>
    <s v="Lvl"/>
    <s v="AllPub"/>
    <s v="Inside"/>
    <s v="Gtl"/>
    <x v="10"/>
    <x v="0"/>
    <s v="Norm"/>
    <x v="0"/>
    <x v="1"/>
    <n v="8"/>
    <n v="5"/>
    <x v="13"/>
    <n v="2006"/>
    <s v="Gable"/>
    <s v="CompShg"/>
    <s v="VinylSd"/>
    <s v="VinylSd"/>
    <s v="Stone"/>
    <n v="248"/>
    <s v="Gd"/>
    <s v="TA"/>
    <s v="PConc"/>
    <s v="Gd"/>
    <s v="TA"/>
    <s v="No"/>
    <s v="Unf"/>
    <n v="0"/>
    <s v="Unf"/>
    <n v="0"/>
    <n v="1626"/>
    <n v="1626"/>
    <s v="GasA"/>
    <s v="Ex"/>
    <s v="Y"/>
    <s v="SBrkr"/>
    <n v="1634"/>
    <n v="0"/>
    <n v="0"/>
    <x v="376"/>
    <n v="0"/>
    <n v="0"/>
    <n v="2"/>
    <n v="0"/>
    <n v="3"/>
    <n v="1"/>
    <s v="Gd"/>
    <n v="7"/>
    <s v="Typ"/>
    <n v="1"/>
    <s v="Gd"/>
    <s v="Attchd"/>
    <n v="2006"/>
    <s v="RFn"/>
    <n v="3"/>
    <n v="866"/>
    <s v="TA"/>
    <s v="TA"/>
    <s v="Y"/>
    <n v="0"/>
    <n v="44"/>
    <n v="0"/>
    <n v="0"/>
    <n v="0"/>
    <n v="0"/>
    <s v="NA"/>
    <s v="NA"/>
    <s v="NA"/>
    <n v="0"/>
    <n v="5"/>
    <n v="2007"/>
    <s v="WD"/>
    <s v="Normal"/>
    <n v="250000"/>
  </r>
  <r>
    <n v="470"/>
    <n v="60"/>
    <s v="RL"/>
    <n v="76"/>
    <n v="9291"/>
    <s v="Pave"/>
    <s v="NA"/>
    <s v="IR1"/>
    <s v="Lvl"/>
    <s v="AllPub"/>
    <s v="Corner"/>
    <s v="Gtl"/>
    <x v="12"/>
    <x v="8"/>
    <s v="Norm"/>
    <x v="0"/>
    <x v="0"/>
    <n v="6"/>
    <n v="5"/>
    <x v="5"/>
    <n v="1993"/>
    <s v="Gable"/>
    <s v="CompShg"/>
    <s v="HdBoard"/>
    <s v="HdBoard"/>
    <s v="BrkFace"/>
    <n v="120"/>
    <s v="Gd"/>
    <s v="TA"/>
    <s v="PConc"/>
    <s v="Gd"/>
    <s v="TA"/>
    <s v="No"/>
    <s v="GLQ"/>
    <n v="426"/>
    <s v="Unf"/>
    <n v="0"/>
    <n v="406"/>
    <n v="832"/>
    <s v="GasA"/>
    <s v="Ex"/>
    <s v="Y"/>
    <s v="SBrkr"/>
    <n v="832"/>
    <n v="878"/>
    <n v="0"/>
    <x v="0"/>
    <n v="0"/>
    <n v="0"/>
    <n v="2"/>
    <n v="1"/>
    <n v="3"/>
    <n v="1"/>
    <s v="Gd"/>
    <n v="7"/>
    <s v="Typ"/>
    <n v="0"/>
    <s v="NA"/>
    <s v="Attchd"/>
    <n v="1993"/>
    <s v="RFn"/>
    <n v="2"/>
    <n v="506"/>
    <s v="TA"/>
    <s v="TA"/>
    <s v="Y"/>
    <n v="144"/>
    <n v="70"/>
    <n v="0"/>
    <n v="0"/>
    <n v="0"/>
    <n v="0"/>
    <s v="NA"/>
    <s v="NA"/>
    <s v="NA"/>
    <n v="0"/>
    <n v="6"/>
    <n v="2008"/>
    <s v="WD"/>
    <s v="Normal"/>
    <n v="187000"/>
  </r>
  <r>
    <n v="471"/>
    <n v="120"/>
    <s v="RL"/>
    <s v="NA"/>
    <n v="6820"/>
    <s v="Pave"/>
    <s v="NA"/>
    <s v="IR1"/>
    <s v="Lvl"/>
    <s v="AllPub"/>
    <s v="Corner"/>
    <s v="Gtl"/>
    <x v="18"/>
    <x v="0"/>
    <s v="Norm"/>
    <x v="3"/>
    <x v="1"/>
    <n v="8"/>
    <n v="5"/>
    <x v="55"/>
    <n v="1985"/>
    <s v="Gable"/>
    <s v="CompShg"/>
    <s v="HdBoard"/>
    <s v="HdBoard"/>
    <s v="None"/>
    <n v="0"/>
    <s v="Gd"/>
    <s v="TA"/>
    <s v="PConc"/>
    <s v="Gd"/>
    <s v="TA"/>
    <s v="Av"/>
    <s v="GLQ"/>
    <n v="368"/>
    <s v="BLQ"/>
    <n v="1120"/>
    <n v="0"/>
    <n v="1488"/>
    <s v="GasA"/>
    <s v="TA"/>
    <s v="Y"/>
    <s v="SBrkr"/>
    <n v="1502"/>
    <n v="0"/>
    <n v="0"/>
    <x v="377"/>
    <n v="1"/>
    <n v="0"/>
    <n v="1"/>
    <n v="1"/>
    <n v="1"/>
    <n v="1"/>
    <s v="Gd"/>
    <n v="4"/>
    <s v="Typ"/>
    <n v="0"/>
    <s v="NA"/>
    <s v="Attchd"/>
    <n v="1985"/>
    <s v="RFn"/>
    <n v="2"/>
    <n v="528"/>
    <s v="TA"/>
    <s v="TA"/>
    <s v="Y"/>
    <n v="0"/>
    <n v="54"/>
    <n v="0"/>
    <n v="0"/>
    <n v="140"/>
    <n v="0"/>
    <s v="NA"/>
    <s v="NA"/>
    <s v="NA"/>
    <n v="0"/>
    <n v="6"/>
    <n v="2010"/>
    <s v="WD"/>
    <s v="Normal"/>
    <n v="212000"/>
  </r>
  <r>
    <n v="472"/>
    <n v="60"/>
    <s v="RL"/>
    <n v="92"/>
    <n v="11952"/>
    <s v="Pave"/>
    <s v="NA"/>
    <s v="Reg"/>
    <s v="Lvl"/>
    <s v="AllPub"/>
    <s v="Inside"/>
    <s v="Gtl"/>
    <x v="6"/>
    <x v="7"/>
    <s v="Norm"/>
    <x v="0"/>
    <x v="0"/>
    <n v="7"/>
    <n v="6"/>
    <x v="54"/>
    <n v="1977"/>
    <s v="Mansard"/>
    <s v="WdShake"/>
    <s v="WdShing"/>
    <s v="Plywood"/>
    <s v="None"/>
    <n v="0"/>
    <s v="TA"/>
    <s v="TA"/>
    <s v="CBlock"/>
    <s v="Gd"/>
    <s v="TA"/>
    <s v="No"/>
    <s v="Unf"/>
    <n v="0"/>
    <s v="Unf"/>
    <n v="0"/>
    <n v="808"/>
    <n v="808"/>
    <s v="GasA"/>
    <s v="TA"/>
    <s v="Y"/>
    <s v="SBrkr"/>
    <n v="1161"/>
    <n v="808"/>
    <n v="0"/>
    <x v="378"/>
    <n v="0"/>
    <n v="0"/>
    <n v="2"/>
    <n v="1"/>
    <n v="3"/>
    <n v="1"/>
    <s v="TA"/>
    <n v="8"/>
    <s v="Typ"/>
    <n v="1"/>
    <s v="Gd"/>
    <s v="Attchd"/>
    <n v="1977"/>
    <s v="RFn"/>
    <n v="2"/>
    <n v="534"/>
    <s v="TA"/>
    <s v="TA"/>
    <s v="Y"/>
    <n v="0"/>
    <n v="0"/>
    <n v="0"/>
    <n v="0"/>
    <n v="276"/>
    <n v="0"/>
    <s v="NA"/>
    <s v="NA"/>
    <s v="NA"/>
    <n v="0"/>
    <n v="11"/>
    <n v="2007"/>
    <s v="WD"/>
    <s v="Normal"/>
    <n v="190000"/>
  </r>
  <r>
    <n v="473"/>
    <n v="180"/>
    <s v="RM"/>
    <n v="35"/>
    <n v="3675"/>
    <s v="Pave"/>
    <s v="NA"/>
    <s v="Reg"/>
    <s v="Lvl"/>
    <s v="AllPub"/>
    <s v="Inside"/>
    <s v="Gtl"/>
    <x v="15"/>
    <x v="0"/>
    <s v="Norm"/>
    <x v="3"/>
    <x v="5"/>
    <n v="6"/>
    <n v="5"/>
    <x v="11"/>
    <n v="2005"/>
    <s v="Gable"/>
    <s v="CompShg"/>
    <s v="VinylSd"/>
    <s v="VinylSd"/>
    <s v="BrkFace"/>
    <n v="80"/>
    <s v="TA"/>
    <s v="TA"/>
    <s v="PConc"/>
    <s v="Gd"/>
    <s v="TA"/>
    <s v="Gd"/>
    <s v="GLQ"/>
    <n v="459"/>
    <s v="Unf"/>
    <n v="0"/>
    <n v="88"/>
    <n v="547"/>
    <s v="GasA"/>
    <s v="Ex"/>
    <s v="Y"/>
    <s v="SBrkr"/>
    <n v="1072"/>
    <n v="0"/>
    <n v="0"/>
    <x v="379"/>
    <n v="1"/>
    <n v="0"/>
    <n v="1"/>
    <n v="0"/>
    <n v="2"/>
    <n v="1"/>
    <s v="TA"/>
    <n v="5"/>
    <s v="Typ"/>
    <n v="0"/>
    <s v="NA"/>
    <s v="Basment"/>
    <n v="2005"/>
    <s v="RFn"/>
    <n v="2"/>
    <n v="525"/>
    <s v="TA"/>
    <s v="TA"/>
    <s v="Y"/>
    <n v="0"/>
    <n v="28"/>
    <n v="0"/>
    <n v="0"/>
    <n v="0"/>
    <n v="0"/>
    <s v="NA"/>
    <s v="NA"/>
    <s v="NA"/>
    <n v="0"/>
    <n v="6"/>
    <n v="2008"/>
    <s v="WD"/>
    <s v="Normal"/>
    <n v="148000"/>
  </r>
  <r>
    <n v="474"/>
    <n v="20"/>
    <s v="RL"/>
    <n v="110"/>
    <n v="14977"/>
    <s v="Pave"/>
    <s v="NA"/>
    <s v="IR1"/>
    <s v="Lvl"/>
    <s v="AllPub"/>
    <s v="Inside"/>
    <s v="Gtl"/>
    <x v="10"/>
    <x v="0"/>
    <s v="Norm"/>
    <x v="0"/>
    <x v="1"/>
    <n v="8"/>
    <n v="5"/>
    <x v="13"/>
    <n v="2007"/>
    <s v="Gable"/>
    <s v="CompShg"/>
    <s v="VinylSd"/>
    <s v="VinylSd"/>
    <s v="BrkFace"/>
    <n v="304"/>
    <s v="Gd"/>
    <s v="TA"/>
    <s v="PConc"/>
    <s v="Ex"/>
    <s v="TA"/>
    <s v="Gd"/>
    <s v="GLQ"/>
    <n v="1350"/>
    <s v="Unf"/>
    <n v="0"/>
    <n v="626"/>
    <n v="1976"/>
    <s v="GasA"/>
    <s v="Ex"/>
    <s v="Y"/>
    <s v="SBrkr"/>
    <n v="1976"/>
    <n v="0"/>
    <n v="0"/>
    <x v="380"/>
    <n v="1"/>
    <n v="0"/>
    <n v="2"/>
    <n v="0"/>
    <n v="2"/>
    <n v="1"/>
    <s v="Gd"/>
    <n v="7"/>
    <s v="Typ"/>
    <n v="1"/>
    <s v="Ex"/>
    <s v="Attchd"/>
    <n v="2006"/>
    <s v="RFn"/>
    <n v="3"/>
    <n v="908"/>
    <s v="TA"/>
    <s v="TA"/>
    <s v="Y"/>
    <n v="250"/>
    <n v="63"/>
    <n v="0"/>
    <n v="0"/>
    <n v="0"/>
    <n v="0"/>
    <s v="NA"/>
    <s v="NA"/>
    <s v="NA"/>
    <n v="0"/>
    <n v="7"/>
    <n v="2007"/>
    <s v="New"/>
    <s v="Partial"/>
    <n v="440000"/>
  </r>
  <r>
    <n v="475"/>
    <n v="120"/>
    <s v="RL"/>
    <n v="41"/>
    <n v="5330"/>
    <s v="Pave"/>
    <s v="NA"/>
    <s v="Reg"/>
    <s v="Lvl"/>
    <s v="AllPub"/>
    <s v="Inside"/>
    <s v="Gtl"/>
    <x v="18"/>
    <x v="0"/>
    <s v="Norm"/>
    <x v="3"/>
    <x v="1"/>
    <n v="8"/>
    <n v="5"/>
    <x v="4"/>
    <n v="2000"/>
    <s v="Gable"/>
    <s v="CompShg"/>
    <s v="CemntBd"/>
    <s v="CmentBd"/>
    <s v="None"/>
    <n v="0"/>
    <s v="Gd"/>
    <s v="TA"/>
    <s v="PConc"/>
    <s v="Gd"/>
    <s v="TA"/>
    <s v="Av"/>
    <s v="GLQ"/>
    <n v="1196"/>
    <s v="Unf"/>
    <n v="0"/>
    <n v="298"/>
    <n v="1494"/>
    <s v="GasA"/>
    <s v="Ex"/>
    <s v="Y"/>
    <s v="SBrkr"/>
    <n v="1652"/>
    <n v="0"/>
    <n v="0"/>
    <x v="381"/>
    <n v="1"/>
    <n v="0"/>
    <n v="2"/>
    <n v="0"/>
    <n v="2"/>
    <n v="1"/>
    <s v="Ex"/>
    <n v="6"/>
    <s v="Typ"/>
    <n v="0"/>
    <s v="NA"/>
    <s v="Attchd"/>
    <n v="2000"/>
    <s v="RFn"/>
    <n v="2"/>
    <n v="499"/>
    <s v="TA"/>
    <s v="TA"/>
    <s v="Y"/>
    <n v="96"/>
    <n v="48"/>
    <n v="0"/>
    <n v="0"/>
    <n v="0"/>
    <n v="0"/>
    <s v="NA"/>
    <s v="NA"/>
    <s v="NA"/>
    <n v="0"/>
    <n v="8"/>
    <n v="2007"/>
    <s v="WD"/>
    <s v="Normal"/>
    <n v="251000"/>
  </r>
  <r>
    <n v="476"/>
    <n v="20"/>
    <s v="RL"/>
    <n v="80"/>
    <n v="8480"/>
    <s v="Pave"/>
    <s v="NA"/>
    <s v="Reg"/>
    <s v="Lvl"/>
    <s v="AllPub"/>
    <s v="Corner"/>
    <s v="Gtl"/>
    <x v="9"/>
    <x v="0"/>
    <s v="Norm"/>
    <x v="0"/>
    <x v="1"/>
    <n v="5"/>
    <n v="6"/>
    <x v="37"/>
    <n v="1963"/>
    <s v="Hip"/>
    <s v="CompShg"/>
    <s v="HdBoard"/>
    <s v="HdBoard"/>
    <s v="None"/>
    <n v="0"/>
    <s v="TA"/>
    <s v="TA"/>
    <s v="CBlock"/>
    <s v="TA"/>
    <s v="TA"/>
    <s v="No"/>
    <s v="GLQ"/>
    <n v="630"/>
    <s v="Unf"/>
    <n v="0"/>
    <n v="340"/>
    <n v="970"/>
    <s v="GasA"/>
    <s v="TA"/>
    <s v="Y"/>
    <s v="SBrkr"/>
    <n v="970"/>
    <n v="0"/>
    <n v="0"/>
    <x v="382"/>
    <n v="1"/>
    <n v="0"/>
    <n v="1"/>
    <n v="0"/>
    <n v="2"/>
    <n v="1"/>
    <s v="TA"/>
    <n v="5"/>
    <s v="Typ"/>
    <n v="0"/>
    <s v="NA"/>
    <s v="Detchd"/>
    <n v="1996"/>
    <s v="Unf"/>
    <n v="2"/>
    <n v="624"/>
    <s v="TA"/>
    <s v="TA"/>
    <s v="Y"/>
    <n v="0"/>
    <n v="24"/>
    <n v="0"/>
    <n v="0"/>
    <n v="192"/>
    <n v="0"/>
    <s v="NA"/>
    <s v="NA"/>
    <s v="NA"/>
    <n v="0"/>
    <n v="7"/>
    <n v="2007"/>
    <s v="WD"/>
    <s v="Normal"/>
    <n v="132500"/>
  </r>
  <r>
    <n v="477"/>
    <n v="20"/>
    <s v="RL"/>
    <n v="75"/>
    <n v="13125"/>
    <s v="Pave"/>
    <s v="NA"/>
    <s v="Reg"/>
    <s v="Lvl"/>
    <s v="AllPub"/>
    <s v="Inside"/>
    <s v="Mod"/>
    <x v="0"/>
    <x v="0"/>
    <s v="Norm"/>
    <x v="0"/>
    <x v="1"/>
    <n v="6"/>
    <n v="5"/>
    <x v="35"/>
    <n v="1998"/>
    <s v="Gable"/>
    <s v="CompShg"/>
    <s v="VinylSd"/>
    <s v="VinylSd"/>
    <s v="BrkFace"/>
    <n v="215"/>
    <s v="TA"/>
    <s v="TA"/>
    <s v="PConc"/>
    <s v="Gd"/>
    <s v="TA"/>
    <s v="Gd"/>
    <s v="GLQ"/>
    <n v="994"/>
    <s v="Unf"/>
    <n v="0"/>
    <n v="484"/>
    <n v="1478"/>
    <s v="GasA"/>
    <s v="Ex"/>
    <s v="Y"/>
    <s v="SBrkr"/>
    <n v="1493"/>
    <n v="0"/>
    <n v="0"/>
    <x v="383"/>
    <n v="1"/>
    <n v="0"/>
    <n v="2"/>
    <n v="0"/>
    <n v="3"/>
    <n v="1"/>
    <s v="Gd"/>
    <n v="7"/>
    <s v="Typ"/>
    <n v="1"/>
    <s v="TA"/>
    <s v="Attchd"/>
    <n v="1997"/>
    <s v="Fin"/>
    <n v="2"/>
    <n v="508"/>
    <s v="TA"/>
    <s v="TA"/>
    <s v="Y"/>
    <n v="140"/>
    <n v="39"/>
    <n v="0"/>
    <n v="0"/>
    <n v="0"/>
    <n v="0"/>
    <s v="NA"/>
    <s v="NA"/>
    <s v="NA"/>
    <n v="0"/>
    <n v="4"/>
    <n v="2008"/>
    <s v="WD"/>
    <s v="Normal"/>
    <n v="208900"/>
  </r>
  <r>
    <n v="478"/>
    <n v="60"/>
    <s v="RL"/>
    <n v="105"/>
    <n v="13693"/>
    <s v="Pave"/>
    <s v="NA"/>
    <s v="Reg"/>
    <s v="Lvl"/>
    <s v="AllPub"/>
    <s v="Inside"/>
    <s v="Gtl"/>
    <x v="10"/>
    <x v="0"/>
    <s v="Norm"/>
    <x v="0"/>
    <x v="0"/>
    <n v="9"/>
    <n v="5"/>
    <x v="13"/>
    <n v="2006"/>
    <s v="Hip"/>
    <s v="CompShg"/>
    <s v="VinylSd"/>
    <s v="VinylSd"/>
    <s v="BrkFace"/>
    <n v="772"/>
    <s v="Ex"/>
    <s v="TA"/>
    <s v="PConc"/>
    <s v="Gd"/>
    <s v="TA"/>
    <s v="Av"/>
    <s v="Unf"/>
    <n v="0"/>
    <s v="Unf"/>
    <n v="0"/>
    <n v="2153"/>
    <n v="2153"/>
    <s v="GasA"/>
    <s v="Ex"/>
    <s v="Y"/>
    <s v="SBrkr"/>
    <n v="2069"/>
    <n v="574"/>
    <n v="0"/>
    <x v="384"/>
    <n v="0"/>
    <n v="0"/>
    <n v="2"/>
    <n v="1"/>
    <n v="3"/>
    <n v="1"/>
    <s v="Ex"/>
    <n v="9"/>
    <s v="Typ"/>
    <n v="1"/>
    <s v="Gd"/>
    <s v="BuiltIn"/>
    <n v="2006"/>
    <s v="Fin"/>
    <n v="3"/>
    <n v="694"/>
    <s v="TA"/>
    <s v="TA"/>
    <s v="Y"/>
    <n v="414"/>
    <n v="84"/>
    <n v="0"/>
    <n v="0"/>
    <n v="0"/>
    <n v="0"/>
    <s v="NA"/>
    <s v="NA"/>
    <s v="NA"/>
    <n v="0"/>
    <n v="3"/>
    <n v="2007"/>
    <s v="WD"/>
    <s v="Normal"/>
    <n v="380000"/>
  </r>
  <r>
    <n v="479"/>
    <n v="20"/>
    <s v="RL"/>
    <n v="79"/>
    <n v="10637"/>
    <s v="Pave"/>
    <s v="NA"/>
    <s v="Reg"/>
    <s v="Lvl"/>
    <s v="AllPub"/>
    <s v="Inside"/>
    <s v="Gtl"/>
    <x v="0"/>
    <x v="0"/>
    <s v="Norm"/>
    <x v="0"/>
    <x v="1"/>
    <n v="8"/>
    <n v="5"/>
    <x v="22"/>
    <n v="2008"/>
    <s v="Hip"/>
    <s v="CompShg"/>
    <s v="VinylSd"/>
    <s v="VinylSd"/>
    <s v="Stone"/>
    <n v="336"/>
    <s v="Gd"/>
    <s v="TA"/>
    <s v="PConc"/>
    <s v="Ex"/>
    <s v="TA"/>
    <s v="Gd"/>
    <s v="GLQ"/>
    <n v="1288"/>
    <s v="Unf"/>
    <n v="0"/>
    <n v="417"/>
    <n v="1705"/>
    <s v="GasA"/>
    <s v="Ex"/>
    <s v="Y"/>
    <s v="SBrkr"/>
    <n v="1718"/>
    <n v="0"/>
    <n v="0"/>
    <x v="69"/>
    <n v="1"/>
    <n v="0"/>
    <n v="2"/>
    <n v="0"/>
    <n v="3"/>
    <n v="1"/>
    <s v="Gd"/>
    <n v="7"/>
    <s v="Typ"/>
    <n v="1"/>
    <s v="Gd"/>
    <s v="Attchd"/>
    <n v="2007"/>
    <s v="RFn"/>
    <n v="3"/>
    <n v="826"/>
    <s v="TA"/>
    <s v="TA"/>
    <s v="Y"/>
    <n v="208"/>
    <n v="44"/>
    <n v="0"/>
    <n v="0"/>
    <n v="0"/>
    <n v="0"/>
    <s v="NA"/>
    <s v="NA"/>
    <s v="NA"/>
    <n v="0"/>
    <n v="9"/>
    <n v="2009"/>
    <s v="WD"/>
    <s v="Normal"/>
    <n v="297000"/>
  </r>
  <r>
    <n v="480"/>
    <n v="30"/>
    <s v="RM"/>
    <n v="50"/>
    <n v="5925"/>
    <s v="Pave"/>
    <s v="NA"/>
    <s v="Reg"/>
    <s v="Bnk"/>
    <s v="AllPub"/>
    <s v="Inside"/>
    <s v="Gtl"/>
    <x v="7"/>
    <x v="0"/>
    <s v="Norm"/>
    <x v="0"/>
    <x v="1"/>
    <n v="4"/>
    <n v="7"/>
    <x v="96"/>
    <n v="2000"/>
    <s v="Hip"/>
    <s v="CompShg"/>
    <s v="Stucco"/>
    <s v="Stucco"/>
    <s v="BrkCmn"/>
    <n v="435"/>
    <s v="TA"/>
    <s v="TA"/>
    <s v="BrkTil"/>
    <s v="Fa"/>
    <s v="TA"/>
    <s v="No"/>
    <s v="Rec"/>
    <n v="168"/>
    <s v="Unf"/>
    <n v="0"/>
    <n v="739"/>
    <n v="907"/>
    <s v="GasA"/>
    <s v="TA"/>
    <s v="Y"/>
    <s v="SBrkr"/>
    <n v="1131"/>
    <n v="0"/>
    <n v="0"/>
    <x v="385"/>
    <n v="0"/>
    <n v="0"/>
    <n v="1"/>
    <n v="0"/>
    <n v="2"/>
    <n v="1"/>
    <s v="TA"/>
    <n v="7"/>
    <s v="Typ"/>
    <n v="0"/>
    <s v="NA"/>
    <s v="Detchd"/>
    <n v="1995"/>
    <s v="Unf"/>
    <n v="2"/>
    <n v="672"/>
    <s v="TA"/>
    <s v="TA"/>
    <s v="Y"/>
    <n v="0"/>
    <n v="72"/>
    <n v="0"/>
    <n v="0"/>
    <n v="0"/>
    <n v="0"/>
    <s v="NA"/>
    <s v="MnPrv"/>
    <s v="NA"/>
    <n v="0"/>
    <n v="3"/>
    <n v="2007"/>
    <s v="WD"/>
    <s v="Alloca"/>
    <n v="89471"/>
  </r>
  <r>
    <n v="481"/>
    <n v="20"/>
    <s v="RL"/>
    <n v="98"/>
    <n v="16033"/>
    <s v="Pave"/>
    <s v="NA"/>
    <s v="IR1"/>
    <s v="Lvl"/>
    <s v="AllPub"/>
    <s v="FR2"/>
    <s v="Gtl"/>
    <x v="10"/>
    <x v="0"/>
    <s v="Norm"/>
    <x v="0"/>
    <x v="1"/>
    <n v="9"/>
    <n v="5"/>
    <x v="6"/>
    <n v="2005"/>
    <s v="Hip"/>
    <s v="CompShg"/>
    <s v="VinylSd"/>
    <s v="VinylSd"/>
    <s v="BrkFace"/>
    <n v="378"/>
    <s v="Gd"/>
    <s v="TA"/>
    <s v="PConc"/>
    <s v="Ex"/>
    <s v="TA"/>
    <s v="Gd"/>
    <s v="GLQ"/>
    <n v="1261"/>
    <s v="Unf"/>
    <n v="0"/>
    <n v="572"/>
    <n v="1833"/>
    <s v="GasA"/>
    <s v="Ex"/>
    <s v="Y"/>
    <s v="SBrkr"/>
    <n v="1850"/>
    <n v="0"/>
    <n v="0"/>
    <x v="386"/>
    <n v="1"/>
    <n v="0"/>
    <n v="2"/>
    <n v="0"/>
    <n v="3"/>
    <n v="1"/>
    <s v="Gd"/>
    <n v="8"/>
    <s v="Typ"/>
    <n v="1"/>
    <s v="Gd"/>
    <s v="Attchd"/>
    <n v="2004"/>
    <s v="Fin"/>
    <n v="3"/>
    <n v="772"/>
    <s v="TA"/>
    <s v="TA"/>
    <s v="Y"/>
    <n v="519"/>
    <n v="112"/>
    <n v="0"/>
    <n v="0"/>
    <n v="0"/>
    <n v="0"/>
    <s v="NA"/>
    <s v="NA"/>
    <s v="NA"/>
    <n v="0"/>
    <n v="3"/>
    <n v="2006"/>
    <s v="WD"/>
    <s v="Normal"/>
    <n v="326000"/>
  </r>
  <r>
    <n v="482"/>
    <n v="20"/>
    <s v="RL"/>
    <n v="72"/>
    <n v="11846"/>
    <s v="Pave"/>
    <s v="NA"/>
    <s v="IR1"/>
    <s v="HLS"/>
    <s v="AllPub"/>
    <s v="Inside"/>
    <s v="Gtl"/>
    <x v="10"/>
    <x v="0"/>
    <s v="Norm"/>
    <x v="0"/>
    <x v="1"/>
    <n v="9"/>
    <n v="5"/>
    <x v="0"/>
    <n v="2004"/>
    <s v="Hip"/>
    <s v="CompShg"/>
    <s v="VinylSd"/>
    <s v="VinylSd"/>
    <s v="BrkFace"/>
    <n v="562"/>
    <s v="Gd"/>
    <s v="TA"/>
    <s v="PConc"/>
    <s v="Ex"/>
    <s v="TA"/>
    <s v="Gd"/>
    <s v="GLQ"/>
    <n v="1567"/>
    <s v="Unf"/>
    <n v="0"/>
    <n v="225"/>
    <n v="1792"/>
    <s v="GasA"/>
    <s v="Ex"/>
    <s v="Y"/>
    <s v="SBrkr"/>
    <n v="1792"/>
    <n v="0"/>
    <n v="0"/>
    <x v="223"/>
    <n v="1"/>
    <n v="0"/>
    <n v="2"/>
    <n v="0"/>
    <n v="2"/>
    <n v="1"/>
    <s v="Ex"/>
    <n v="6"/>
    <s v="Typ"/>
    <n v="1"/>
    <s v="Gd"/>
    <s v="Attchd"/>
    <n v="2003"/>
    <s v="Fin"/>
    <n v="3"/>
    <n v="874"/>
    <s v="TA"/>
    <s v="TA"/>
    <s v="Y"/>
    <n v="206"/>
    <n v="49"/>
    <n v="0"/>
    <n v="0"/>
    <n v="0"/>
    <n v="0"/>
    <s v="NA"/>
    <s v="NA"/>
    <s v="NA"/>
    <n v="0"/>
    <n v="8"/>
    <n v="2006"/>
    <s v="WD"/>
    <s v="Normal"/>
    <n v="374000"/>
  </r>
  <r>
    <n v="483"/>
    <n v="70"/>
    <s v="RM"/>
    <n v="50"/>
    <n v="2500"/>
    <s v="Pave"/>
    <s v="Pave"/>
    <s v="Reg"/>
    <s v="Lvl"/>
    <s v="AllPub"/>
    <s v="Corner"/>
    <s v="Gtl"/>
    <x v="7"/>
    <x v="0"/>
    <s v="Norm"/>
    <x v="0"/>
    <x v="0"/>
    <n v="7"/>
    <n v="8"/>
    <x v="3"/>
    <n v="2005"/>
    <s v="Gable"/>
    <s v="CompShg"/>
    <s v="Stucco"/>
    <s v="Stucco"/>
    <s v="None"/>
    <n v="0"/>
    <s v="Gd"/>
    <s v="TA"/>
    <s v="PConc"/>
    <s v="TA"/>
    <s v="TA"/>
    <s v="No"/>
    <s v="ALQ"/>
    <n v="299"/>
    <s v="Unf"/>
    <n v="0"/>
    <n v="611"/>
    <n v="910"/>
    <s v="GasA"/>
    <s v="Ex"/>
    <s v="Y"/>
    <s v="SBrkr"/>
    <n v="916"/>
    <n v="910"/>
    <n v="0"/>
    <x v="387"/>
    <n v="1"/>
    <n v="0"/>
    <n v="1"/>
    <n v="1"/>
    <n v="4"/>
    <n v="1"/>
    <s v="Ex"/>
    <n v="7"/>
    <s v="Min2"/>
    <n v="1"/>
    <s v="Gd"/>
    <s v="Attchd"/>
    <n v="1915"/>
    <s v="Unf"/>
    <n v="1"/>
    <n v="164"/>
    <s v="Fa"/>
    <s v="Fa"/>
    <s v="Y"/>
    <n v="0"/>
    <n v="0"/>
    <n v="0"/>
    <n v="0"/>
    <n v="0"/>
    <n v="0"/>
    <s v="NA"/>
    <s v="NA"/>
    <s v="NA"/>
    <n v="0"/>
    <n v="6"/>
    <n v="2009"/>
    <s v="WD"/>
    <s v="Normal"/>
    <n v="155000"/>
  </r>
  <r>
    <n v="484"/>
    <n v="120"/>
    <s v="RM"/>
    <n v="32"/>
    <n v="4500"/>
    <s v="Pave"/>
    <s v="NA"/>
    <s v="Reg"/>
    <s v="Lvl"/>
    <s v="AllPub"/>
    <s v="FR2"/>
    <s v="Gtl"/>
    <x v="4"/>
    <x v="0"/>
    <s v="Norm"/>
    <x v="4"/>
    <x v="1"/>
    <n v="6"/>
    <n v="5"/>
    <x v="45"/>
    <n v="1998"/>
    <s v="Hip"/>
    <s v="CompShg"/>
    <s v="VinylSd"/>
    <s v="VinylSd"/>
    <s v="BrkFace"/>
    <n v="116"/>
    <s v="TA"/>
    <s v="TA"/>
    <s v="PConc"/>
    <s v="Ex"/>
    <s v="TA"/>
    <s v="No"/>
    <s v="GLQ"/>
    <n v="897"/>
    <s v="Unf"/>
    <n v="0"/>
    <n v="319"/>
    <n v="1216"/>
    <s v="GasA"/>
    <s v="Ex"/>
    <s v="Y"/>
    <s v="SBrkr"/>
    <n v="1216"/>
    <n v="0"/>
    <n v="0"/>
    <x v="388"/>
    <n v="1"/>
    <n v="0"/>
    <n v="2"/>
    <n v="0"/>
    <n v="2"/>
    <n v="1"/>
    <s v="TA"/>
    <n v="5"/>
    <s v="Typ"/>
    <n v="0"/>
    <s v="NA"/>
    <s v="Attchd"/>
    <n v="1998"/>
    <s v="Unf"/>
    <n v="2"/>
    <n v="402"/>
    <s v="TA"/>
    <s v="TA"/>
    <s v="Y"/>
    <n v="0"/>
    <n v="125"/>
    <n v="0"/>
    <n v="0"/>
    <n v="0"/>
    <n v="0"/>
    <s v="NA"/>
    <s v="NA"/>
    <s v="NA"/>
    <n v="0"/>
    <n v="5"/>
    <n v="2006"/>
    <s v="WD"/>
    <s v="Normal"/>
    <n v="164000"/>
  </r>
  <r>
    <n v="485"/>
    <n v="20"/>
    <s v="RL"/>
    <s v="NA"/>
    <n v="7758"/>
    <s v="Pave"/>
    <s v="NA"/>
    <s v="IR1"/>
    <s v="Lvl"/>
    <s v="AllPub"/>
    <s v="Corner"/>
    <s v="Gtl"/>
    <x v="9"/>
    <x v="0"/>
    <s v="Norm"/>
    <x v="0"/>
    <x v="1"/>
    <n v="5"/>
    <n v="7"/>
    <x v="12"/>
    <n v="2001"/>
    <s v="Gable"/>
    <s v="CompShg"/>
    <s v="HdBoard"/>
    <s v="Plywood"/>
    <s v="None"/>
    <n v="0"/>
    <s v="TA"/>
    <s v="Gd"/>
    <s v="CBlock"/>
    <s v="TA"/>
    <s v="TA"/>
    <s v="No"/>
    <s v="ALQ"/>
    <n v="588"/>
    <s v="Unf"/>
    <n v="0"/>
    <n v="411"/>
    <n v="999"/>
    <s v="GasA"/>
    <s v="Gd"/>
    <s v="Y"/>
    <s v="SBrkr"/>
    <n v="999"/>
    <n v="0"/>
    <n v="0"/>
    <x v="389"/>
    <n v="1"/>
    <n v="0"/>
    <n v="1"/>
    <n v="0"/>
    <n v="3"/>
    <n v="1"/>
    <s v="Gd"/>
    <n v="6"/>
    <s v="Typ"/>
    <n v="0"/>
    <s v="NA"/>
    <s v="Detchd"/>
    <n v="1963"/>
    <s v="Unf"/>
    <n v="1"/>
    <n v="264"/>
    <s v="TA"/>
    <s v="TA"/>
    <s v="Y"/>
    <n v="0"/>
    <n v="132"/>
    <n v="0"/>
    <n v="0"/>
    <n v="0"/>
    <n v="0"/>
    <s v="NA"/>
    <s v="NA"/>
    <s v="NA"/>
    <n v="0"/>
    <n v="3"/>
    <n v="2007"/>
    <s v="WD"/>
    <s v="Normal"/>
    <n v="132500"/>
  </r>
  <r>
    <n v="486"/>
    <n v="20"/>
    <s v="RL"/>
    <n v="80"/>
    <n v="9600"/>
    <s v="Pave"/>
    <s v="NA"/>
    <s v="Reg"/>
    <s v="Lvl"/>
    <s v="AllPub"/>
    <s v="Inside"/>
    <s v="Gtl"/>
    <x v="11"/>
    <x v="0"/>
    <s v="Norm"/>
    <x v="0"/>
    <x v="1"/>
    <n v="5"/>
    <n v="7"/>
    <x v="52"/>
    <n v="2007"/>
    <s v="Gable"/>
    <s v="CompShg"/>
    <s v="MetalSd"/>
    <s v="MetalSd"/>
    <s v="None"/>
    <n v="0"/>
    <s v="Gd"/>
    <s v="TA"/>
    <s v="CBlock"/>
    <s v="TA"/>
    <s v="TA"/>
    <s v="No"/>
    <s v="ALQ"/>
    <n v="607"/>
    <s v="Unf"/>
    <n v="0"/>
    <n v="506"/>
    <n v="1113"/>
    <s v="GasA"/>
    <s v="Gd"/>
    <s v="Y"/>
    <s v="SBrkr"/>
    <n v="1113"/>
    <n v="0"/>
    <n v="0"/>
    <x v="231"/>
    <n v="0"/>
    <n v="0"/>
    <n v="1"/>
    <n v="0"/>
    <n v="3"/>
    <n v="1"/>
    <s v="Gd"/>
    <n v="5"/>
    <s v="Typ"/>
    <n v="1"/>
    <s v="Gd"/>
    <s v="Attchd"/>
    <n v="1950"/>
    <s v="Unf"/>
    <n v="1"/>
    <n v="264"/>
    <s v="TA"/>
    <s v="TA"/>
    <s v="Y"/>
    <n v="0"/>
    <n v="80"/>
    <n v="120"/>
    <n v="0"/>
    <n v="0"/>
    <n v="0"/>
    <s v="NA"/>
    <s v="NA"/>
    <s v="NA"/>
    <n v="0"/>
    <n v="7"/>
    <n v="2009"/>
    <s v="WD"/>
    <s v="Normal"/>
    <n v="147000"/>
  </r>
  <r>
    <n v="487"/>
    <n v="20"/>
    <s v="RL"/>
    <n v="79"/>
    <n v="10289"/>
    <s v="Pave"/>
    <s v="NA"/>
    <s v="Reg"/>
    <s v="Lvl"/>
    <s v="AllPub"/>
    <s v="Inside"/>
    <s v="Gtl"/>
    <x v="11"/>
    <x v="0"/>
    <s v="Norm"/>
    <x v="0"/>
    <x v="1"/>
    <n v="5"/>
    <n v="7"/>
    <x v="10"/>
    <n v="1965"/>
    <s v="Hip"/>
    <s v="CompShg"/>
    <s v="MetalSd"/>
    <s v="MetalSd"/>
    <s v="BrkFace"/>
    <n v="168"/>
    <s v="TA"/>
    <s v="TA"/>
    <s v="CBlock"/>
    <s v="TA"/>
    <s v="TA"/>
    <s v="No"/>
    <s v="ALQ"/>
    <n v="836"/>
    <s v="Unf"/>
    <n v="0"/>
    <n v="237"/>
    <n v="1073"/>
    <s v="GasA"/>
    <s v="TA"/>
    <s v="Y"/>
    <s v="SBrkr"/>
    <n v="1073"/>
    <n v="0"/>
    <n v="0"/>
    <x v="390"/>
    <n v="1"/>
    <n v="0"/>
    <n v="1"/>
    <n v="1"/>
    <n v="3"/>
    <n v="1"/>
    <s v="TA"/>
    <n v="6"/>
    <s v="Typ"/>
    <n v="0"/>
    <s v="NA"/>
    <s v="Attchd"/>
    <n v="1965"/>
    <s v="RFn"/>
    <n v="2"/>
    <n v="515"/>
    <s v="TA"/>
    <s v="TA"/>
    <s v="Y"/>
    <n v="0"/>
    <n v="0"/>
    <n v="0"/>
    <n v="0"/>
    <n v="0"/>
    <n v="0"/>
    <s v="NA"/>
    <s v="NA"/>
    <s v="NA"/>
    <n v="0"/>
    <n v="6"/>
    <n v="2007"/>
    <s v="WD"/>
    <s v="Normal"/>
    <n v="156000"/>
  </r>
  <r>
    <n v="488"/>
    <n v="20"/>
    <s v="RL"/>
    <n v="70"/>
    <n v="12243"/>
    <s v="Pave"/>
    <s v="NA"/>
    <s v="IR1"/>
    <s v="Lvl"/>
    <s v="AllPub"/>
    <s v="Inside"/>
    <s v="Gtl"/>
    <x v="6"/>
    <x v="0"/>
    <s v="Norm"/>
    <x v="0"/>
    <x v="1"/>
    <n v="5"/>
    <n v="6"/>
    <x v="63"/>
    <n v="1971"/>
    <s v="Gable"/>
    <s v="CompShg"/>
    <s v="Plywood"/>
    <s v="Plywood"/>
    <s v="None"/>
    <n v="0"/>
    <s v="TA"/>
    <s v="TA"/>
    <s v="CBlock"/>
    <s v="Gd"/>
    <s v="TA"/>
    <s v="Av"/>
    <s v="ALQ"/>
    <n v="998"/>
    <s v="Unf"/>
    <n v="0"/>
    <n v="486"/>
    <n v="1484"/>
    <s v="GasA"/>
    <s v="Gd"/>
    <s v="Y"/>
    <s v="SBrkr"/>
    <n v="1484"/>
    <n v="0"/>
    <n v="0"/>
    <x v="391"/>
    <n v="0"/>
    <n v="0"/>
    <n v="2"/>
    <n v="0"/>
    <n v="3"/>
    <n v="1"/>
    <s v="TA"/>
    <n v="7"/>
    <s v="Typ"/>
    <n v="1"/>
    <s v="TA"/>
    <s v="Attchd"/>
    <n v="1971"/>
    <s v="Unf"/>
    <n v="2"/>
    <n v="487"/>
    <s v="TA"/>
    <s v="TA"/>
    <s v="Y"/>
    <n v="224"/>
    <n v="0"/>
    <n v="0"/>
    <n v="0"/>
    <n v="180"/>
    <n v="0"/>
    <s v="NA"/>
    <s v="NA"/>
    <s v="NA"/>
    <n v="0"/>
    <n v="2"/>
    <n v="2007"/>
    <s v="WD"/>
    <s v="Normal"/>
    <n v="175000"/>
  </r>
  <r>
    <n v="489"/>
    <n v="190"/>
    <s v="RL"/>
    <n v="60"/>
    <n v="10800"/>
    <s v="Pave"/>
    <s v="NA"/>
    <s v="Reg"/>
    <s v="Lvl"/>
    <s v="AllPub"/>
    <s v="Corner"/>
    <s v="Gtl"/>
    <x v="7"/>
    <x v="0"/>
    <s v="Norm"/>
    <x v="1"/>
    <x v="2"/>
    <n v="5"/>
    <n v="4"/>
    <x v="83"/>
    <n v="1970"/>
    <s v="Gable"/>
    <s v="CompShg"/>
    <s v="Wd Sdng"/>
    <s v="Wd Sdng"/>
    <s v="None"/>
    <n v="0"/>
    <s v="TA"/>
    <s v="Fa"/>
    <s v="CBlock"/>
    <s v="TA"/>
    <s v="Fa"/>
    <s v="No"/>
    <s v="BLQ"/>
    <n v="664"/>
    <s v="Unf"/>
    <n v="0"/>
    <n v="290"/>
    <n v="954"/>
    <s v="GasA"/>
    <s v="TA"/>
    <s v="N"/>
    <s v="FuseA"/>
    <n v="1766"/>
    <n v="648"/>
    <n v="0"/>
    <x v="392"/>
    <n v="0"/>
    <n v="0"/>
    <n v="2"/>
    <n v="0"/>
    <n v="3"/>
    <n v="2"/>
    <s v="TA"/>
    <n v="10"/>
    <s v="Mod"/>
    <n v="1"/>
    <s v="Gd"/>
    <s v="Attchd"/>
    <n v="1970"/>
    <s v="Unf"/>
    <n v="2"/>
    <n v="520"/>
    <s v="TA"/>
    <s v="Fa"/>
    <s v="N"/>
    <n v="142"/>
    <n v="0"/>
    <n v="0"/>
    <n v="0"/>
    <n v="0"/>
    <n v="0"/>
    <s v="NA"/>
    <s v="NA"/>
    <s v="NA"/>
    <n v="0"/>
    <n v="5"/>
    <n v="2006"/>
    <s v="ConLD"/>
    <s v="Normal"/>
    <n v="160000"/>
  </r>
  <r>
    <n v="490"/>
    <n v="180"/>
    <s v="RM"/>
    <n v="21"/>
    <n v="1526"/>
    <s v="Pave"/>
    <s v="NA"/>
    <s v="Reg"/>
    <s v="Lvl"/>
    <s v="AllPub"/>
    <s v="Inside"/>
    <s v="Gtl"/>
    <x v="14"/>
    <x v="0"/>
    <s v="Norm"/>
    <x v="4"/>
    <x v="4"/>
    <n v="4"/>
    <n v="8"/>
    <x v="16"/>
    <n v="2002"/>
    <s v="Gable"/>
    <s v="CompShg"/>
    <s v="CemntBd"/>
    <s v="CmentBd"/>
    <s v="None"/>
    <n v="0"/>
    <s v="TA"/>
    <s v="Gd"/>
    <s v="CBlock"/>
    <s v="Gd"/>
    <s v="TA"/>
    <s v="Av"/>
    <s v="GLQ"/>
    <n v="515"/>
    <s v="Unf"/>
    <n v="0"/>
    <n v="115"/>
    <n v="630"/>
    <s v="GasA"/>
    <s v="TA"/>
    <s v="Y"/>
    <s v="SBrkr"/>
    <n v="630"/>
    <n v="0"/>
    <n v="0"/>
    <x v="353"/>
    <n v="1"/>
    <n v="0"/>
    <n v="1"/>
    <n v="0"/>
    <n v="1"/>
    <n v="1"/>
    <s v="Gd"/>
    <n v="3"/>
    <s v="Typ"/>
    <n v="0"/>
    <s v="NA"/>
    <s v="Attchd"/>
    <n v="1970"/>
    <s v="Unf"/>
    <n v="1"/>
    <n v="286"/>
    <s v="TA"/>
    <s v="TA"/>
    <s v="Y"/>
    <n v="0"/>
    <n v="0"/>
    <n v="0"/>
    <n v="0"/>
    <n v="0"/>
    <n v="0"/>
    <s v="NA"/>
    <s v="NA"/>
    <s v="NA"/>
    <n v="0"/>
    <n v="5"/>
    <n v="2009"/>
    <s v="WD"/>
    <s v="Normal"/>
    <n v="86000"/>
  </r>
  <r>
    <n v="491"/>
    <n v="160"/>
    <s v="RM"/>
    <s v="NA"/>
    <n v="2665"/>
    <s v="Pave"/>
    <s v="NA"/>
    <s v="Reg"/>
    <s v="Lvl"/>
    <s v="AllPub"/>
    <s v="Inside"/>
    <s v="Gtl"/>
    <x v="14"/>
    <x v="0"/>
    <s v="Norm"/>
    <x v="3"/>
    <x v="0"/>
    <n v="5"/>
    <n v="6"/>
    <x v="1"/>
    <n v="1976"/>
    <s v="Gable"/>
    <s v="CompShg"/>
    <s v="CemntBd"/>
    <s v="CmentBd"/>
    <s v="None"/>
    <n v="0"/>
    <s v="TA"/>
    <s v="TA"/>
    <s v="PConc"/>
    <s v="Gd"/>
    <s v="TA"/>
    <s v="Mn"/>
    <s v="Unf"/>
    <n v="0"/>
    <s v="Unf"/>
    <n v="0"/>
    <n v="264"/>
    <n v="264"/>
    <s v="GasA"/>
    <s v="TA"/>
    <s v="Y"/>
    <s v="SBrkr"/>
    <n v="616"/>
    <n v="688"/>
    <n v="0"/>
    <x v="393"/>
    <n v="0"/>
    <n v="0"/>
    <n v="1"/>
    <n v="1"/>
    <n v="3"/>
    <n v="1"/>
    <s v="TA"/>
    <n v="4"/>
    <s v="Typ"/>
    <n v="1"/>
    <s v="Gd"/>
    <s v="BuiltIn"/>
    <n v="1976"/>
    <s v="Fin"/>
    <n v="1"/>
    <n v="336"/>
    <s v="TA"/>
    <s v="TA"/>
    <s v="Y"/>
    <n v="141"/>
    <n v="24"/>
    <n v="0"/>
    <n v="0"/>
    <n v="0"/>
    <n v="0"/>
    <s v="NA"/>
    <s v="NA"/>
    <s v="NA"/>
    <n v="0"/>
    <n v="6"/>
    <n v="2008"/>
    <s v="WD"/>
    <s v="Normal"/>
    <n v="115000"/>
  </r>
  <r>
    <n v="492"/>
    <n v="50"/>
    <s v="RL"/>
    <n v="79"/>
    <n v="9490"/>
    <s v="Pave"/>
    <s v="NA"/>
    <s v="Reg"/>
    <s v="Lvl"/>
    <s v="AllPub"/>
    <s v="Inside"/>
    <s v="Gtl"/>
    <x v="11"/>
    <x v="3"/>
    <s v="Norm"/>
    <x v="0"/>
    <x v="2"/>
    <n v="6"/>
    <n v="7"/>
    <x v="71"/>
    <n v="1950"/>
    <s v="Gable"/>
    <s v="CompShg"/>
    <s v="Wd Sdng"/>
    <s v="Wd Sdng"/>
    <s v="None"/>
    <n v="0"/>
    <s v="TA"/>
    <s v="TA"/>
    <s v="CBlock"/>
    <s v="TA"/>
    <s v="TA"/>
    <s v="No"/>
    <s v="BLQ"/>
    <n v="403"/>
    <s v="Rec"/>
    <n v="165"/>
    <n v="238"/>
    <n v="806"/>
    <s v="GasA"/>
    <s v="TA"/>
    <s v="Y"/>
    <s v="FuseA"/>
    <n v="958"/>
    <n v="620"/>
    <n v="0"/>
    <x v="394"/>
    <n v="1"/>
    <n v="0"/>
    <n v="1"/>
    <n v="0"/>
    <n v="3"/>
    <n v="1"/>
    <s v="Fa"/>
    <n v="5"/>
    <s v="Typ"/>
    <n v="2"/>
    <s v="TA"/>
    <s v="Attchd"/>
    <n v="1941"/>
    <s v="Unf"/>
    <n v="1"/>
    <n v="240"/>
    <s v="TA"/>
    <s v="TA"/>
    <s v="Y"/>
    <n v="0"/>
    <n v="0"/>
    <n v="32"/>
    <n v="0"/>
    <n v="0"/>
    <n v="0"/>
    <s v="NA"/>
    <s v="MnPrv"/>
    <s v="NA"/>
    <n v="0"/>
    <n v="8"/>
    <n v="2006"/>
    <s v="WD"/>
    <s v="Normal"/>
    <n v="133000"/>
  </r>
  <r>
    <n v="493"/>
    <n v="60"/>
    <s v="RL"/>
    <n v="105"/>
    <n v="15578"/>
    <s v="Pave"/>
    <s v="NA"/>
    <s v="IR1"/>
    <s v="Lvl"/>
    <s v="AllPub"/>
    <s v="Corner"/>
    <s v="Gtl"/>
    <x v="17"/>
    <x v="0"/>
    <s v="Norm"/>
    <x v="0"/>
    <x v="0"/>
    <n v="6"/>
    <n v="5"/>
    <x v="13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28"/>
    <n v="728"/>
    <s v="GasA"/>
    <s v="Gd"/>
    <s v="Y"/>
    <s v="SBrkr"/>
    <n v="728"/>
    <n v="728"/>
    <n v="0"/>
    <x v="113"/>
    <n v="0"/>
    <n v="0"/>
    <n v="2"/>
    <n v="1"/>
    <n v="3"/>
    <n v="1"/>
    <s v="TA"/>
    <n v="8"/>
    <s v="Typ"/>
    <n v="0"/>
    <s v="NA"/>
    <s v="Attchd"/>
    <n v="2006"/>
    <s v="RFn"/>
    <n v="2"/>
    <n v="429"/>
    <s v="TA"/>
    <s v="TA"/>
    <s v="Y"/>
    <n v="0"/>
    <n v="0"/>
    <n v="0"/>
    <n v="0"/>
    <n v="0"/>
    <n v="0"/>
    <s v="NA"/>
    <s v="NA"/>
    <s v="NA"/>
    <n v="0"/>
    <n v="5"/>
    <n v="2006"/>
    <s v="New"/>
    <s v="Partial"/>
    <n v="172785"/>
  </r>
  <r>
    <n v="494"/>
    <n v="20"/>
    <s v="RL"/>
    <n v="70"/>
    <n v="7931"/>
    <s v="Pave"/>
    <s v="NA"/>
    <s v="Reg"/>
    <s v="Lvl"/>
    <s v="AllPub"/>
    <s v="Inside"/>
    <s v="Gtl"/>
    <x v="11"/>
    <x v="0"/>
    <s v="Norm"/>
    <x v="0"/>
    <x v="1"/>
    <n v="5"/>
    <n v="6"/>
    <x v="14"/>
    <n v="1960"/>
    <s v="Gable"/>
    <s v="CompShg"/>
    <s v="BrkFace"/>
    <s v="Wd Sdng"/>
    <s v="None"/>
    <n v="0"/>
    <s v="TA"/>
    <s v="TA"/>
    <s v="CBlock"/>
    <s v="TA"/>
    <s v="TA"/>
    <s v="No"/>
    <s v="BLQ"/>
    <n v="374"/>
    <s v="LwQ"/>
    <n v="532"/>
    <n v="363"/>
    <n v="1269"/>
    <s v="GasA"/>
    <s v="TA"/>
    <s v="Y"/>
    <s v="FuseA"/>
    <n v="1269"/>
    <n v="0"/>
    <n v="0"/>
    <x v="320"/>
    <n v="0"/>
    <n v="0"/>
    <n v="1"/>
    <n v="1"/>
    <n v="3"/>
    <n v="1"/>
    <s v="TA"/>
    <n v="6"/>
    <s v="Typ"/>
    <n v="1"/>
    <s v="Fa"/>
    <s v="Detchd"/>
    <n v="1964"/>
    <s v="Unf"/>
    <n v="1"/>
    <n v="308"/>
    <s v="TA"/>
    <s v="TA"/>
    <s v="Y"/>
    <n v="0"/>
    <n v="0"/>
    <n v="0"/>
    <n v="0"/>
    <n v="0"/>
    <n v="0"/>
    <s v="NA"/>
    <s v="NA"/>
    <s v="NA"/>
    <n v="0"/>
    <n v="6"/>
    <n v="2008"/>
    <s v="WD"/>
    <s v="Normal"/>
    <n v="155000"/>
  </r>
  <r>
    <n v="495"/>
    <n v="30"/>
    <s v="RM"/>
    <n v="50"/>
    <n v="5784"/>
    <s v="Pave"/>
    <s v="NA"/>
    <s v="Reg"/>
    <s v="Lvl"/>
    <s v="AllPub"/>
    <s v="Inside"/>
    <s v="Gtl"/>
    <x v="7"/>
    <x v="3"/>
    <s v="Norm"/>
    <x v="0"/>
    <x v="1"/>
    <n v="5"/>
    <n v="8"/>
    <x v="98"/>
    <n v="1996"/>
    <s v="Gable"/>
    <s v="CompShg"/>
    <s v="MetalSd"/>
    <s v="MetalSd"/>
    <s v="None"/>
    <n v="0"/>
    <s v="TA"/>
    <s v="TA"/>
    <s v="BrkTil"/>
    <s v="Fa"/>
    <s v="TA"/>
    <s v="No"/>
    <s v="Unf"/>
    <n v="0"/>
    <s v="Unf"/>
    <n v="0"/>
    <n v="190"/>
    <n v="190"/>
    <s v="GasA"/>
    <s v="Gd"/>
    <s v="Y"/>
    <s v="FuseA"/>
    <n v="886"/>
    <n v="0"/>
    <n v="0"/>
    <x v="395"/>
    <n v="0"/>
    <n v="0"/>
    <n v="1"/>
    <n v="0"/>
    <n v="2"/>
    <n v="1"/>
    <s v="TA"/>
    <n v="4"/>
    <s v="Typ"/>
    <n v="0"/>
    <s v="NA"/>
    <s v="Attchd"/>
    <n v="1938"/>
    <s v="Unf"/>
    <n v="1"/>
    <n v="273"/>
    <s v="TA"/>
    <s v="TA"/>
    <s v="Y"/>
    <n v="144"/>
    <n v="20"/>
    <n v="80"/>
    <n v="0"/>
    <n v="0"/>
    <n v="0"/>
    <s v="NA"/>
    <s v="NA"/>
    <s v="NA"/>
    <n v="0"/>
    <n v="12"/>
    <n v="2009"/>
    <s v="WD"/>
    <s v="Normal"/>
    <n v="91300"/>
  </r>
  <r>
    <n v="496"/>
    <n v="30"/>
    <s v="C (all)"/>
    <n v="60"/>
    <n v="7879"/>
    <s v="Pave"/>
    <s v="NA"/>
    <s v="Reg"/>
    <s v="Lvl"/>
    <s v="AllPub"/>
    <s v="Inside"/>
    <s v="Gtl"/>
    <x v="13"/>
    <x v="0"/>
    <s v="Norm"/>
    <x v="0"/>
    <x v="1"/>
    <n v="4"/>
    <n v="5"/>
    <x v="26"/>
    <n v="1950"/>
    <s v="Gable"/>
    <s v="CompShg"/>
    <s v="Wd Sdng"/>
    <s v="Wd Sdng"/>
    <s v="None"/>
    <n v="0"/>
    <s v="TA"/>
    <s v="TA"/>
    <s v="CBlock"/>
    <s v="TA"/>
    <s v="TA"/>
    <s v="No"/>
    <s v="Rec"/>
    <n v="495"/>
    <s v="Unf"/>
    <n v="0"/>
    <n v="225"/>
    <n v="720"/>
    <s v="GasA"/>
    <s v="TA"/>
    <s v="N"/>
    <s v="FuseA"/>
    <n v="720"/>
    <n v="0"/>
    <n v="0"/>
    <x v="296"/>
    <n v="0"/>
    <n v="0"/>
    <n v="1"/>
    <n v="0"/>
    <n v="2"/>
    <n v="1"/>
    <s v="TA"/>
    <n v="4"/>
    <s v="Typ"/>
    <n v="0"/>
    <s v="NA"/>
    <s v="NA"/>
    <s v="NA"/>
    <s v="NA"/>
    <n v="0"/>
    <n v="0"/>
    <s v="NA"/>
    <s v="NA"/>
    <s v="N"/>
    <n v="0"/>
    <n v="523"/>
    <n v="115"/>
    <n v="0"/>
    <n v="0"/>
    <n v="0"/>
    <s v="NA"/>
    <s v="GdWo"/>
    <s v="NA"/>
    <n v="0"/>
    <n v="11"/>
    <n v="2009"/>
    <s v="WD"/>
    <s v="Abnorml"/>
    <n v="34900"/>
  </r>
  <r>
    <n v="497"/>
    <n v="20"/>
    <s v="RL"/>
    <s v="NA"/>
    <n v="12692"/>
    <s v="Pave"/>
    <s v="NA"/>
    <s v="IR1"/>
    <s v="Lvl"/>
    <s v="AllPub"/>
    <s v="Inside"/>
    <s v="Gtl"/>
    <x v="3"/>
    <x v="0"/>
    <s v="Norm"/>
    <x v="0"/>
    <x v="1"/>
    <n v="8"/>
    <n v="5"/>
    <x v="86"/>
    <n v="1993"/>
    <s v="Hip"/>
    <s v="CompShg"/>
    <s v="BrkFace"/>
    <s v="BrkFace"/>
    <s v="None"/>
    <n v="0"/>
    <s v="Gd"/>
    <s v="TA"/>
    <s v="PConc"/>
    <s v="Gd"/>
    <s v="TA"/>
    <s v="No"/>
    <s v="GLQ"/>
    <n v="1231"/>
    <s v="Unf"/>
    <n v="0"/>
    <n v="1969"/>
    <n v="3200"/>
    <s v="GasA"/>
    <s v="Ex"/>
    <s v="Y"/>
    <s v="SBrkr"/>
    <n v="3228"/>
    <n v="0"/>
    <n v="0"/>
    <x v="396"/>
    <n v="1"/>
    <n v="0"/>
    <n v="3"/>
    <n v="0"/>
    <n v="4"/>
    <n v="1"/>
    <s v="Gd"/>
    <n v="10"/>
    <s v="Typ"/>
    <n v="1"/>
    <s v="Gd"/>
    <s v="Attchd"/>
    <n v="1992"/>
    <s v="RFn"/>
    <n v="2"/>
    <n v="546"/>
    <s v="TA"/>
    <s v="TA"/>
    <s v="Y"/>
    <n v="264"/>
    <n v="75"/>
    <n v="291"/>
    <n v="0"/>
    <n v="0"/>
    <n v="0"/>
    <s v="NA"/>
    <s v="NA"/>
    <s v="NA"/>
    <n v="0"/>
    <n v="5"/>
    <n v="2007"/>
    <s v="WD"/>
    <s v="Normal"/>
    <n v="430000"/>
  </r>
  <r>
    <n v="498"/>
    <n v="50"/>
    <s v="RL"/>
    <n v="60"/>
    <n v="9120"/>
    <s v="Pave"/>
    <s v="Pave"/>
    <s v="Reg"/>
    <s v="Lvl"/>
    <s v="AllPub"/>
    <s v="Inside"/>
    <s v="Gtl"/>
    <x v="8"/>
    <x v="0"/>
    <s v="Norm"/>
    <x v="0"/>
    <x v="2"/>
    <n v="7"/>
    <n v="6"/>
    <x v="82"/>
    <n v="1950"/>
    <s v="Gable"/>
    <s v="CompShg"/>
    <s v="Wd Sdng"/>
    <s v="Wd Sdng"/>
    <s v="None"/>
    <n v="0"/>
    <s v="TA"/>
    <s v="Gd"/>
    <s v="PConc"/>
    <s v="TA"/>
    <s v="TA"/>
    <s v="No"/>
    <s v="Rec"/>
    <n v="329"/>
    <s v="Unf"/>
    <n v="0"/>
    <n v="697"/>
    <n v="1026"/>
    <s v="GasA"/>
    <s v="Ex"/>
    <s v="Y"/>
    <s v="SBrkr"/>
    <n v="1133"/>
    <n v="687"/>
    <n v="0"/>
    <x v="397"/>
    <n v="1"/>
    <n v="0"/>
    <n v="2"/>
    <n v="0"/>
    <n v="4"/>
    <n v="1"/>
    <s v="TA"/>
    <n v="8"/>
    <s v="Typ"/>
    <n v="0"/>
    <s v="NA"/>
    <s v="Detchd"/>
    <n v="1925"/>
    <s v="Unf"/>
    <n v="1"/>
    <n v="240"/>
    <s v="TA"/>
    <s v="TA"/>
    <s v="N"/>
    <n v="0"/>
    <n v="100"/>
    <n v="0"/>
    <n v="0"/>
    <n v="0"/>
    <n v="0"/>
    <s v="NA"/>
    <s v="GdPrv"/>
    <s v="NA"/>
    <n v="0"/>
    <n v="6"/>
    <n v="2008"/>
    <s v="WD"/>
    <s v="Normal"/>
    <n v="184000"/>
  </r>
  <r>
    <n v="499"/>
    <n v="20"/>
    <s v="RL"/>
    <n v="65"/>
    <n v="7800"/>
    <s v="Pave"/>
    <s v="NA"/>
    <s v="Reg"/>
    <s v="Lvl"/>
    <s v="AllPub"/>
    <s v="Inside"/>
    <s v="Gtl"/>
    <x v="9"/>
    <x v="0"/>
    <s v="Norm"/>
    <x v="0"/>
    <x v="1"/>
    <n v="5"/>
    <n v="7"/>
    <x v="17"/>
    <n v="2004"/>
    <s v="Hip"/>
    <s v="CompShg"/>
    <s v="HdBoard"/>
    <s v="HdBoard"/>
    <s v="BrkFace"/>
    <n v="89"/>
    <s v="TA"/>
    <s v="TA"/>
    <s v="PConc"/>
    <s v="TA"/>
    <s v="TA"/>
    <s v="No"/>
    <s v="ALQ"/>
    <n v="450"/>
    <s v="Unf"/>
    <n v="0"/>
    <n v="414"/>
    <n v="864"/>
    <s v="GasA"/>
    <s v="Ex"/>
    <s v="Y"/>
    <s v="SBrkr"/>
    <n v="899"/>
    <n v="0"/>
    <n v="0"/>
    <x v="398"/>
    <n v="0"/>
    <n v="0"/>
    <n v="1"/>
    <n v="0"/>
    <n v="3"/>
    <n v="1"/>
    <s v="Gd"/>
    <n v="5"/>
    <s v="Typ"/>
    <n v="0"/>
    <s v="NA"/>
    <s v="Attchd"/>
    <n v="1967"/>
    <s v="Fin"/>
    <n v="1"/>
    <n v="288"/>
    <s v="TA"/>
    <s v="TA"/>
    <s v="Y"/>
    <n v="64"/>
    <n v="0"/>
    <n v="0"/>
    <n v="0"/>
    <n v="0"/>
    <n v="0"/>
    <s v="NA"/>
    <s v="MnPrv"/>
    <s v="NA"/>
    <n v="0"/>
    <n v="6"/>
    <n v="2009"/>
    <s v="WD"/>
    <s v="Normal"/>
    <n v="130000"/>
  </r>
  <r>
    <n v="500"/>
    <n v="20"/>
    <s v="RL"/>
    <n v="70"/>
    <n v="7535"/>
    <s v="Pave"/>
    <s v="NA"/>
    <s v="IR1"/>
    <s v="Lvl"/>
    <s v="AllPub"/>
    <s v="Inside"/>
    <s v="Gtl"/>
    <x v="11"/>
    <x v="0"/>
    <s v="Norm"/>
    <x v="0"/>
    <x v="1"/>
    <n v="5"/>
    <n v="7"/>
    <x v="18"/>
    <n v="1985"/>
    <s v="Gable"/>
    <s v="CompShg"/>
    <s v="MetalSd"/>
    <s v="MetalSd"/>
    <s v="None"/>
    <n v="0"/>
    <s v="TA"/>
    <s v="TA"/>
    <s v="CBlock"/>
    <s v="TA"/>
    <s v="TA"/>
    <s v="No"/>
    <s v="BLQ"/>
    <n v="111"/>
    <s v="LwQ"/>
    <n v="279"/>
    <n v="522"/>
    <n v="912"/>
    <s v="GasA"/>
    <s v="Fa"/>
    <s v="Y"/>
    <s v="SBrkr"/>
    <n v="912"/>
    <n v="0"/>
    <n v="0"/>
    <x v="12"/>
    <n v="0"/>
    <n v="1"/>
    <n v="1"/>
    <n v="0"/>
    <n v="2"/>
    <n v="1"/>
    <s v="TA"/>
    <n v="5"/>
    <s v="Typ"/>
    <n v="0"/>
    <s v="NA"/>
    <s v="Attchd"/>
    <n v="1958"/>
    <s v="Fin"/>
    <n v="1"/>
    <n v="297"/>
    <s v="TA"/>
    <s v="TA"/>
    <s v="Y"/>
    <n v="12"/>
    <n v="285"/>
    <n v="0"/>
    <n v="0"/>
    <n v="0"/>
    <n v="0"/>
    <s v="NA"/>
    <s v="MnWw"/>
    <s v="Shed"/>
    <n v="480"/>
    <n v="6"/>
    <n v="2007"/>
    <s v="WD"/>
    <s v="Normal"/>
    <n v="120000"/>
  </r>
  <r>
    <n v="501"/>
    <n v="160"/>
    <s v="RM"/>
    <n v="21"/>
    <n v="1890"/>
    <s v="Pave"/>
    <s v="NA"/>
    <s v="Reg"/>
    <s v="Lvl"/>
    <s v="AllPub"/>
    <s v="Inside"/>
    <s v="Gtl"/>
    <x v="22"/>
    <x v="0"/>
    <s v="Norm"/>
    <x v="4"/>
    <x v="0"/>
    <n v="6"/>
    <n v="5"/>
    <x v="7"/>
    <n v="1973"/>
    <s v="Gable"/>
    <s v="CompShg"/>
    <s v="HdBoard"/>
    <s v="HdBoard"/>
    <s v="BrkFace"/>
    <n v="285"/>
    <s v="TA"/>
    <s v="TA"/>
    <s v="CBlock"/>
    <s v="TA"/>
    <s v="TA"/>
    <s v="No"/>
    <s v="BLQ"/>
    <n v="356"/>
    <s v="Unf"/>
    <n v="0"/>
    <n v="316"/>
    <n v="672"/>
    <s v="GasA"/>
    <s v="TA"/>
    <s v="Y"/>
    <s v="SBrkr"/>
    <n v="672"/>
    <n v="546"/>
    <n v="0"/>
    <x v="399"/>
    <n v="0"/>
    <n v="0"/>
    <n v="1"/>
    <n v="1"/>
    <n v="3"/>
    <n v="1"/>
    <s v="TA"/>
    <n v="7"/>
    <s v="Typ"/>
    <n v="0"/>
    <s v="NA"/>
    <s v="Detchd"/>
    <n v="1973"/>
    <s v="Unf"/>
    <n v="1"/>
    <n v="264"/>
    <s v="TA"/>
    <s v="TA"/>
    <s v="Y"/>
    <n v="144"/>
    <n v="28"/>
    <n v="0"/>
    <n v="0"/>
    <n v="0"/>
    <n v="0"/>
    <s v="NA"/>
    <s v="NA"/>
    <s v="NA"/>
    <n v="0"/>
    <n v="5"/>
    <n v="2007"/>
    <s v="WD"/>
    <s v="Normal"/>
    <n v="113000"/>
  </r>
  <r>
    <n v="502"/>
    <n v="60"/>
    <s v="FV"/>
    <n v="75"/>
    <n v="9803"/>
    <s v="Pave"/>
    <s v="NA"/>
    <s v="Reg"/>
    <s v="Lvl"/>
    <s v="AllPub"/>
    <s v="Inside"/>
    <s v="Gtl"/>
    <x v="5"/>
    <x v="0"/>
    <s v="Norm"/>
    <x v="0"/>
    <x v="0"/>
    <n v="7"/>
    <n v="5"/>
    <x v="11"/>
    <n v="2005"/>
    <s v="Gable"/>
    <s v="CompShg"/>
    <s v="VinylSd"/>
    <s v="VinylSd"/>
    <s v="None"/>
    <n v="0"/>
    <s v="Gd"/>
    <s v="TA"/>
    <s v="PConc"/>
    <s v="Gd"/>
    <s v="TA"/>
    <s v="No"/>
    <s v="GLQ"/>
    <n v="400"/>
    <s v="Unf"/>
    <n v="0"/>
    <n v="466"/>
    <n v="866"/>
    <s v="GasA"/>
    <s v="Gd"/>
    <s v="Y"/>
    <s v="SBrkr"/>
    <n v="866"/>
    <n v="902"/>
    <n v="0"/>
    <x v="75"/>
    <n v="0"/>
    <n v="0"/>
    <n v="2"/>
    <n v="1"/>
    <n v="3"/>
    <n v="1"/>
    <s v="Gd"/>
    <n v="7"/>
    <s v="Typ"/>
    <n v="0"/>
    <s v="NA"/>
    <s v="Attchd"/>
    <n v="2005"/>
    <s v="RFn"/>
    <n v="2"/>
    <n v="603"/>
    <s v="TA"/>
    <s v="TA"/>
    <s v="Y"/>
    <n v="0"/>
    <n v="108"/>
    <n v="0"/>
    <n v="0"/>
    <n v="0"/>
    <n v="0"/>
    <s v="NA"/>
    <s v="NA"/>
    <s v="NA"/>
    <n v="0"/>
    <n v="2"/>
    <n v="2008"/>
    <s v="WD"/>
    <s v="Normal"/>
    <n v="226700"/>
  </r>
  <r>
    <n v="503"/>
    <n v="20"/>
    <s v="RL"/>
    <n v="70"/>
    <n v="9170"/>
    <s v="Pave"/>
    <s v="NA"/>
    <s v="Reg"/>
    <s v="Lvl"/>
    <s v="AllPub"/>
    <s v="Corner"/>
    <s v="Gtl"/>
    <x v="15"/>
    <x v="1"/>
    <s v="Norm"/>
    <x v="0"/>
    <x v="1"/>
    <n v="5"/>
    <n v="7"/>
    <x v="10"/>
    <n v="1965"/>
    <s v="Hip"/>
    <s v="CompShg"/>
    <s v="MetalSd"/>
    <s v="MetalSd"/>
    <s v="None"/>
    <n v="0"/>
    <s v="TA"/>
    <s v="TA"/>
    <s v="CBlock"/>
    <s v="TA"/>
    <s v="TA"/>
    <s v="No"/>
    <s v="ALQ"/>
    <n v="698"/>
    <s v="GLQ"/>
    <n v="96"/>
    <n v="420"/>
    <n v="1214"/>
    <s v="GasA"/>
    <s v="Ex"/>
    <s v="Y"/>
    <s v="SBrkr"/>
    <n v="1214"/>
    <n v="0"/>
    <n v="0"/>
    <x v="128"/>
    <n v="1"/>
    <n v="0"/>
    <n v="1"/>
    <n v="0"/>
    <n v="2"/>
    <n v="1"/>
    <s v="TA"/>
    <n v="6"/>
    <s v="Typ"/>
    <n v="0"/>
    <s v="NA"/>
    <s v="Detchd"/>
    <n v="1965"/>
    <s v="Unf"/>
    <n v="2"/>
    <n v="461"/>
    <s v="Fa"/>
    <s v="Fa"/>
    <s v="Y"/>
    <n v="0"/>
    <n v="0"/>
    <n v="184"/>
    <n v="0"/>
    <n v="0"/>
    <n v="0"/>
    <s v="NA"/>
    <s v="GdPrv"/>
    <s v="Shed"/>
    <n v="400"/>
    <n v="4"/>
    <n v="2007"/>
    <s v="WD"/>
    <s v="Normal"/>
    <n v="140000"/>
  </r>
  <r>
    <n v="504"/>
    <n v="20"/>
    <s v="RL"/>
    <n v="100"/>
    <n v="15602"/>
    <s v="Pave"/>
    <s v="NA"/>
    <s v="IR1"/>
    <s v="Lvl"/>
    <s v="AllPub"/>
    <s v="Inside"/>
    <s v="Gtl"/>
    <x v="2"/>
    <x v="0"/>
    <s v="Norm"/>
    <x v="0"/>
    <x v="1"/>
    <n v="7"/>
    <n v="8"/>
    <x v="28"/>
    <n v="1997"/>
    <s v="Gable"/>
    <s v="CompShg"/>
    <s v="BrkFace"/>
    <s v="Wd Sdng"/>
    <s v="None"/>
    <n v="0"/>
    <s v="TA"/>
    <s v="TA"/>
    <s v="CBlock"/>
    <s v="TA"/>
    <s v="TA"/>
    <s v="No"/>
    <s v="ALQ"/>
    <n v="1247"/>
    <s v="Unf"/>
    <n v="0"/>
    <n v="254"/>
    <n v="1501"/>
    <s v="GasA"/>
    <s v="TA"/>
    <s v="Y"/>
    <s v="SBrkr"/>
    <n v="1801"/>
    <n v="0"/>
    <n v="0"/>
    <x v="400"/>
    <n v="1"/>
    <n v="0"/>
    <n v="2"/>
    <n v="0"/>
    <n v="1"/>
    <n v="1"/>
    <s v="TA"/>
    <n v="6"/>
    <s v="Typ"/>
    <n v="2"/>
    <s v="TA"/>
    <s v="Attchd"/>
    <n v="1959"/>
    <s v="Fin"/>
    <n v="2"/>
    <n v="484"/>
    <s v="TA"/>
    <s v="TA"/>
    <s v="Y"/>
    <n v="0"/>
    <n v="54"/>
    <n v="0"/>
    <n v="0"/>
    <n v="161"/>
    <n v="0"/>
    <s v="NA"/>
    <s v="GdWo"/>
    <s v="NA"/>
    <n v="0"/>
    <n v="3"/>
    <n v="2010"/>
    <s v="WD"/>
    <s v="Normal"/>
    <n v="289000"/>
  </r>
  <r>
    <n v="505"/>
    <n v="160"/>
    <s v="RL"/>
    <n v="24"/>
    <n v="2308"/>
    <s v="Pave"/>
    <s v="NA"/>
    <s v="Reg"/>
    <s v="Lvl"/>
    <s v="AllPub"/>
    <s v="Inside"/>
    <s v="Gtl"/>
    <x v="20"/>
    <x v="0"/>
    <s v="Norm"/>
    <x v="3"/>
    <x v="0"/>
    <n v="6"/>
    <n v="5"/>
    <x v="99"/>
    <n v="1974"/>
    <s v="Gable"/>
    <s v="CompShg"/>
    <s v="Plywood"/>
    <s v="Brk Cmn"/>
    <s v="None"/>
    <n v="0"/>
    <s v="TA"/>
    <s v="TA"/>
    <s v="CBlock"/>
    <s v="TA"/>
    <s v="TA"/>
    <s v="No"/>
    <s v="ALQ"/>
    <n v="257"/>
    <s v="Rec"/>
    <n v="495"/>
    <n v="103"/>
    <n v="855"/>
    <s v="GasA"/>
    <s v="TA"/>
    <s v="Y"/>
    <s v="SBrkr"/>
    <n v="855"/>
    <n v="467"/>
    <n v="0"/>
    <x v="401"/>
    <n v="0"/>
    <n v="1"/>
    <n v="2"/>
    <n v="1"/>
    <n v="3"/>
    <n v="1"/>
    <s v="TA"/>
    <n v="6"/>
    <s v="Typ"/>
    <n v="1"/>
    <s v="Fa"/>
    <s v="Attchd"/>
    <n v="1974"/>
    <s v="Unf"/>
    <n v="2"/>
    <n v="440"/>
    <s v="TA"/>
    <s v="TA"/>
    <s v="Y"/>
    <n v="260"/>
    <n v="0"/>
    <n v="0"/>
    <n v="0"/>
    <n v="0"/>
    <n v="0"/>
    <s v="NA"/>
    <s v="NA"/>
    <s v="NA"/>
    <n v="0"/>
    <n v="6"/>
    <n v="2009"/>
    <s v="WD"/>
    <s v="Normal"/>
    <n v="147000"/>
  </r>
  <r>
    <n v="506"/>
    <n v="90"/>
    <s v="RM"/>
    <n v="60"/>
    <n v="7596"/>
    <s v="Pave"/>
    <s v="Grvl"/>
    <s v="Reg"/>
    <s v="Lvl"/>
    <s v="AllPub"/>
    <s v="Inside"/>
    <s v="Gtl"/>
    <x v="7"/>
    <x v="3"/>
    <s v="Norm"/>
    <x v="2"/>
    <x v="0"/>
    <n v="5"/>
    <n v="5"/>
    <x v="64"/>
    <n v="1952"/>
    <s v="Hip"/>
    <s v="CompShg"/>
    <s v="Wd Sdng"/>
    <s v="Wd Sdng"/>
    <s v="BrkFace"/>
    <n v="360"/>
    <s v="TA"/>
    <s v="TA"/>
    <s v="CBlock"/>
    <s v="TA"/>
    <s v="TA"/>
    <s v="No"/>
    <s v="Unf"/>
    <n v="0"/>
    <s v="Unf"/>
    <n v="0"/>
    <n v="960"/>
    <n v="960"/>
    <s v="GasA"/>
    <s v="Gd"/>
    <s v="Y"/>
    <s v="SBrkr"/>
    <n v="960"/>
    <n v="1000"/>
    <n v="0"/>
    <x v="205"/>
    <n v="0"/>
    <n v="0"/>
    <n v="2"/>
    <n v="0"/>
    <n v="4"/>
    <n v="2"/>
    <s v="TA"/>
    <n v="10"/>
    <s v="Typ"/>
    <n v="0"/>
    <s v="NA"/>
    <s v="Detchd"/>
    <n v="1952"/>
    <s v="Unf"/>
    <n v="2"/>
    <n v="400"/>
    <s v="TA"/>
    <s v="TA"/>
    <s v="N"/>
    <n v="0"/>
    <n v="0"/>
    <n v="0"/>
    <n v="0"/>
    <n v="0"/>
    <n v="0"/>
    <s v="NA"/>
    <s v="NA"/>
    <s v="NA"/>
    <n v="0"/>
    <n v="7"/>
    <n v="2009"/>
    <s v="COD"/>
    <s v="Normal"/>
    <n v="124500"/>
  </r>
  <r>
    <n v="507"/>
    <n v="60"/>
    <s v="RL"/>
    <n v="80"/>
    <n v="9554"/>
    <s v="Pave"/>
    <s v="NA"/>
    <s v="IR1"/>
    <s v="Lvl"/>
    <s v="AllPub"/>
    <s v="Inside"/>
    <s v="Gtl"/>
    <x v="12"/>
    <x v="0"/>
    <s v="Norm"/>
    <x v="0"/>
    <x v="0"/>
    <n v="8"/>
    <n v="5"/>
    <x v="5"/>
    <n v="1994"/>
    <s v="Gable"/>
    <s v="CompShg"/>
    <s v="VinylSd"/>
    <s v="VinylSd"/>
    <s v="BrkFace"/>
    <n v="125"/>
    <s v="Gd"/>
    <s v="TA"/>
    <s v="PConc"/>
    <s v="Gd"/>
    <s v="TA"/>
    <s v="No"/>
    <s v="GLQ"/>
    <n v="380"/>
    <s v="Unf"/>
    <n v="0"/>
    <n v="397"/>
    <n v="777"/>
    <s v="GasA"/>
    <s v="Ex"/>
    <s v="Y"/>
    <s v="SBrkr"/>
    <n v="1065"/>
    <n v="846"/>
    <n v="0"/>
    <x v="402"/>
    <n v="0"/>
    <n v="0"/>
    <n v="2"/>
    <n v="1"/>
    <n v="3"/>
    <n v="1"/>
    <s v="Gd"/>
    <n v="8"/>
    <s v="Typ"/>
    <n v="1"/>
    <s v="TA"/>
    <s v="Attchd"/>
    <n v="1993"/>
    <s v="RFn"/>
    <n v="2"/>
    <n v="471"/>
    <s v="TA"/>
    <s v="TA"/>
    <s v="Y"/>
    <n v="182"/>
    <n v="81"/>
    <n v="0"/>
    <n v="0"/>
    <n v="0"/>
    <n v="0"/>
    <s v="NA"/>
    <s v="NA"/>
    <s v="NA"/>
    <n v="0"/>
    <n v="9"/>
    <n v="2006"/>
    <s v="WD"/>
    <s v="Normal"/>
    <n v="215000"/>
  </r>
  <r>
    <n v="508"/>
    <n v="20"/>
    <s v="FV"/>
    <n v="75"/>
    <n v="7862"/>
    <s v="Pave"/>
    <s v="NA"/>
    <s v="IR1"/>
    <s v="Lvl"/>
    <s v="AllPub"/>
    <s v="Inside"/>
    <s v="Gtl"/>
    <x v="5"/>
    <x v="0"/>
    <s v="Norm"/>
    <x v="0"/>
    <x v="1"/>
    <n v="6"/>
    <n v="5"/>
    <x v="51"/>
    <n v="2009"/>
    <s v="Gable"/>
    <s v="CompShg"/>
    <s v="VinylSd"/>
    <s v="VinylSd"/>
    <s v="None"/>
    <n v="0"/>
    <s v="Gd"/>
    <s v="TA"/>
    <s v="PConc"/>
    <s v="Gd"/>
    <s v="TA"/>
    <s v="No"/>
    <s v="GLQ"/>
    <n v="27"/>
    <s v="Unf"/>
    <n v="0"/>
    <n v="1191"/>
    <n v="1218"/>
    <s v="GasA"/>
    <s v="Ex"/>
    <s v="Y"/>
    <s v="SBrkr"/>
    <n v="1218"/>
    <n v="0"/>
    <n v="0"/>
    <x v="399"/>
    <n v="0"/>
    <n v="0"/>
    <n v="2"/>
    <n v="0"/>
    <n v="2"/>
    <n v="1"/>
    <s v="Gd"/>
    <n v="4"/>
    <s v="Typ"/>
    <n v="0"/>
    <s v="NA"/>
    <s v="Attchd"/>
    <n v="2009"/>
    <s v="Fin"/>
    <n v="2"/>
    <n v="676"/>
    <s v="TA"/>
    <s v="TA"/>
    <s v="Y"/>
    <n v="0"/>
    <n v="102"/>
    <n v="0"/>
    <n v="0"/>
    <n v="0"/>
    <n v="0"/>
    <s v="NA"/>
    <s v="NA"/>
    <s v="NA"/>
    <n v="0"/>
    <n v="9"/>
    <n v="2009"/>
    <s v="New"/>
    <s v="Partial"/>
    <n v="208300"/>
  </r>
  <r>
    <n v="509"/>
    <n v="70"/>
    <s v="RM"/>
    <n v="60"/>
    <n v="9600"/>
    <s v="Pave"/>
    <s v="NA"/>
    <s v="Reg"/>
    <s v="Lvl"/>
    <s v="AllPub"/>
    <s v="Inside"/>
    <s v="Gtl"/>
    <x v="7"/>
    <x v="0"/>
    <s v="Norm"/>
    <x v="0"/>
    <x v="0"/>
    <n v="7"/>
    <n v="9"/>
    <x v="89"/>
    <n v="2005"/>
    <s v="Gambrel"/>
    <s v="CompShg"/>
    <s v="MetalSd"/>
    <s v="MetalSd"/>
    <s v="None"/>
    <n v="0"/>
    <s v="TA"/>
    <s v="Ex"/>
    <s v="BrkTil"/>
    <s v="TA"/>
    <s v="TA"/>
    <s v="No"/>
    <s v="Rec"/>
    <n v="141"/>
    <s v="Unf"/>
    <n v="0"/>
    <n v="548"/>
    <n v="689"/>
    <s v="GasA"/>
    <s v="Ex"/>
    <s v="Y"/>
    <s v="SBrkr"/>
    <n v="689"/>
    <n v="689"/>
    <n v="0"/>
    <x v="403"/>
    <n v="0"/>
    <n v="0"/>
    <n v="2"/>
    <n v="0"/>
    <n v="3"/>
    <n v="1"/>
    <s v="Gd"/>
    <n v="7"/>
    <s v="Typ"/>
    <n v="1"/>
    <s v="Gd"/>
    <s v="Detchd"/>
    <n v="1928"/>
    <s v="Unf"/>
    <n v="2"/>
    <n v="360"/>
    <s v="TA"/>
    <s v="TA"/>
    <s v="N"/>
    <n v="0"/>
    <n v="0"/>
    <n v="116"/>
    <n v="0"/>
    <n v="0"/>
    <n v="0"/>
    <s v="NA"/>
    <s v="NA"/>
    <s v="NA"/>
    <n v="0"/>
    <n v="10"/>
    <n v="2008"/>
    <s v="WD"/>
    <s v="Normal"/>
    <n v="161000"/>
  </r>
  <r>
    <n v="510"/>
    <n v="20"/>
    <s v="RL"/>
    <n v="80"/>
    <n v="9600"/>
    <s v="Pave"/>
    <s v="NA"/>
    <s v="Reg"/>
    <s v="Lvl"/>
    <s v="AllPub"/>
    <s v="Corner"/>
    <s v="Gtl"/>
    <x v="11"/>
    <x v="0"/>
    <s v="Norm"/>
    <x v="0"/>
    <x v="1"/>
    <n v="5"/>
    <n v="6"/>
    <x v="28"/>
    <n v="1959"/>
    <s v="Gable"/>
    <s v="CompShg"/>
    <s v="MetalSd"/>
    <s v="MetalSd"/>
    <s v="BrkFace"/>
    <n v="132"/>
    <s v="TA"/>
    <s v="TA"/>
    <s v="CBlock"/>
    <s v="TA"/>
    <s v="TA"/>
    <s v="No"/>
    <s v="ALQ"/>
    <n v="991"/>
    <s v="Unf"/>
    <n v="0"/>
    <n v="50"/>
    <n v="1041"/>
    <s v="GasA"/>
    <s v="Ex"/>
    <s v="Y"/>
    <s v="SBrkr"/>
    <n v="1041"/>
    <n v="0"/>
    <n v="0"/>
    <x v="404"/>
    <n v="1"/>
    <n v="0"/>
    <n v="1"/>
    <n v="0"/>
    <n v="3"/>
    <n v="1"/>
    <s v="TA"/>
    <n v="6"/>
    <s v="Typ"/>
    <n v="0"/>
    <s v="NA"/>
    <s v="Attchd"/>
    <n v="1959"/>
    <s v="RFn"/>
    <n v="1"/>
    <n v="270"/>
    <s v="TA"/>
    <s v="TA"/>
    <s v="Y"/>
    <n v="224"/>
    <n v="88"/>
    <n v="0"/>
    <n v="0"/>
    <n v="0"/>
    <n v="0"/>
    <s v="NA"/>
    <s v="MnPrv"/>
    <s v="NA"/>
    <n v="0"/>
    <n v="7"/>
    <n v="2009"/>
    <s v="WD"/>
    <s v="Normal"/>
    <n v="124500"/>
  </r>
  <r>
    <n v="511"/>
    <n v="20"/>
    <s v="RL"/>
    <n v="75"/>
    <n v="14559"/>
    <s v="Pave"/>
    <s v="NA"/>
    <s v="Reg"/>
    <s v="Lvl"/>
    <s v="AllPub"/>
    <s v="Inside"/>
    <s v="Gtl"/>
    <x v="11"/>
    <x v="0"/>
    <s v="Norm"/>
    <x v="0"/>
    <x v="1"/>
    <n v="5"/>
    <n v="7"/>
    <x v="23"/>
    <n v="2000"/>
    <s v="Hip"/>
    <s v="CompShg"/>
    <s v="Wd Sdng"/>
    <s v="Wd Sdng"/>
    <s v="BrkCmn"/>
    <n v="70"/>
    <s v="Gd"/>
    <s v="TA"/>
    <s v="CBlock"/>
    <s v="TA"/>
    <s v="TA"/>
    <s v="No"/>
    <s v="BLQ"/>
    <n v="650"/>
    <s v="Rec"/>
    <n v="180"/>
    <n v="178"/>
    <n v="1008"/>
    <s v="GasA"/>
    <s v="Ex"/>
    <s v="Y"/>
    <s v="SBrkr"/>
    <n v="1363"/>
    <n v="0"/>
    <n v="0"/>
    <x v="233"/>
    <n v="1"/>
    <n v="0"/>
    <n v="1"/>
    <n v="0"/>
    <n v="2"/>
    <n v="1"/>
    <s v="TA"/>
    <n v="6"/>
    <s v="Min1"/>
    <n v="2"/>
    <s v="TA"/>
    <s v="CarPort"/>
    <n v="1951"/>
    <s v="Unf"/>
    <n v="1"/>
    <n v="288"/>
    <s v="TA"/>
    <s v="TA"/>
    <s v="Y"/>
    <n v="324"/>
    <n v="42"/>
    <n v="0"/>
    <n v="0"/>
    <n v="168"/>
    <n v="0"/>
    <s v="NA"/>
    <s v="NA"/>
    <s v="Shed"/>
    <n v="2000"/>
    <n v="6"/>
    <n v="2009"/>
    <s v="WD"/>
    <s v="Normal"/>
    <n v="164900"/>
  </r>
  <r>
    <n v="512"/>
    <n v="120"/>
    <s v="RL"/>
    <n v="40"/>
    <n v="6792"/>
    <s v="Pave"/>
    <s v="NA"/>
    <s v="IR1"/>
    <s v="Lvl"/>
    <s v="AllPub"/>
    <s v="Inside"/>
    <s v="Gtl"/>
    <x v="10"/>
    <x v="0"/>
    <s v="Norm"/>
    <x v="3"/>
    <x v="1"/>
    <n v="7"/>
    <n v="5"/>
    <x v="11"/>
    <n v="2006"/>
    <s v="Gable"/>
    <s v="CompShg"/>
    <s v="VinylSd"/>
    <s v="VinylSd"/>
    <s v="Stone"/>
    <n v="94"/>
    <s v="Gd"/>
    <s v="TA"/>
    <s v="PConc"/>
    <s v="Gd"/>
    <s v="TA"/>
    <s v="No"/>
    <s v="Unf"/>
    <n v="0"/>
    <s v="Unf"/>
    <n v="0"/>
    <n v="1368"/>
    <n v="1368"/>
    <s v="GasA"/>
    <s v="Ex"/>
    <s v="Y"/>
    <s v="SBrkr"/>
    <n v="1368"/>
    <n v="0"/>
    <n v="0"/>
    <x v="405"/>
    <n v="0"/>
    <n v="0"/>
    <n v="2"/>
    <n v="0"/>
    <n v="2"/>
    <n v="1"/>
    <s v="Gd"/>
    <n v="6"/>
    <s v="Typ"/>
    <n v="1"/>
    <s v="Gd"/>
    <s v="Attchd"/>
    <n v="2005"/>
    <s v="RFn"/>
    <n v="2"/>
    <n v="474"/>
    <s v="TA"/>
    <s v="TA"/>
    <s v="Y"/>
    <n v="132"/>
    <n v="35"/>
    <n v="0"/>
    <n v="0"/>
    <n v="0"/>
    <n v="0"/>
    <s v="NA"/>
    <s v="NA"/>
    <s v="NA"/>
    <n v="0"/>
    <n v="3"/>
    <n v="2006"/>
    <s v="New"/>
    <s v="Partial"/>
    <n v="202665"/>
  </r>
  <r>
    <n v="513"/>
    <n v="20"/>
    <s v="RL"/>
    <n v="70"/>
    <n v="9100"/>
    <s v="Pave"/>
    <s v="NA"/>
    <s v="Reg"/>
    <s v="Lvl"/>
    <s v="AllPub"/>
    <s v="Corner"/>
    <s v="Gtl"/>
    <x v="11"/>
    <x v="1"/>
    <s v="Norm"/>
    <x v="0"/>
    <x v="1"/>
    <n v="5"/>
    <n v="5"/>
    <x v="18"/>
    <n v="1958"/>
    <s v="Gable"/>
    <s v="CompShg"/>
    <s v="VinylSd"/>
    <s v="VinylSd"/>
    <s v="None"/>
    <n v="0"/>
    <s v="TA"/>
    <s v="TA"/>
    <s v="CBlock"/>
    <s v="TA"/>
    <s v="TA"/>
    <s v="No"/>
    <s v="BLQ"/>
    <n v="521"/>
    <s v="LwQ"/>
    <n v="174"/>
    <n v="169"/>
    <n v="864"/>
    <s v="GasA"/>
    <s v="TA"/>
    <s v="Y"/>
    <s v="SBrkr"/>
    <n v="864"/>
    <n v="0"/>
    <n v="0"/>
    <x v="132"/>
    <n v="1"/>
    <n v="0"/>
    <n v="1"/>
    <n v="0"/>
    <n v="3"/>
    <n v="1"/>
    <s v="TA"/>
    <n v="5"/>
    <s v="Typ"/>
    <n v="0"/>
    <s v="NA"/>
    <s v="Detchd"/>
    <n v="1964"/>
    <s v="Unf"/>
    <n v="2"/>
    <n v="624"/>
    <s v="TA"/>
    <s v="TA"/>
    <s v="Y"/>
    <n v="0"/>
    <n v="0"/>
    <n v="0"/>
    <n v="0"/>
    <n v="0"/>
    <n v="0"/>
    <s v="NA"/>
    <s v="NA"/>
    <s v="NA"/>
    <n v="0"/>
    <n v="7"/>
    <n v="2006"/>
    <s v="WD"/>
    <s v="Normal"/>
    <n v="129900"/>
  </r>
  <r>
    <n v="514"/>
    <n v="20"/>
    <s v="RL"/>
    <n v="71"/>
    <n v="9187"/>
    <s v="Pave"/>
    <s v="NA"/>
    <s v="Reg"/>
    <s v="Bnk"/>
    <s v="AllPub"/>
    <s v="Corner"/>
    <s v="Gtl"/>
    <x v="4"/>
    <x v="0"/>
    <s v="Norm"/>
    <x v="0"/>
    <x v="1"/>
    <n v="6"/>
    <n v="5"/>
    <x v="33"/>
    <n v="1983"/>
    <s v="Gable"/>
    <s v="CompShg"/>
    <s v="VinylSd"/>
    <s v="VinylSd"/>
    <s v="None"/>
    <n v="0"/>
    <s v="TA"/>
    <s v="Gd"/>
    <s v="PConc"/>
    <s v="TA"/>
    <s v="TA"/>
    <s v="No"/>
    <s v="ALQ"/>
    <n v="336"/>
    <s v="Unf"/>
    <n v="0"/>
    <n v="748"/>
    <n v="1084"/>
    <s v="GasA"/>
    <s v="TA"/>
    <s v="Y"/>
    <s v="SBrkr"/>
    <n v="1080"/>
    <n v="0"/>
    <n v="0"/>
    <x v="115"/>
    <n v="0"/>
    <n v="0"/>
    <n v="1"/>
    <n v="1"/>
    <n v="3"/>
    <n v="1"/>
    <s v="TA"/>
    <n v="5"/>
    <s v="Typ"/>
    <n v="0"/>
    <s v="NA"/>
    <s v="Attchd"/>
    <n v="1983"/>
    <s v="Unf"/>
    <n v="2"/>
    <n v="484"/>
    <s v="TA"/>
    <s v="TA"/>
    <s v="Y"/>
    <n v="120"/>
    <n v="0"/>
    <n v="158"/>
    <n v="0"/>
    <n v="0"/>
    <n v="0"/>
    <s v="NA"/>
    <s v="NA"/>
    <s v="NA"/>
    <n v="0"/>
    <n v="6"/>
    <n v="2007"/>
    <s v="WD"/>
    <s v="Normal"/>
    <n v="134000"/>
  </r>
  <r>
    <n v="515"/>
    <n v="45"/>
    <s v="RL"/>
    <n v="55"/>
    <n v="10594"/>
    <s v="Pave"/>
    <s v="NA"/>
    <s v="Reg"/>
    <s v="Lvl"/>
    <s v="AllPub"/>
    <s v="Inside"/>
    <s v="Gtl"/>
    <x v="2"/>
    <x v="0"/>
    <s v="Norm"/>
    <x v="0"/>
    <x v="3"/>
    <n v="5"/>
    <n v="5"/>
    <x v="69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768"/>
    <n v="768"/>
    <s v="Grav"/>
    <s v="Fa"/>
    <s v="N"/>
    <s v="SBrkr"/>
    <n v="789"/>
    <n v="0"/>
    <n v="0"/>
    <x v="101"/>
    <n v="0"/>
    <n v="0"/>
    <n v="1"/>
    <n v="0"/>
    <n v="2"/>
    <n v="1"/>
    <s v="TA"/>
    <n v="5"/>
    <s v="Typ"/>
    <n v="0"/>
    <s v="NA"/>
    <s v="Detchd"/>
    <n v="1926"/>
    <s v="Unf"/>
    <n v="1"/>
    <n v="200"/>
    <s v="Po"/>
    <s v="Po"/>
    <s v="Y"/>
    <n v="0"/>
    <n v="0"/>
    <n v="112"/>
    <n v="0"/>
    <n v="0"/>
    <n v="0"/>
    <s v="NA"/>
    <s v="MnPrv"/>
    <s v="NA"/>
    <n v="0"/>
    <n v="6"/>
    <n v="2007"/>
    <s v="WD"/>
    <s v="Normal"/>
    <n v="96500"/>
  </r>
  <r>
    <n v="516"/>
    <n v="20"/>
    <s v="RL"/>
    <n v="94"/>
    <n v="12220"/>
    <s v="Pave"/>
    <s v="NA"/>
    <s v="Reg"/>
    <s v="Lvl"/>
    <s v="AllPub"/>
    <s v="Inside"/>
    <s v="Gtl"/>
    <x v="10"/>
    <x v="0"/>
    <s v="Norm"/>
    <x v="0"/>
    <x v="1"/>
    <n v="10"/>
    <n v="5"/>
    <x v="51"/>
    <n v="2009"/>
    <s v="Hip"/>
    <s v="CompShg"/>
    <s v="CemntBd"/>
    <s v="CmentBd"/>
    <s v="BrkFace"/>
    <n v="305"/>
    <s v="Ex"/>
    <s v="TA"/>
    <s v="CBlock"/>
    <s v="Ex"/>
    <s v="TA"/>
    <s v="No"/>
    <s v="GLQ"/>
    <n v="1436"/>
    <s v="Unf"/>
    <n v="0"/>
    <n v="570"/>
    <n v="2006"/>
    <s v="GasA"/>
    <s v="Ex"/>
    <s v="Y"/>
    <s v="SBrkr"/>
    <n v="2020"/>
    <n v="0"/>
    <n v="0"/>
    <x v="406"/>
    <n v="1"/>
    <n v="0"/>
    <n v="2"/>
    <n v="1"/>
    <n v="3"/>
    <n v="1"/>
    <s v="Ex"/>
    <n v="9"/>
    <s v="Typ"/>
    <n v="1"/>
    <s v="Gd"/>
    <s v="Attchd"/>
    <n v="2009"/>
    <s v="Fin"/>
    <n v="3"/>
    <n v="900"/>
    <s v="TA"/>
    <s v="TA"/>
    <s v="Y"/>
    <n v="156"/>
    <n v="54"/>
    <n v="0"/>
    <n v="0"/>
    <n v="0"/>
    <n v="0"/>
    <s v="NA"/>
    <s v="NA"/>
    <s v="NA"/>
    <n v="0"/>
    <n v="9"/>
    <n v="2009"/>
    <s v="New"/>
    <s v="Partial"/>
    <n v="402861"/>
  </r>
  <r>
    <n v="517"/>
    <n v="80"/>
    <s v="RL"/>
    <s v="NA"/>
    <n v="10448"/>
    <s v="Pave"/>
    <s v="NA"/>
    <s v="IR1"/>
    <s v="Lvl"/>
    <s v="AllPub"/>
    <s v="Corner"/>
    <s v="Gtl"/>
    <x v="6"/>
    <x v="0"/>
    <s v="Norm"/>
    <x v="0"/>
    <x v="5"/>
    <n v="6"/>
    <n v="6"/>
    <x v="41"/>
    <n v="1972"/>
    <s v="Gable"/>
    <s v="CompShg"/>
    <s v="HdBoard"/>
    <s v="HdBoard"/>
    <s v="BrkFace"/>
    <n v="333"/>
    <s v="TA"/>
    <s v="TA"/>
    <s v="CBlock"/>
    <s v="TA"/>
    <s v="TA"/>
    <s v="No"/>
    <s v="Unf"/>
    <n v="0"/>
    <s v="Unf"/>
    <n v="0"/>
    <n v="689"/>
    <n v="689"/>
    <s v="GasA"/>
    <s v="TA"/>
    <s v="Y"/>
    <s v="SBrkr"/>
    <n v="1378"/>
    <n v="741"/>
    <n v="0"/>
    <x v="407"/>
    <n v="0"/>
    <n v="0"/>
    <n v="2"/>
    <n v="1"/>
    <n v="3"/>
    <n v="1"/>
    <s v="TA"/>
    <n v="7"/>
    <s v="Typ"/>
    <n v="1"/>
    <s v="TA"/>
    <s v="Attchd"/>
    <n v="1972"/>
    <s v="RFn"/>
    <n v="2"/>
    <n v="583"/>
    <s v="TA"/>
    <s v="TA"/>
    <s v="Y"/>
    <n v="0"/>
    <n v="104"/>
    <n v="0"/>
    <n v="0"/>
    <n v="0"/>
    <n v="0"/>
    <s v="NA"/>
    <s v="GdPrv"/>
    <s v="NA"/>
    <n v="0"/>
    <n v="8"/>
    <n v="2009"/>
    <s v="COD"/>
    <s v="Abnorml"/>
    <n v="158000"/>
  </r>
  <r>
    <n v="518"/>
    <n v="60"/>
    <s v="RL"/>
    <n v="79"/>
    <n v="10208"/>
    <s v="Pave"/>
    <s v="NA"/>
    <s v="IR1"/>
    <s v="Lvl"/>
    <s v="AllPub"/>
    <s v="Inside"/>
    <s v="Gtl"/>
    <x v="3"/>
    <x v="0"/>
    <s v="Norm"/>
    <x v="0"/>
    <x v="0"/>
    <n v="7"/>
    <n v="5"/>
    <x v="92"/>
    <n v="1997"/>
    <s v="Gable"/>
    <s v="CompShg"/>
    <s v="VinylSd"/>
    <s v="VinylSd"/>
    <s v="BrkFace"/>
    <n v="921"/>
    <s v="Gd"/>
    <s v="TA"/>
    <s v="PConc"/>
    <s v="Gd"/>
    <s v="TA"/>
    <s v="No"/>
    <s v="Unf"/>
    <n v="0"/>
    <s v="Unf"/>
    <n v="0"/>
    <n v="1264"/>
    <n v="1264"/>
    <s v="GasA"/>
    <s v="Ex"/>
    <s v="Y"/>
    <s v="SBrkr"/>
    <n v="1277"/>
    <n v="1067"/>
    <n v="0"/>
    <x v="408"/>
    <n v="0"/>
    <n v="0"/>
    <n v="2"/>
    <n v="1"/>
    <n v="3"/>
    <n v="1"/>
    <s v="Gd"/>
    <n v="7"/>
    <s v="Typ"/>
    <n v="1"/>
    <s v="TA"/>
    <s v="Attchd"/>
    <n v="1996"/>
    <s v="RFn"/>
    <n v="3"/>
    <n v="889"/>
    <s v="TA"/>
    <s v="TA"/>
    <s v="Y"/>
    <n v="220"/>
    <n v="0"/>
    <n v="0"/>
    <n v="0"/>
    <n v="0"/>
    <n v="0"/>
    <s v="NA"/>
    <s v="NA"/>
    <s v="NA"/>
    <n v="0"/>
    <n v="7"/>
    <n v="2009"/>
    <s v="WD"/>
    <s v="Normal"/>
    <n v="265000"/>
  </r>
  <r>
    <n v="519"/>
    <n v="60"/>
    <s v="RL"/>
    <s v="NA"/>
    <n v="9531"/>
    <s v="Pave"/>
    <s v="NA"/>
    <s v="IR1"/>
    <s v="Lvl"/>
    <s v="AllPub"/>
    <s v="CulDSac"/>
    <s v="Gtl"/>
    <x v="0"/>
    <x v="0"/>
    <s v="Norm"/>
    <x v="0"/>
    <x v="0"/>
    <n v="6"/>
    <n v="5"/>
    <x v="45"/>
    <n v="1998"/>
    <s v="Gable"/>
    <s v="CompShg"/>
    <s v="VinylSd"/>
    <s v="VinylSd"/>
    <s v="None"/>
    <n v="0"/>
    <s v="TA"/>
    <s v="TA"/>
    <s v="PConc"/>
    <s v="Gd"/>
    <s v="TA"/>
    <s v="Mn"/>
    <s v="GLQ"/>
    <n v="706"/>
    <s v="Unf"/>
    <n v="0"/>
    <n v="88"/>
    <n v="794"/>
    <s v="GasA"/>
    <s v="Ex"/>
    <s v="Y"/>
    <s v="SBrkr"/>
    <n v="882"/>
    <n v="914"/>
    <n v="0"/>
    <x v="409"/>
    <n v="1"/>
    <n v="0"/>
    <n v="2"/>
    <n v="1"/>
    <n v="3"/>
    <n v="1"/>
    <s v="TA"/>
    <n v="7"/>
    <s v="Typ"/>
    <n v="0"/>
    <s v="NA"/>
    <s v="Attchd"/>
    <n v="1998"/>
    <s v="RFn"/>
    <n v="2"/>
    <n v="546"/>
    <s v="TA"/>
    <s v="TA"/>
    <s v="Y"/>
    <n v="0"/>
    <n v="36"/>
    <n v="0"/>
    <n v="0"/>
    <n v="0"/>
    <n v="0"/>
    <s v="NA"/>
    <s v="MnPrv"/>
    <s v="NA"/>
    <n v="0"/>
    <n v="5"/>
    <n v="2007"/>
    <s v="WD"/>
    <s v="Normal"/>
    <n v="211000"/>
  </r>
  <r>
    <n v="520"/>
    <n v="70"/>
    <s v="RL"/>
    <n v="53"/>
    <n v="10918"/>
    <s v="Pave"/>
    <s v="NA"/>
    <s v="Reg"/>
    <s v="Lvl"/>
    <s v="AllPub"/>
    <s v="Inside"/>
    <s v="Gtl"/>
    <x v="2"/>
    <x v="0"/>
    <s v="Norm"/>
    <x v="0"/>
    <x v="0"/>
    <n v="7"/>
    <n v="9"/>
    <x v="69"/>
    <n v="2004"/>
    <s v="Gambrel"/>
    <s v="CompShg"/>
    <s v="MetalSd"/>
    <s v="MetalSd"/>
    <s v="None"/>
    <n v="0"/>
    <s v="Gd"/>
    <s v="TA"/>
    <s v="BrkTil"/>
    <s v="Gd"/>
    <s v="TA"/>
    <s v="No"/>
    <s v="Unf"/>
    <n v="0"/>
    <s v="Unf"/>
    <n v="0"/>
    <n v="1276"/>
    <n v="1276"/>
    <s v="GasA"/>
    <s v="Ex"/>
    <s v="Y"/>
    <s v="SBrkr"/>
    <n v="1276"/>
    <n v="804"/>
    <n v="0"/>
    <x v="410"/>
    <n v="0"/>
    <n v="0"/>
    <n v="1"/>
    <n v="1"/>
    <n v="3"/>
    <n v="1"/>
    <s v="Gd"/>
    <n v="9"/>
    <s v="Typ"/>
    <n v="2"/>
    <s v="Gd"/>
    <s v="Detchd"/>
    <n v="1926"/>
    <s v="Unf"/>
    <n v="1"/>
    <n v="282"/>
    <s v="TA"/>
    <s v="TA"/>
    <s v="Y"/>
    <n v="0"/>
    <n v="0"/>
    <n v="0"/>
    <n v="0"/>
    <n v="145"/>
    <n v="0"/>
    <s v="NA"/>
    <s v="MnPrv"/>
    <s v="NA"/>
    <n v="0"/>
    <n v="6"/>
    <n v="2009"/>
    <s v="WD"/>
    <s v="Normal"/>
    <n v="234000"/>
  </r>
  <r>
    <n v="521"/>
    <n v="190"/>
    <s v="RL"/>
    <n v="60"/>
    <n v="10800"/>
    <s v="Pave"/>
    <s v="Grvl"/>
    <s v="Reg"/>
    <s v="Lvl"/>
    <s v="AllPub"/>
    <s v="Inside"/>
    <s v="Gtl"/>
    <x v="7"/>
    <x v="0"/>
    <s v="Norm"/>
    <x v="1"/>
    <x v="0"/>
    <n v="4"/>
    <n v="7"/>
    <x v="83"/>
    <n v="2000"/>
    <s v="Gable"/>
    <s v="CompShg"/>
    <s v="MetalSd"/>
    <s v="MetalSd"/>
    <s v="None"/>
    <n v="0"/>
    <s v="TA"/>
    <s v="TA"/>
    <s v="BrkTil"/>
    <s v="NA"/>
    <s v="NA"/>
    <s v="NA"/>
    <s v="NA"/>
    <n v="0"/>
    <s v="NA"/>
    <n v="0"/>
    <n v="0"/>
    <n v="0"/>
    <s v="GasA"/>
    <s v="TA"/>
    <s v="N"/>
    <s v="FuseA"/>
    <n v="694"/>
    <n v="600"/>
    <n v="0"/>
    <x v="411"/>
    <n v="0"/>
    <n v="0"/>
    <n v="2"/>
    <n v="0"/>
    <n v="3"/>
    <n v="2"/>
    <s v="TA"/>
    <n v="7"/>
    <s v="Typ"/>
    <n v="0"/>
    <s v="NA"/>
    <s v="NA"/>
    <s v="NA"/>
    <s v="NA"/>
    <n v="0"/>
    <n v="0"/>
    <s v="NA"/>
    <s v="NA"/>
    <s v="N"/>
    <n v="220"/>
    <n v="114"/>
    <n v="210"/>
    <n v="0"/>
    <n v="0"/>
    <n v="0"/>
    <s v="NA"/>
    <s v="NA"/>
    <s v="NA"/>
    <n v="0"/>
    <n v="8"/>
    <n v="2008"/>
    <s v="WD"/>
    <s v="Normal"/>
    <n v="106250"/>
  </r>
  <r>
    <n v="522"/>
    <n v="20"/>
    <s v="RL"/>
    <n v="90"/>
    <n v="11988"/>
    <s v="Pave"/>
    <s v="NA"/>
    <s v="IR1"/>
    <s v="Lvl"/>
    <s v="AllPub"/>
    <s v="Corner"/>
    <s v="Gtl"/>
    <x v="11"/>
    <x v="1"/>
    <s v="Norm"/>
    <x v="0"/>
    <x v="1"/>
    <n v="6"/>
    <n v="6"/>
    <x v="24"/>
    <n v="1957"/>
    <s v="Gable"/>
    <s v="CompShg"/>
    <s v="VinylSd"/>
    <s v="VinylSd"/>
    <s v="None"/>
    <n v="0"/>
    <s v="TA"/>
    <s v="TA"/>
    <s v="CBlock"/>
    <s v="TA"/>
    <s v="TA"/>
    <s v="No"/>
    <s v="Rec"/>
    <n v="777"/>
    <s v="Unf"/>
    <n v="0"/>
    <n v="467"/>
    <n v="1244"/>
    <s v="GasA"/>
    <s v="Ex"/>
    <s v="Y"/>
    <s v="FuseA"/>
    <n v="1244"/>
    <n v="0"/>
    <n v="0"/>
    <x v="412"/>
    <n v="0"/>
    <n v="0"/>
    <n v="1"/>
    <n v="1"/>
    <n v="3"/>
    <n v="1"/>
    <s v="TA"/>
    <n v="6"/>
    <s v="Typ"/>
    <n v="2"/>
    <s v="Gd"/>
    <s v="Attchd"/>
    <n v="1957"/>
    <s v="Unf"/>
    <n v="1"/>
    <n v="336"/>
    <s v="TA"/>
    <s v="TA"/>
    <s v="Y"/>
    <n v="0"/>
    <n v="40"/>
    <n v="0"/>
    <n v="0"/>
    <n v="0"/>
    <n v="0"/>
    <s v="NA"/>
    <s v="NA"/>
    <s v="NA"/>
    <n v="0"/>
    <n v="5"/>
    <n v="2007"/>
    <s v="WD"/>
    <s v="Normal"/>
    <n v="150000"/>
  </r>
  <r>
    <n v="523"/>
    <n v="50"/>
    <s v="RM"/>
    <n v="50"/>
    <n v="5000"/>
    <s v="Pave"/>
    <s v="NA"/>
    <s v="Reg"/>
    <s v="Lvl"/>
    <s v="AllPub"/>
    <s v="Corner"/>
    <s v="Gtl"/>
    <x v="8"/>
    <x v="1"/>
    <s v="Norm"/>
    <x v="0"/>
    <x v="2"/>
    <n v="6"/>
    <n v="7"/>
    <x v="81"/>
    <n v="1950"/>
    <s v="Gable"/>
    <s v="CompShg"/>
    <s v="CemntBd"/>
    <s v="CmentBd"/>
    <s v="None"/>
    <n v="0"/>
    <s v="TA"/>
    <s v="Gd"/>
    <s v="CBlock"/>
    <s v="TA"/>
    <s v="TA"/>
    <s v="No"/>
    <s v="ALQ"/>
    <n v="399"/>
    <s v="Unf"/>
    <n v="0"/>
    <n v="605"/>
    <n v="1004"/>
    <s v="GasA"/>
    <s v="Ex"/>
    <s v="Y"/>
    <s v="SBrkr"/>
    <n v="1004"/>
    <n v="660"/>
    <n v="0"/>
    <x v="307"/>
    <n v="0"/>
    <n v="0"/>
    <n v="2"/>
    <n v="0"/>
    <n v="3"/>
    <n v="1"/>
    <s v="TA"/>
    <n v="7"/>
    <s v="Typ"/>
    <n v="2"/>
    <s v="Gd"/>
    <s v="Detchd"/>
    <n v="1950"/>
    <s v="Unf"/>
    <n v="2"/>
    <n v="420"/>
    <s v="TA"/>
    <s v="TA"/>
    <s v="Y"/>
    <n v="0"/>
    <n v="24"/>
    <n v="36"/>
    <n v="0"/>
    <n v="0"/>
    <n v="0"/>
    <s v="NA"/>
    <s v="NA"/>
    <s v="NA"/>
    <n v="0"/>
    <n v="10"/>
    <n v="2006"/>
    <s v="WD"/>
    <s v="Normal"/>
    <n v="159000"/>
  </r>
  <r>
    <n v="524"/>
    <n v="60"/>
    <s v="RL"/>
    <n v="130"/>
    <n v="40094"/>
    <s v="Pave"/>
    <s v="NA"/>
    <s v="IR1"/>
    <s v="Bnk"/>
    <s v="AllPub"/>
    <s v="Inside"/>
    <s v="Gtl"/>
    <x v="15"/>
    <x v="2"/>
    <s v="PosN"/>
    <x v="0"/>
    <x v="0"/>
    <n v="10"/>
    <n v="5"/>
    <x v="22"/>
    <n v="2008"/>
    <s v="Hip"/>
    <s v="CompShg"/>
    <s v="CemntBd"/>
    <s v="CmentBd"/>
    <s v="Stone"/>
    <n v="762"/>
    <s v="Ex"/>
    <s v="TA"/>
    <s v="PConc"/>
    <s v="Ex"/>
    <s v="TA"/>
    <s v="Gd"/>
    <s v="GLQ"/>
    <n v="2260"/>
    <s v="Unf"/>
    <n v="0"/>
    <n v="878"/>
    <n v="3138"/>
    <s v="GasA"/>
    <s v="Ex"/>
    <s v="Y"/>
    <s v="SBrkr"/>
    <n v="3138"/>
    <n v="1538"/>
    <n v="0"/>
    <x v="413"/>
    <n v="1"/>
    <n v="0"/>
    <n v="3"/>
    <n v="1"/>
    <n v="3"/>
    <n v="1"/>
    <s v="Ex"/>
    <n v="11"/>
    <s v="Typ"/>
    <n v="1"/>
    <s v="Gd"/>
    <s v="BuiltIn"/>
    <n v="2007"/>
    <s v="Fin"/>
    <n v="3"/>
    <n v="884"/>
    <s v="TA"/>
    <s v="TA"/>
    <s v="Y"/>
    <n v="208"/>
    <n v="406"/>
    <n v="0"/>
    <n v="0"/>
    <n v="0"/>
    <n v="0"/>
    <s v="NA"/>
    <s v="NA"/>
    <s v="NA"/>
    <n v="0"/>
    <n v="10"/>
    <n v="2007"/>
    <s v="New"/>
    <s v="Partial"/>
    <n v="184750"/>
  </r>
  <r>
    <n v="525"/>
    <n v="60"/>
    <s v="RL"/>
    <n v="95"/>
    <n v="11787"/>
    <s v="Pave"/>
    <s v="NA"/>
    <s v="IR1"/>
    <s v="Lvl"/>
    <s v="AllPub"/>
    <s v="Inside"/>
    <s v="Gtl"/>
    <x v="3"/>
    <x v="0"/>
    <s v="Norm"/>
    <x v="0"/>
    <x v="0"/>
    <n v="7"/>
    <n v="5"/>
    <x v="92"/>
    <n v="1997"/>
    <s v="Gable"/>
    <s v="CompShg"/>
    <s v="VinylSd"/>
    <s v="VinylSd"/>
    <s v="BrkFace"/>
    <n v="594"/>
    <s v="Gd"/>
    <s v="TA"/>
    <s v="PConc"/>
    <s v="Gd"/>
    <s v="TA"/>
    <s v="No"/>
    <s v="GLQ"/>
    <n v="719"/>
    <s v="Unf"/>
    <n v="0"/>
    <n v="660"/>
    <n v="1379"/>
    <s v="GasA"/>
    <s v="Ex"/>
    <s v="Y"/>
    <s v="SBrkr"/>
    <n v="1383"/>
    <n v="1015"/>
    <n v="0"/>
    <x v="414"/>
    <n v="1"/>
    <n v="0"/>
    <n v="2"/>
    <n v="1"/>
    <n v="3"/>
    <n v="1"/>
    <s v="Gd"/>
    <n v="8"/>
    <s v="Typ"/>
    <n v="1"/>
    <s v="TA"/>
    <s v="Attchd"/>
    <n v="1996"/>
    <s v="Fin"/>
    <n v="3"/>
    <n v="834"/>
    <s v="TA"/>
    <s v="TA"/>
    <s v="Y"/>
    <n v="239"/>
    <n v="60"/>
    <n v="0"/>
    <n v="0"/>
    <n v="0"/>
    <n v="0"/>
    <s v="NA"/>
    <s v="NA"/>
    <s v="NA"/>
    <n v="0"/>
    <n v="8"/>
    <n v="2007"/>
    <s v="WD"/>
    <s v="Normal"/>
    <n v="315750"/>
  </r>
  <r>
    <n v="526"/>
    <n v="20"/>
    <s v="FV"/>
    <n v="62"/>
    <n v="7500"/>
    <s v="Pave"/>
    <s v="Pave"/>
    <s v="Reg"/>
    <s v="Lvl"/>
    <s v="AllPub"/>
    <s v="Inside"/>
    <s v="Gtl"/>
    <x v="5"/>
    <x v="0"/>
    <s v="Norm"/>
    <x v="0"/>
    <x v="1"/>
    <n v="7"/>
    <n v="5"/>
    <x v="11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257"/>
    <n v="1257"/>
    <s v="GasA"/>
    <s v="Ex"/>
    <s v="Y"/>
    <s v="SBrkr"/>
    <n v="1266"/>
    <n v="0"/>
    <n v="0"/>
    <x v="415"/>
    <n v="0"/>
    <n v="0"/>
    <n v="2"/>
    <n v="0"/>
    <n v="3"/>
    <n v="1"/>
    <s v="Gd"/>
    <n v="6"/>
    <s v="Typ"/>
    <n v="1"/>
    <s v="TA"/>
    <s v="Attchd"/>
    <n v="2005"/>
    <s v="Unf"/>
    <n v="2"/>
    <n v="453"/>
    <s v="TA"/>
    <s v="TA"/>
    <s v="Y"/>
    <n v="38"/>
    <n v="144"/>
    <n v="0"/>
    <n v="0"/>
    <n v="0"/>
    <n v="0"/>
    <s v="NA"/>
    <s v="NA"/>
    <s v="NA"/>
    <n v="0"/>
    <n v="4"/>
    <n v="2006"/>
    <s v="WD"/>
    <s v="Normal"/>
    <n v="176000"/>
  </r>
  <r>
    <n v="527"/>
    <n v="20"/>
    <s v="RL"/>
    <n v="70"/>
    <n v="13300"/>
    <s v="Pave"/>
    <s v="NA"/>
    <s v="Reg"/>
    <s v="Lvl"/>
    <s v="AllPub"/>
    <s v="Inside"/>
    <s v="Gtl"/>
    <x v="11"/>
    <x v="0"/>
    <s v="Norm"/>
    <x v="0"/>
    <x v="1"/>
    <n v="5"/>
    <n v="7"/>
    <x v="46"/>
    <n v="2000"/>
    <s v="Hip"/>
    <s v="CompShg"/>
    <s v="Wd Sdng"/>
    <s v="Wd Sdng"/>
    <s v="None"/>
    <n v="0"/>
    <s v="TA"/>
    <s v="TA"/>
    <s v="CBlock"/>
    <s v="Gd"/>
    <s v="TA"/>
    <s v="No"/>
    <s v="Rec"/>
    <n v="377"/>
    <s v="Unf"/>
    <n v="0"/>
    <n v="551"/>
    <n v="928"/>
    <s v="GasA"/>
    <s v="TA"/>
    <s v="Y"/>
    <s v="SBrkr"/>
    <n v="928"/>
    <n v="0"/>
    <n v="0"/>
    <x v="416"/>
    <n v="0"/>
    <n v="0"/>
    <n v="1"/>
    <n v="0"/>
    <n v="2"/>
    <n v="1"/>
    <s v="TA"/>
    <n v="4"/>
    <s v="Typ"/>
    <n v="0"/>
    <s v="NA"/>
    <s v="Attchd"/>
    <n v="1956"/>
    <s v="Unf"/>
    <n v="1"/>
    <n v="252"/>
    <s v="TA"/>
    <s v="TA"/>
    <s v="Y"/>
    <n v="261"/>
    <n v="0"/>
    <n v="156"/>
    <n v="0"/>
    <n v="0"/>
    <n v="0"/>
    <s v="NA"/>
    <s v="NA"/>
    <s v="NA"/>
    <n v="0"/>
    <n v="6"/>
    <n v="2007"/>
    <s v="WD"/>
    <s v="Normal"/>
    <n v="132000"/>
  </r>
  <r>
    <n v="528"/>
    <n v="60"/>
    <s v="RL"/>
    <n v="67"/>
    <n v="14948"/>
    <s v="Pave"/>
    <s v="NA"/>
    <s v="IR1"/>
    <s v="Lvl"/>
    <s v="AllPub"/>
    <s v="Inside"/>
    <s v="Gtl"/>
    <x v="10"/>
    <x v="0"/>
    <s v="Norm"/>
    <x v="0"/>
    <x v="0"/>
    <n v="9"/>
    <n v="5"/>
    <x v="74"/>
    <n v="2008"/>
    <s v="Hip"/>
    <s v="CompShg"/>
    <s v="VinylSd"/>
    <s v="VinylSd"/>
    <s v="Stone"/>
    <n v="268"/>
    <s v="Ex"/>
    <s v="TA"/>
    <s v="PConc"/>
    <s v="Ex"/>
    <s v="TA"/>
    <s v="Av"/>
    <s v="GLQ"/>
    <n v="1330"/>
    <s v="Unf"/>
    <n v="0"/>
    <n v="122"/>
    <n v="1452"/>
    <s v="GasA"/>
    <s v="Ex"/>
    <s v="Y"/>
    <s v="SBrkr"/>
    <n v="1476"/>
    <n v="1237"/>
    <n v="0"/>
    <x v="417"/>
    <n v="1"/>
    <n v="0"/>
    <n v="2"/>
    <n v="1"/>
    <n v="3"/>
    <n v="1"/>
    <s v="Ex"/>
    <n v="11"/>
    <s v="Typ"/>
    <n v="1"/>
    <s v="Gd"/>
    <s v="Attchd"/>
    <n v="2008"/>
    <s v="Fin"/>
    <n v="3"/>
    <n v="858"/>
    <s v="TA"/>
    <s v="TA"/>
    <s v="Y"/>
    <n v="126"/>
    <n v="66"/>
    <n v="0"/>
    <n v="0"/>
    <n v="0"/>
    <n v="0"/>
    <s v="NA"/>
    <s v="NA"/>
    <s v="NA"/>
    <n v="0"/>
    <n v="11"/>
    <n v="2008"/>
    <s v="New"/>
    <s v="Partial"/>
    <n v="446261"/>
  </r>
  <r>
    <n v="529"/>
    <n v="30"/>
    <s v="RL"/>
    <n v="58"/>
    <n v="9098"/>
    <s v="Pave"/>
    <s v="NA"/>
    <s v="IR1"/>
    <s v="Lvl"/>
    <s v="AllPub"/>
    <s v="Inside"/>
    <s v="Gtl"/>
    <x v="15"/>
    <x v="0"/>
    <s v="Norm"/>
    <x v="0"/>
    <x v="1"/>
    <n v="4"/>
    <n v="7"/>
    <x v="26"/>
    <n v="2002"/>
    <s v="Gable"/>
    <s v="CompShg"/>
    <s v="Wd Sdng"/>
    <s v="Wd Sdng"/>
    <s v="None"/>
    <n v="0"/>
    <s v="TA"/>
    <s v="TA"/>
    <s v="BrkTil"/>
    <s v="TA"/>
    <s v="TA"/>
    <s v="Mn"/>
    <s v="ALQ"/>
    <n v="348"/>
    <s v="Unf"/>
    <n v="0"/>
    <n v="180"/>
    <n v="528"/>
    <s v="GasA"/>
    <s v="Ex"/>
    <s v="Y"/>
    <s v="SBrkr"/>
    <n v="605"/>
    <n v="0"/>
    <n v="0"/>
    <x v="418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0"/>
    <n v="144"/>
    <n v="0"/>
    <n v="0"/>
    <n v="0"/>
    <s v="NA"/>
    <s v="NA"/>
    <s v="NA"/>
    <n v="0"/>
    <n v="7"/>
    <n v="2007"/>
    <s v="WD"/>
    <s v="Normal"/>
    <n v="86000"/>
  </r>
  <r>
    <n v="530"/>
    <n v="20"/>
    <s v="RL"/>
    <s v="NA"/>
    <n v="32668"/>
    <s v="Pave"/>
    <s v="NA"/>
    <s v="IR1"/>
    <s v="Lvl"/>
    <s v="AllPub"/>
    <s v="CulDSac"/>
    <s v="Gtl"/>
    <x v="2"/>
    <x v="0"/>
    <s v="Norm"/>
    <x v="0"/>
    <x v="1"/>
    <n v="6"/>
    <n v="3"/>
    <x v="24"/>
    <n v="1975"/>
    <s v="Hip"/>
    <s v="CompShg"/>
    <s v="Wd Sdng"/>
    <s v="Stone"/>
    <s v="NA"/>
    <s v="NA"/>
    <s v="Gd"/>
    <s v="TA"/>
    <s v="PConc"/>
    <s v="TA"/>
    <s v="TA"/>
    <s v="No"/>
    <s v="Rec"/>
    <n v="1219"/>
    <s v="Unf"/>
    <n v="0"/>
    <n v="816"/>
    <n v="2035"/>
    <s v="GasA"/>
    <s v="TA"/>
    <s v="Y"/>
    <s v="SBrkr"/>
    <n v="2515"/>
    <n v="0"/>
    <n v="0"/>
    <x v="419"/>
    <n v="1"/>
    <n v="0"/>
    <n v="3"/>
    <n v="0"/>
    <n v="4"/>
    <n v="2"/>
    <s v="TA"/>
    <n v="9"/>
    <s v="Maj1"/>
    <n v="2"/>
    <s v="TA"/>
    <s v="Attchd"/>
    <n v="1975"/>
    <s v="RFn"/>
    <n v="2"/>
    <n v="484"/>
    <s v="TA"/>
    <s v="TA"/>
    <s v="Y"/>
    <n v="0"/>
    <n v="0"/>
    <n v="200"/>
    <n v="0"/>
    <n v="0"/>
    <n v="0"/>
    <s v="NA"/>
    <s v="NA"/>
    <s v="NA"/>
    <n v="0"/>
    <n v="3"/>
    <n v="2007"/>
    <s v="WD"/>
    <s v="Alloca"/>
    <n v="200624"/>
  </r>
  <r>
    <n v="531"/>
    <n v="80"/>
    <s v="RL"/>
    <n v="85"/>
    <n v="10200"/>
    <s v="Pave"/>
    <s v="NA"/>
    <s v="Reg"/>
    <s v="Lvl"/>
    <s v="AllPub"/>
    <s v="Inside"/>
    <s v="Gtl"/>
    <x v="16"/>
    <x v="0"/>
    <s v="Norm"/>
    <x v="0"/>
    <x v="5"/>
    <n v="6"/>
    <n v="5"/>
    <x v="62"/>
    <n v="1989"/>
    <s v="Gable"/>
    <s v="CompShg"/>
    <s v="HdBoard"/>
    <s v="HdBoard"/>
    <s v="BrkFace"/>
    <n v="219"/>
    <s v="Gd"/>
    <s v="TA"/>
    <s v="CBlock"/>
    <s v="Gd"/>
    <s v="TA"/>
    <s v="Av"/>
    <s v="GLQ"/>
    <n v="783"/>
    <s v="Unf"/>
    <n v="0"/>
    <n v="678"/>
    <n v="1461"/>
    <s v="GasA"/>
    <s v="Ex"/>
    <s v="Y"/>
    <s v="SBrkr"/>
    <n v="1509"/>
    <n v="0"/>
    <n v="0"/>
    <x v="420"/>
    <n v="1"/>
    <n v="0"/>
    <n v="2"/>
    <n v="0"/>
    <n v="3"/>
    <n v="1"/>
    <s v="Gd"/>
    <n v="5"/>
    <s v="Typ"/>
    <n v="1"/>
    <s v="Fa"/>
    <s v="Attchd"/>
    <n v="1988"/>
    <s v="RFn"/>
    <n v="2"/>
    <n v="600"/>
    <s v="TA"/>
    <s v="TA"/>
    <s v="Y"/>
    <n v="224"/>
    <n v="0"/>
    <n v="0"/>
    <n v="0"/>
    <n v="0"/>
    <n v="0"/>
    <s v="NA"/>
    <s v="NA"/>
    <s v="NA"/>
    <n v="0"/>
    <n v="8"/>
    <n v="2008"/>
    <s v="WD"/>
    <s v="Abnorml"/>
    <n v="175000"/>
  </r>
  <r>
    <n v="532"/>
    <n v="70"/>
    <s v="RM"/>
    <n v="60"/>
    <n v="6155"/>
    <s v="Pave"/>
    <s v="NA"/>
    <s v="IR1"/>
    <s v="Lvl"/>
    <s v="AllPub"/>
    <s v="FR3"/>
    <s v="Gtl"/>
    <x v="8"/>
    <x v="5"/>
    <s v="Feedr"/>
    <x v="0"/>
    <x v="0"/>
    <n v="6"/>
    <n v="8"/>
    <x v="26"/>
    <n v="1999"/>
    <s v="Gable"/>
    <s v="CompShg"/>
    <s v="Wd Sdng"/>
    <s v="Wd Sdng"/>
    <s v="None"/>
    <n v="0"/>
    <s v="TA"/>
    <s v="TA"/>
    <s v="BrkTil"/>
    <s v="Fa"/>
    <s v="Fa"/>
    <s v="Mn"/>
    <s v="Unf"/>
    <n v="0"/>
    <s v="Unf"/>
    <n v="0"/>
    <n v="611"/>
    <n v="611"/>
    <s v="GasA"/>
    <s v="Ex"/>
    <s v="Y"/>
    <s v="SBrkr"/>
    <n v="751"/>
    <n v="611"/>
    <n v="0"/>
    <x v="5"/>
    <n v="0"/>
    <n v="0"/>
    <n v="2"/>
    <n v="0"/>
    <n v="3"/>
    <n v="1"/>
    <s v="TA"/>
    <n v="6"/>
    <s v="Typ"/>
    <n v="0"/>
    <s v="NA"/>
    <s v="Detchd"/>
    <n v="1920"/>
    <s v="Fin"/>
    <n v="2"/>
    <n v="502"/>
    <s v="TA"/>
    <s v="Fa"/>
    <s v="Y"/>
    <n v="0"/>
    <n v="0"/>
    <n v="84"/>
    <n v="0"/>
    <n v="0"/>
    <n v="0"/>
    <s v="NA"/>
    <s v="NA"/>
    <s v="NA"/>
    <n v="0"/>
    <n v="6"/>
    <n v="2008"/>
    <s v="WD"/>
    <s v="Normal"/>
    <n v="128000"/>
  </r>
  <r>
    <n v="533"/>
    <n v="20"/>
    <s v="RL"/>
    <n v="60"/>
    <n v="7200"/>
    <s v="Pave"/>
    <s v="NA"/>
    <s v="Reg"/>
    <s v="Lvl"/>
    <s v="AllPub"/>
    <s v="Inside"/>
    <s v="Gtl"/>
    <x v="11"/>
    <x v="0"/>
    <s v="Norm"/>
    <x v="0"/>
    <x v="1"/>
    <n v="5"/>
    <n v="7"/>
    <x v="32"/>
    <n v="2007"/>
    <s v="Gable"/>
    <s v="CompShg"/>
    <s v="VinylSd"/>
    <s v="VinylSd"/>
    <s v="None"/>
    <n v="0"/>
    <s v="TA"/>
    <s v="TA"/>
    <s v="Slab"/>
    <s v="NA"/>
    <s v="NA"/>
    <s v="NA"/>
    <s v="NA"/>
    <n v="0"/>
    <s v="NA"/>
    <n v="0"/>
    <n v="0"/>
    <n v="0"/>
    <s v="GasA"/>
    <s v="Ex"/>
    <s v="Y"/>
    <s v="SBrkr"/>
    <n v="827"/>
    <n v="0"/>
    <n v="0"/>
    <x v="421"/>
    <n v="0"/>
    <n v="0"/>
    <n v="1"/>
    <n v="0"/>
    <n v="2"/>
    <n v="1"/>
    <s v="TA"/>
    <n v="5"/>
    <s v="Mod"/>
    <n v="1"/>
    <s v="Po"/>
    <s v="Detchd"/>
    <n v="1967"/>
    <s v="Unf"/>
    <n v="1"/>
    <n v="392"/>
    <s v="TA"/>
    <s v="TA"/>
    <s v="Y"/>
    <n v="0"/>
    <n v="0"/>
    <n v="0"/>
    <n v="0"/>
    <n v="0"/>
    <n v="0"/>
    <s v="NA"/>
    <s v="NA"/>
    <s v="NA"/>
    <n v="0"/>
    <n v="4"/>
    <n v="2010"/>
    <s v="WD"/>
    <s v="Normal"/>
    <n v="107500"/>
  </r>
  <r>
    <n v="534"/>
    <n v="20"/>
    <s v="RL"/>
    <n v="50"/>
    <n v="5000"/>
    <s v="Pave"/>
    <s v="NA"/>
    <s v="Reg"/>
    <s v="Low"/>
    <s v="AllPub"/>
    <s v="Inside"/>
    <s v="Mod"/>
    <x v="8"/>
    <x v="0"/>
    <s v="Norm"/>
    <x v="0"/>
    <x v="1"/>
    <n v="1"/>
    <n v="3"/>
    <x v="94"/>
    <n v="1950"/>
    <s v="Gable"/>
    <s v="CompShg"/>
    <s v="VinylSd"/>
    <s v="VinylSd"/>
    <s v="None"/>
    <n v="0"/>
    <s v="Fa"/>
    <s v="Fa"/>
    <s v="Slab"/>
    <s v="NA"/>
    <s v="NA"/>
    <s v="NA"/>
    <s v="NA"/>
    <n v="0"/>
    <s v="NA"/>
    <n v="0"/>
    <n v="0"/>
    <n v="0"/>
    <s v="GasA"/>
    <s v="Fa"/>
    <s v="N"/>
    <s v="FuseF"/>
    <n v="334"/>
    <n v="0"/>
    <n v="0"/>
    <x v="422"/>
    <n v="0"/>
    <n v="0"/>
    <n v="1"/>
    <n v="0"/>
    <n v="1"/>
    <n v="1"/>
    <s v="Fa"/>
    <n v="2"/>
    <s v="Typ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1"/>
    <n v="2007"/>
    <s v="WD"/>
    <s v="Normal"/>
    <n v="39300"/>
  </r>
  <r>
    <n v="535"/>
    <n v="60"/>
    <s v="RL"/>
    <n v="74"/>
    <n v="9056"/>
    <s v="Pave"/>
    <s v="NA"/>
    <s v="IR1"/>
    <s v="Lvl"/>
    <s v="AllPub"/>
    <s v="Inside"/>
    <s v="Gtl"/>
    <x v="17"/>
    <x v="0"/>
    <s v="Norm"/>
    <x v="0"/>
    <x v="0"/>
    <n v="8"/>
    <n v="5"/>
    <x v="6"/>
    <n v="2004"/>
    <s v="Gable"/>
    <s v="CompShg"/>
    <s v="VinylSd"/>
    <s v="VinylSd"/>
    <s v="None"/>
    <n v="0"/>
    <s v="Gd"/>
    <s v="TA"/>
    <s v="PConc"/>
    <s v="Ex"/>
    <s v="Gd"/>
    <s v="Av"/>
    <s v="Unf"/>
    <n v="0"/>
    <s v="Unf"/>
    <n v="0"/>
    <n v="707"/>
    <n v="707"/>
    <s v="GasA"/>
    <s v="Ex"/>
    <s v="Y"/>
    <s v="SBrkr"/>
    <n v="707"/>
    <n v="707"/>
    <n v="0"/>
    <x v="206"/>
    <n v="0"/>
    <n v="0"/>
    <n v="2"/>
    <n v="1"/>
    <n v="3"/>
    <n v="1"/>
    <s v="Gd"/>
    <n v="6"/>
    <s v="Typ"/>
    <n v="1"/>
    <s v="Gd"/>
    <s v="Attchd"/>
    <n v="2004"/>
    <s v="Fin"/>
    <n v="2"/>
    <n v="403"/>
    <s v="TA"/>
    <s v="TA"/>
    <s v="Y"/>
    <n v="100"/>
    <n v="35"/>
    <n v="0"/>
    <n v="0"/>
    <n v="0"/>
    <n v="0"/>
    <s v="NA"/>
    <s v="NA"/>
    <s v="NA"/>
    <n v="0"/>
    <n v="10"/>
    <n v="2006"/>
    <s v="WD"/>
    <s v="Normal"/>
    <n v="178000"/>
  </r>
  <r>
    <n v="536"/>
    <n v="190"/>
    <s v="RL"/>
    <n v="70"/>
    <n v="7000"/>
    <s v="Pave"/>
    <s v="NA"/>
    <s v="Reg"/>
    <s v="Lvl"/>
    <s v="AllPub"/>
    <s v="Inside"/>
    <s v="Gtl"/>
    <x v="15"/>
    <x v="0"/>
    <s v="Norm"/>
    <x v="1"/>
    <x v="0"/>
    <n v="5"/>
    <n v="7"/>
    <x v="48"/>
    <n v="1991"/>
    <s v="Gable"/>
    <s v="CompShg"/>
    <s v="MetalSd"/>
    <s v="MetalSd"/>
    <s v="None"/>
    <n v="0"/>
    <s v="TA"/>
    <s v="TA"/>
    <s v="CBlock"/>
    <s v="Gd"/>
    <s v="TA"/>
    <s v="Gd"/>
    <s v="GLQ"/>
    <n v="969"/>
    <s v="Unf"/>
    <n v="0"/>
    <n v="148"/>
    <n v="1117"/>
    <s v="GasA"/>
    <s v="TA"/>
    <s v="Y"/>
    <s v="SBrkr"/>
    <n v="820"/>
    <n v="527"/>
    <n v="0"/>
    <x v="423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N"/>
    <n v="85"/>
    <n v="0"/>
    <n v="148"/>
    <n v="0"/>
    <n v="0"/>
    <n v="0"/>
    <s v="NA"/>
    <s v="NA"/>
    <s v="NA"/>
    <n v="0"/>
    <n v="1"/>
    <n v="2008"/>
    <s v="WD"/>
    <s v="Normal"/>
    <n v="107500"/>
  </r>
  <r>
    <n v="537"/>
    <n v="60"/>
    <s v="RL"/>
    <n v="57"/>
    <n v="8924"/>
    <s v="Pave"/>
    <s v="NA"/>
    <s v="IR1"/>
    <s v="Lvl"/>
    <s v="AllPub"/>
    <s v="CulDSac"/>
    <s v="Gtl"/>
    <x v="0"/>
    <x v="0"/>
    <s v="Norm"/>
    <x v="0"/>
    <x v="0"/>
    <n v="7"/>
    <n v="5"/>
    <x v="45"/>
    <n v="1999"/>
    <s v="Gable"/>
    <s v="CompShg"/>
    <s v="VinylSd"/>
    <s v="VinylSd"/>
    <s v="None"/>
    <n v="0"/>
    <s v="TA"/>
    <s v="TA"/>
    <s v="PConc"/>
    <s v="Gd"/>
    <s v="TA"/>
    <s v="Av"/>
    <s v="Unf"/>
    <n v="0"/>
    <s v="Unf"/>
    <n v="0"/>
    <n v="880"/>
    <n v="880"/>
    <s v="GasA"/>
    <s v="Ex"/>
    <s v="Y"/>
    <s v="SBrkr"/>
    <n v="880"/>
    <n v="844"/>
    <n v="0"/>
    <x v="424"/>
    <n v="0"/>
    <n v="0"/>
    <n v="2"/>
    <n v="1"/>
    <n v="3"/>
    <n v="1"/>
    <s v="Gd"/>
    <n v="8"/>
    <s v="Typ"/>
    <n v="0"/>
    <s v="NA"/>
    <s v="Attchd"/>
    <n v="1998"/>
    <s v="Fin"/>
    <n v="2"/>
    <n v="527"/>
    <s v="TA"/>
    <s v="TA"/>
    <s v="Y"/>
    <n v="120"/>
    <n v="155"/>
    <n v="0"/>
    <n v="0"/>
    <n v="0"/>
    <n v="0"/>
    <s v="NA"/>
    <s v="NA"/>
    <s v="NA"/>
    <n v="0"/>
    <n v="7"/>
    <n v="2008"/>
    <s v="WD"/>
    <s v="Normal"/>
    <n v="188000"/>
  </r>
  <r>
    <n v="538"/>
    <n v="20"/>
    <s v="RL"/>
    <s v="NA"/>
    <n v="12735"/>
    <s v="Pave"/>
    <s v="NA"/>
    <s v="IR1"/>
    <s v="Lvl"/>
    <s v="AllPub"/>
    <s v="FR2"/>
    <s v="Gtl"/>
    <x v="11"/>
    <x v="0"/>
    <s v="Norm"/>
    <x v="0"/>
    <x v="1"/>
    <n v="4"/>
    <n v="5"/>
    <x v="41"/>
    <n v="1972"/>
    <s v="Hip"/>
    <s v="CompShg"/>
    <s v="MetalSd"/>
    <s v="MetalSd"/>
    <s v="None"/>
    <n v="0"/>
    <s v="TA"/>
    <s v="TA"/>
    <s v="CBlock"/>
    <s v="TA"/>
    <s v="TA"/>
    <s v="No"/>
    <s v="BLQ"/>
    <n v="600"/>
    <s v="Unf"/>
    <n v="0"/>
    <n v="264"/>
    <n v="864"/>
    <s v="GasA"/>
    <s v="TA"/>
    <s v="Y"/>
    <s v="SBrkr"/>
    <n v="864"/>
    <n v="0"/>
    <n v="0"/>
    <x v="132"/>
    <n v="0"/>
    <n v="0"/>
    <n v="1"/>
    <n v="0"/>
    <n v="3"/>
    <n v="1"/>
    <s v="TA"/>
    <n v="5"/>
    <s v="Typ"/>
    <n v="0"/>
    <s v="NA"/>
    <s v="Detchd"/>
    <n v="1980"/>
    <s v="Unf"/>
    <n v="2"/>
    <n v="576"/>
    <s v="TA"/>
    <s v="TA"/>
    <s v="Y"/>
    <n v="216"/>
    <n v="0"/>
    <n v="0"/>
    <n v="0"/>
    <n v="0"/>
    <n v="0"/>
    <s v="NA"/>
    <s v="MnWw"/>
    <s v="NA"/>
    <n v="0"/>
    <n v="4"/>
    <n v="2008"/>
    <s v="COD"/>
    <s v="Normal"/>
    <n v="111250"/>
  </r>
  <r>
    <n v="539"/>
    <n v="20"/>
    <s v="RL"/>
    <s v="NA"/>
    <n v="11553"/>
    <s v="Pave"/>
    <s v="NA"/>
    <s v="IR1"/>
    <s v="Lvl"/>
    <s v="AllPub"/>
    <s v="Inside"/>
    <s v="Gtl"/>
    <x v="9"/>
    <x v="0"/>
    <s v="Norm"/>
    <x v="0"/>
    <x v="1"/>
    <n v="5"/>
    <n v="5"/>
    <x v="21"/>
    <n v="1968"/>
    <s v="Hip"/>
    <s v="CompShg"/>
    <s v="Plywood"/>
    <s v="Plywood"/>
    <s v="BrkFace"/>
    <n v="188"/>
    <s v="TA"/>
    <s v="TA"/>
    <s v="CBlock"/>
    <s v="TA"/>
    <s v="TA"/>
    <s v="No"/>
    <s v="BLQ"/>
    <n v="673"/>
    <s v="Unf"/>
    <n v="0"/>
    <n v="378"/>
    <n v="1051"/>
    <s v="GasA"/>
    <s v="TA"/>
    <s v="Y"/>
    <s v="SBrkr"/>
    <n v="1159"/>
    <n v="0"/>
    <n v="0"/>
    <x v="425"/>
    <n v="0"/>
    <n v="0"/>
    <n v="1"/>
    <n v="1"/>
    <n v="3"/>
    <n v="1"/>
    <s v="TA"/>
    <n v="7"/>
    <s v="Typ"/>
    <n v="1"/>
    <s v="Fa"/>
    <s v="Attchd"/>
    <n v="1968"/>
    <s v="Unf"/>
    <n v="1"/>
    <n v="336"/>
    <s v="TA"/>
    <s v="TA"/>
    <s v="Y"/>
    <n v="466"/>
    <n v="0"/>
    <n v="0"/>
    <n v="0"/>
    <n v="0"/>
    <n v="0"/>
    <s v="NA"/>
    <s v="NA"/>
    <s v="NA"/>
    <n v="0"/>
    <n v="7"/>
    <n v="2006"/>
    <s v="WD"/>
    <s v="Normal"/>
    <n v="158000"/>
  </r>
  <r>
    <n v="540"/>
    <n v="20"/>
    <s v="RL"/>
    <s v="NA"/>
    <n v="11423"/>
    <s v="Pave"/>
    <s v="NA"/>
    <s v="Reg"/>
    <s v="Lvl"/>
    <s v="AllPub"/>
    <s v="Inside"/>
    <s v="Gtl"/>
    <x v="0"/>
    <x v="0"/>
    <s v="Norm"/>
    <x v="0"/>
    <x v="1"/>
    <n v="8"/>
    <n v="5"/>
    <x v="2"/>
    <n v="2002"/>
    <s v="Gable"/>
    <s v="CompShg"/>
    <s v="VinylSd"/>
    <s v="VinylSd"/>
    <s v="BrkFace"/>
    <n v="479"/>
    <s v="Gd"/>
    <s v="TA"/>
    <s v="PConc"/>
    <s v="Gd"/>
    <s v="TA"/>
    <s v="Av"/>
    <s v="GLQ"/>
    <n v="1358"/>
    <s v="Unf"/>
    <n v="0"/>
    <n v="223"/>
    <n v="1581"/>
    <s v="GasA"/>
    <s v="Ex"/>
    <s v="Y"/>
    <s v="SBrkr"/>
    <n v="1601"/>
    <n v="0"/>
    <n v="0"/>
    <x v="426"/>
    <n v="1"/>
    <n v="0"/>
    <n v="2"/>
    <n v="0"/>
    <n v="3"/>
    <n v="1"/>
    <s v="Gd"/>
    <n v="6"/>
    <s v="Typ"/>
    <n v="1"/>
    <s v="TA"/>
    <s v="Attchd"/>
    <n v="2001"/>
    <s v="RFn"/>
    <n v="2"/>
    <n v="670"/>
    <s v="TA"/>
    <s v="TA"/>
    <s v="Y"/>
    <n v="180"/>
    <n v="0"/>
    <n v="0"/>
    <n v="0"/>
    <n v="0"/>
    <n v="0"/>
    <s v="NA"/>
    <s v="MnPrv"/>
    <s v="Shed"/>
    <n v="2000"/>
    <n v="5"/>
    <n v="2010"/>
    <s v="WD"/>
    <s v="Normal"/>
    <n v="272000"/>
  </r>
  <r>
    <n v="541"/>
    <n v="20"/>
    <s v="RL"/>
    <n v="85"/>
    <n v="14601"/>
    <s v="Pave"/>
    <s v="NA"/>
    <s v="Reg"/>
    <s v="Lvl"/>
    <s v="AllPub"/>
    <s v="Inside"/>
    <s v="Gtl"/>
    <x v="16"/>
    <x v="0"/>
    <s v="Norm"/>
    <x v="0"/>
    <x v="1"/>
    <n v="9"/>
    <n v="5"/>
    <x v="13"/>
    <n v="2006"/>
    <s v="Hip"/>
    <s v="CompShg"/>
    <s v="VinylSd"/>
    <s v="VinylSd"/>
    <s v="BrkFace"/>
    <n v="584"/>
    <s v="Ex"/>
    <s v="TA"/>
    <s v="PConc"/>
    <s v="Ex"/>
    <s v="TA"/>
    <s v="Av"/>
    <s v="GLQ"/>
    <n v="1260"/>
    <s v="Unf"/>
    <n v="0"/>
    <n v="578"/>
    <n v="1838"/>
    <s v="GasA"/>
    <s v="Ex"/>
    <s v="Y"/>
    <s v="SBrkr"/>
    <n v="1838"/>
    <n v="0"/>
    <n v="0"/>
    <x v="427"/>
    <n v="1"/>
    <n v="0"/>
    <n v="2"/>
    <n v="0"/>
    <n v="2"/>
    <n v="1"/>
    <s v="Ex"/>
    <n v="8"/>
    <s v="Typ"/>
    <n v="1"/>
    <s v="Gd"/>
    <s v="Attchd"/>
    <n v="2006"/>
    <s v="Fin"/>
    <n v="3"/>
    <n v="765"/>
    <s v="TA"/>
    <s v="TA"/>
    <s v="Y"/>
    <n v="270"/>
    <n v="68"/>
    <n v="0"/>
    <n v="0"/>
    <n v="0"/>
    <n v="0"/>
    <s v="NA"/>
    <s v="NA"/>
    <s v="NA"/>
    <n v="0"/>
    <n v="3"/>
    <n v="2009"/>
    <s v="WD"/>
    <s v="Normal"/>
    <n v="315000"/>
  </r>
  <r>
    <n v="542"/>
    <n v="60"/>
    <s v="RL"/>
    <s v="NA"/>
    <n v="11000"/>
    <s v="Pave"/>
    <s v="NA"/>
    <s v="Reg"/>
    <s v="Lvl"/>
    <s v="AllPub"/>
    <s v="FR2"/>
    <s v="Gtl"/>
    <x v="3"/>
    <x v="0"/>
    <s v="Norm"/>
    <x v="0"/>
    <x v="0"/>
    <n v="8"/>
    <n v="5"/>
    <x v="4"/>
    <n v="2000"/>
    <s v="Gable"/>
    <s v="CompShg"/>
    <s v="VinylSd"/>
    <s v="VinylSd"/>
    <s v="BrkFace"/>
    <n v="72"/>
    <s v="Gd"/>
    <s v="TA"/>
    <s v="PConc"/>
    <s v="Gd"/>
    <s v="TA"/>
    <s v="No"/>
    <s v="Unf"/>
    <n v="0"/>
    <s v="Unf"/>
    <n v="0"/>
    <n v="969"/>
    <n v="969"/>
    <s v="GasA"/>
    <s v="Ex"/>
    <s v="Y"/>
    <s v="SBrkr"/>
    <n v="997"/>
    <n v="1288"/>
    <n v="0"/>
    <x v="428"/>
    <n v="0"/>
    <n v="0"/>
    <n v="2"/>
    <n v="1"/>
    <n v="4"/>
    <n v="1"/>
    <s v="Gd"/>
    <n v="8"/>
    <s v="Typ"/>
    <n v="1"/>
    <s v="TA"/>
    <s v="BuiltIn"/>
    <n v="2000"/>
    <s v="Fin"/>
    <n v="3"/>
    <n v="648"/>
    <s v="TA"/>
    <s v="TA"/>
    <s v="Y"/>
    <n v="0"/>
    <n v="56"/>
    <n v="0"/>
    <n v="0"/>
    <n v="0"/>
    <n v="0"/>
    <s v="NA"/>
    <s v="NA"/>
    <s v="NA"/>
    <n v="0"/>
    <n v="6"/>
    <n v="2007"/>
    <s v="WD"/>
    <s v="Normal"/>
    <n v="248000"/>
  </r>
  <r>
    <n v="543"/>
    <n v="20"/>
    <s v="RL"/>
    <n v="78"/>
    <n v="10140"/>
    <s v="Pave"/>
    <s v="NA"/>
    <s v="Reg"/>
    <s v="Lvl"/>
    <s v="AllPub"/>
    <s v="Inside"/>
    <s v="Gtl"/>
    <x v="6"/>
    <x v="6"/>
    <s v="Norm"/>
    <x v="0"/>
    <x v="1"/>
    <n v="7"/>
    <n v="5"/>
    <x v="45"/>
    <n v="1999"/>
    <s v="Hip"/>
    <s v="CompShg"/>
    <s v="VinylSd"/>
    <s v="VinylSd"/>
    <s v="None"/>
    <n v="0"/>
    <s v="Gd"/>
    <s v="TA"/>
    <s v="PConc"/>
    <s v="Ex"/>
    <s v="TA"/>
    <s v="No"/>
    <s v="LwQ"/>
    <n v="144"/>
    <s v="GLQ"/>
    <n v="1127"/>
    <n v="379"/>
    <n v="1650"/>
    <s v="GasA"/>
    <s v="Ex"/>
    <s v="Y"/>
    <s v="SBrkr"/>
    <n v="1680"/>
    <n v="0"/>
    <n v="0"/>
    <x v="335"/>
    <n v="1"/>
    <n v="0"/>
    <n v="2"/>
    <n v="0"/>
    <n v="3"/>
    <n v="1"/>
    <s v="Gd"/>
    <n v="7"/>
    <s v="Maj1"/>
    <n v="1"/>
    <s v="TA"/>
    <s v="Attchd"/>
    <n v="1998"/>
    <s v="Fin"/>
    <n v="2"/>
    <n v="583"/>
    <s v="TA"/>
    <s v="TA"/>
    <s v="Y"/>
    <n v="78"/>
    <n v="73"/>
    <n v="0"/>
    <n v="0"/>
    <n v="0"/>
    <n v="0"/>
    <s v="NA"/>
    <s v="NA"/>
    <s v="NA"/>
    <n v="0"/>
    <n v="6"/>
    <n v="2009"/>
    <s v="WD"/>
    <s v="Normal"/>
    <n v="213250"/>
  </r>
  <r>
    <n v="544"/>
    <n v="120"/>
    <s v="RH"/>
    <n v="34"/>
    <n v="4058"/>
    <s v="Pave"/>
    <s v="NA"/>
    <s v="Reg"/>
    <s v="Lvl"/>
    <s v="AllPub"/>
    <s v="Inside"/>
    <s v="Gtl"/>
    <x v="11"/>
    <x v="0"/>
    <s v="Norm"/>
    <x v="3"/>
    <x v="4"/>
    <n v="7"/>
    <n v="5"/>
    <x v="45"/>
    <n v="1998"/>
    <s v="Gable"/>
    <s v="CompShg"/>
    <s v="MetalSd"/>
    <s v="MetalSd"/>
    <s v="BrkFace"/>
    <n v="182"/>
    <s v="TA"/>
    <s v="TA"/>
    <s v="PConc"/>
    <s v="Gd"/>
    <s v="TA"/>
    <s v="Av"/>
    <s v="GLQ"/>
    <n v="584"/>
    <s v="LwQ"/>
    <n v="139"/>
    <n v="0"/>
    <n v="723"/>
    <s v="GasA"/>
    <s v="Ex"/>
    <s v="Y"/>
    <s v="SBrkr"/>
    <n v="767"/>
    <n v="0"/>
    <n v="0"/>
    <x v="429"/>
    <n v="1"/>
    <n v="0"/>
    <n v="1"/>
    <n v="0"/>
    <n v="1"/>
    <n v="1"/>
    <s v="TA"/>
    <n v="4"/>
    <s v="Typ"/>
    <n v="0"/>
    <s v="NA"/>
    <s v="Attchd"/>
    <n v="1998"/>
    <s v="Fin"/>
    <n v="1"/>
    <n v="367"/>
    <s v="TA"/>
    <s v="TA"/>
    <s v="Y"/>
    <n v="120"/>
    <n v="40"/>
    <n v="0"/>
    <n v="0"/>
    <n v="0"/>
    <n v="0"/>
    <s v="NA"/>
    <s v="NA"/>
    <s v="NA"/>
    <n v="0"/>
    <n v="6"/>
    <n v="2007"/>
    <s v="WD"/>
    <s v="Normal"/>
    <n v="133000"/>
  </r>
  <r>
    <n v="545"/>
    <n v="60"/>
    <s v="RL"/>
    <n v="58"/>
    <n v="17104"/>
    <s v="Pave"/>
    <s v="NA"/>
    <s v="IR1"/>
    <s v="Lvl"/>
    <s v="AllPub"/>
    <s v="Inside"/>
    <s v="Gtl"/>
    <x v="17"/>
    <x v="0"/>
    <s v="Norm"/>
    <x v="0"/>
    <x v="0"/>
    <n v="7"/>
    <n v="5"/>
    <x v="13"/>
    <n v="2006"/>
    <s v="Gable"/>
    <s v="CompShg"/>
    <s v="VinylSd"/>
    <s v="VinylSd"/>
    <s v="None"/>
    <n v="0"/>
    <s v="Gd"/>
    <s v="TA"/>
    <s v="PConc"/>
    <s v="Gd"/>
    <s v="Gd"/>
    <s v="Av"/>
    <s v="GLQ"/>
    <n v="554"/>
    <s v="Unf"/>
    <n v="0"/>
    <n v="100"/>
    <n v="654"/>
    <s v="GasA"/>
    <s v="Ex"/>
    <s v="Y"/>
    <s v="SBrkr"/>
    <n v="664"/>
    <n v="832"/>
    <n v="0"/>
    <x v="430"/>
    <n v="1"/>
    <n v="0"/>
    <n v="2"/>
    <n v="1"/>
    <n v="3"/>
    <n v="1"/>
    <s v="Gd"/>
    <n v="7"/>
    <s v="Typ"/>
    <n v="1"/>
    <s v="Gd"/>
    <s v="Attchd"/>
    <n v="2006"/>
    <s v="RFn"/>
    <n v="2"/>
    <n v="426"/>
    <s v="TA"/>
    <s v="TA"/>
    <s v="Y"/>
    <n v="100"/>
    <n v="24"/>
    <n v="0"/>
    <n v="0"/>
    <n v="0"/>
    <n v="0"/>
    <s v="NA"/>
    <s v="NA"/>
    <s v="NA"/>
    <n v="0"/>
    <n v="9"/>
    <n v="2006"/>
    <s v="New"/>
    <s v="Partial"/>
    <n v="179665"/>
  </r>
  <r>
    <n v="546"/>
    <n v="50"/>
    <s v="RL"/>
    <s v="NA"/>
    <n v="13837"/>
    <s v="Pave"/>
    <s v="NA"/>
    <s v="IR1"/>
    <s v="Lvl"/>
    <s v="AllPub"/>
    <s v="Corner"/>
    <s v="Gtl"/>
    <x v="6"/>
    <x v="0"/>
    <s v="Norm"/>
    <x v="0"/>
    <x v="2"/>
    <n v="7"/>
    <n v="5"/>
    <x v="62"/>
    <n v="1988"/>
    <s v="Gable"/>
    <s v="CompShg"/>
    <s v="HdBoard"/>
    <s v="HdBoard"/>
    <s v="BrkFace"/>
    <n v="178"/>
    <s v="Gd"/>
    <s v="Gd"/>
    <s v="PConc"/>
    <s v="Gd"/>
    <s v="Gd"/>
    <s v="No"/>
    <s v="GLQ"/>
    <n v="1002"/>
    <s v="LwQ"/>
    <n v="202"/>
    <n v="0"/>
    <n v="1204"/>
    <s v="GasA"/>
    <s v="Gd"/>
    <s v="Y"/>
    <s v="SBrkr"/>
    <n v="1377"/>
    <n v="806"/>
    <n v="0"/>
    <x v="431"/>
    <n v="0"/>
    <n v="0"/>
    <n v="2"/>
    <n v="1"/>
    <n v="4"/>
    <n v="1"/>
    <s v="Gd"/>
    <n v="9"/>
    <s v="Typ"/>
    <n v="0"/>
    <s v="NA"/>
    <s v="Attchd"/>
    <n v="1988"/>
    <s v="Unf"/>
    <n v="3"/>
    <n v="786"/>
    <s v="TA"/>
    <s v="TA"/>
    <s v="Y"/>
    <n v="0"/>
    <n v="0"/>
    <n v="0"/>
    <n v="0"/>
    <n v="0"/>
    <n v="0"/>
    <s v="NA"/>
    <s v="NA"/>
    <s v="NA"/>
    <n v="0"/>
    <n v="2"/>
    <n v="2006"/>
    <s v="WD"/>
    <s v="Normal"/>
    <n v="229000"/>
  </r>
  <r>
    <n v="547"/>
    <n v="50"/>
    <s v="RL"/>
    <n v="70"/>
    <n v="8737"/>
    <s v="Pave"/>
    <s v="NA"/>
    <s v="IR1"/>
    <s v="Bnk"/>
    <s v="AllPub"/>
    <s v="Inside"/>
    <s v="Gtl"/>
    <x v="8"/>
    <x v="0"/>
    <s v="Norm"/>
    <x v="0"/>
    <x v="2"/>
    <n v="6"/>
    <n v="7"/>
    <x v="66"/>
    <n v="1950"/>
    <s v="Gable"/>
    <s v="CompShg"/>
    <s v="BrkFace"/>
    <s v="Wd Sdng"/>
    <s v="None"/>
    <n v="0"/>
    <s v="TA"/>
    <s v="TA"/>
    <s v="BrkTil"/>
    <s v="Gd"/>
    <s v="TA"/>
    <s v="No"/>
    <s v="Rec"/>
    <n v="300"/>
    <s v="Unf"/>
    <n v="0"/>
    <n v="765"/>
    <n v="1065"/>
    <s v="GasA"/>
    <s v="Ex"/>
    <s v="Y"/>
    <s v="FuseA"/>
    <n v="915"/>
    <n v="720"/>
    <n v="0"/>
    <x v="432"/>
    <n v="0"/>
    <n v="0"/>
    <n v="1"/>
    <n v="1"/>
    <n v="3"/>
    <n v="1"/>
    <s v="TA"/>
    <n v="6"/>
    <s v="Typ"/>
    <n v="1"/>
    <s v="Gd"/>
    <s v="Detchd"/>
    <n v="1950"/>
    <s v="Unf"/>
    <n v="2"/>
    <n v="440"/>
    <s v="TA"/>
    <s v="TA"/>
    <s v="Y"/>
    <n v="0"/>
    <n v="38"/>
    <n v="0"/>
    <n v="144"/>
    <n v="0"/>
    <n v="0"/>
    <s v="NA"/>
    <s v="NA"/>
    <s v="NA"/>
    <n v="0"/>
    <n v="5"/>
    <n v="2007"/>
    <s v="WD"/>
    <s v="Normal"/>
    <n v="210000"/>
  </r>
  <r>
    <n v="548"/>
    <n v="85"/>
    <s v="RL"/>
    <n v="54"/>
    <n v="7244"/>
    <s v="Pave"/>
    <s v="NA"/>
    <s v="Reg"/>
    <s v="Lvl"/>
    <s v="AllPub"/>
    <s v="Inside"/>
    <s v="Gtl"/>
    <x v="4"/>
    <x v="0"/>
    <s v="Norm"/>
    <x v="0"/>
    <x v="4"/>
    <n v="5"/>
    <n v="7"/>
    <x v="16"/>
    <n v="1970"/>
    <s v="Gable"/>
    <s v="CompShg"/>
    <s v="VinylSd"/>
    <s v="VinylSd"/>
    <s v="None"/>
    <n v="0"/>
    <s v="TA"/>
    <s v="Gd"/>
    <s v="CBlock"/>
    <s v="Gd"/>
    <s v="TA"/>
    <s v="Av"/>
    <s v="ALQ"/>
    <n v="619"/>
    <s v="Unf"/>
    <n v="0"/>
    <n v="149"/>
    <n v="768"/>
    <s v="GasA"/>
    <s v="Ex"/>
    <s v="Y"/>
    <s v="SBrkr"/>
    <n v="768"/>
    <n v="0"/>
    <n v="0"/>
    <x v="433"/>
    <n v="1"/>
    <n v="0"/>
    <n v="1"/>
    <n v="0"/>
    <n v="2"/>
    <n v="1"/>
    <s v="TA"/>
    <n v="5"/>
    <s v="Typ"/>
    <n v="0"/>
    <s v="NA"/>
    <s v="Detchd"/>
    <n v="1987"/>
    <s v="Unf"/>
    <n v="2"/>
    <n v="624"/>
    <s v="TA"/>
    <s v="TA"/>
    <s v="Y"/>
    <n v="104"/>
    <n v="0"/>
    <n v="0"/>
    <n v="0"/>
    <n v="0"/>
    <n v="0"/>
    <s v="NA"/>
    <s v="NA"/>
    <s v="NA"/>
    <n v="0"/>
    <n v="4"/>
    <n v="2007"/>
    <s v="WD"/>
    <s v="Normal"/>
    <n v="129500"/>
  </r>
  <r>
    <n v="549"/>
    <n v="20"/>
    <s v="RM"/>
    <n v="49"/>
    <n v="8235"/>
    <s v="Pave"/>
    <s v="NA"/>
    <s v="IR1"/>
    <s v="HLS"/>
    <s v="AllPub"/>
    <s v="Inside"/>
    <s v="Gtl"/>
    <x v="7"/>
    <x v="1"/>
    <s v="RRNn"/>
    <x v="0"/>
    <x v="1"/>
    <n v="5"/>
    <n v="7"/>
    <x v="32"/>
    <n v="1995"/>
    <s v="Gable"/>
    <s v="CompShg"/>
    <s v="MetalSd"/>
    <s v="MetalSd"/>
    <s v="None"/>
    <n v="0"/>
    <s v="TA"/>
    <s v="Gd"/>
    <s v="CBlock"/>
    <s v="TA"/>
    <s v="TA"/>
    <s v="No"/>
    <s v="LwQ"/>
    <n v="180"/>
    <s v="Rec"/>
    <n v="645"/>
    <n v="0"/>
    <n v="825"/>
    <s v="GasA"/>
    <s v="TA"/>
    <s v="Y"/>
    <s v="SBrkr"/>
    <n v="825"/>
    <n v="0"/>
    <n v="0"/>
    <x v="434"/>
    <n v="1"/>
    <n v="0"/>
    <n v="1"/>
    <n v="0"/>
    <n v="2"/>
    <n v="1"/>
    <s v="TA"/>
    <n v="4"/>
    <s v="Typ"/>
    <n v="0"/>
    <s v="NA"/>
    <s v="Detchd"/>
    <n v="1963"/>
    <s v="RFn"/>
    <n v="2"/>
    <n v="720"/>
    <s v="TA"/>
    <s v="TA"/>
    <s v="Y"/>
    <n v="140"/>
    <n v="50"/>
    <n v="0"/>
    <n v="0"/>
    <n v="0"/>
    <n v="0"/>
    <s v="NA"/>
    <s v="MnPrv"/>
    <s v="NA"/>
    <n v="0"/>
    <n v="6"/>
    <n v="2008"/>
    <s v="WD"/>
    <s v="Normal"/>
    <n v="125000"/>
  </r>
  <r>
    <n v="550"/>
    <n v="60"/>
    <s v="FV"/>
    <n v="75"/>
    <n v="9375"/>
    <s v="Pave"/>
    <s v="NA"/>
    <s v="Reg"/>
    <s v="Lvl"/>
    <s v="AllPub"/>
    <s v="Inside"/>
    <s v="Gtl"/>
    <x v="5"/>
    <x v="0"/>
    <s v="Norm"/>
    <x v="0"/>
    <x v="0"/>
    <n v="7"/>
    <n v="5"/>
    <x v="0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912"/>
    <n v="912"/>
    <s v="GasA"/>
    <s v="Ex"/>
    <s v="Y"/>
    <s v="SBrkr"/>
    <n v="912"/>
    <n v="1182"/>
    <n v="0"/>
    <x v="435"/>
    <n v="0"/>
    <n v="0"/>
    <n v="2"/>
    <n v="1"/>
    <n v="4"/>
    <n v="1"/>
    <s v="Gd"/>
    <n v="8"/>
    <s v="Typ"/>
    <n v="1"/>
    <s v="Gd"/>
    <s v="BuiltIn"/>
    <n v="2003"/>
    <s v="Fin"/>
    <n v="2"/>
    <n v="615"/>
    <s v="TA"/>
    <s v="TA"/>
    <s v="Y"/>
    <n v="182"/>
    <n v="182"/>
    <n v="0"/>
    <n v="0"/>
    <n v="0"/>
    <n v="0"/>
    <s v="NA"/>
    <s v="NA"/>
    <s v="NA"/>
    <n v="0"/>
    <n v="11"/>
    <n v="2009"/>
    <s v="WD"/>
    <s v="Normal"/>
    <n v="263000"/>
  </r>
  <r>
    <n v="551"/>
    <n v="120"/>
    <s v="RL"/>
    <n v="53"/>
    <n v="4043"/>
    <s v="Pave"/>
    <s v="NA"/>
    <s v="Reg"/>
    <s v="Lvl"/>
    <s v="AllPub"/>
    <s v="Inside"/>
    <s v="Gtl"/>
    <x v="20"/>
    <x v="0"/>
    <s v="Norm"/>
    <x v="3"/>
    <x v="1"/>
    <n v="6"/>
    <n v="6"/>
    <x v="54"/>
    <n v="1977"/>
    <s v="Gable"/>
    <s v="CompShg"/>
    <s v="Plywood"/>
    <s v="Plywood"/>
    <s v="None"/>
    <n v="0"/>
    <s v="TA"/>
    <s v="TA"/>
    <s v="CBlock"/>
    <s v="Gd"/>
    <s v="TA"/>
    <s v="No"/>
    <s v="ALQ"/>
    <n v="559"/>
    <s v="Unf"/>
    <n v="0"/>
    <n v="510"/>
    <n v="1069"/>
    <s v="GasA"/>
    <s v="TA"/>
    <s v="Y"/>
    <s v="SBrkr"/>
    <n v="1069"/>
    <n v="0"/>
    <n v="0"/>
    <x v="436"/>
    <n v="0"/>
    <n v="0"/>
    <n v="2"/>
    <n v="0"/>
    <n v="2"/>
    <n v="1"/>
    <s v="TA"/>
    <n v="4"/>
    <s v="Typ"/>
    <n v="0"/>
    <s v="NA"/>
    <s v="Attchd"/>
    <n v="1977"/>
    <s v="RFn"/>
    <n v="2"/>
    <n v="440"/>
    <s v="TA"/>
    <s v="TA"/>
    <s v="Y"/>
    <n v="0"/>
    <n v="55"/>
    <n v="0"/>
    <n v="0"/>
    <n v="200"/>
    <n v="0"/>
    <s v="NA"/>
    <s v="NA"/>
    <s v="NA"/>
    <n v="0"/>
    <n v="10"/>
    <n v="2008"/>
    <s v="COD"/>
    <s v="Abnorml"/>
    <n v="140000"/>
  </r>
  <r>
    <n v="552"/>
    <n v="20"/>
    <s v="RM"/>
    <n v="50"/>
    <n v="6000"/>
    <s v="Pave"/>
    <s v="NA"/>
    <s v="Reg"/>
    <s v="Lvl"/>
    <s v="AllPub"/>
    <s v="Inside"/>
    <s v="Gtl"/>
    <x v="7"/>
    <x v="0"/>
    <s v="Norm"/>
    <x v="0"/>
    <x v="1"/>
    <n v="5"/>
    <n v="6"/>
    <x v="24"/>
    <n v="1957"/>
    <s v="Hip"/>
    <s v="CompShg"/>
    <s v="BrkFace"/>
    <s v="BrkFace"/>
    <s v="None"/>
    <n v="0"/>
    <s v="TA"/>
    <s v="TA"/>
    <s v="CBlock"/>
    <s v="TA"/>
    <s v="TA"/>
    <s v="No"/>
    <s v="Rec"/>
    <n v="308"/>
    <s v="Unf"/>
    <n v="0"/>
    <n v="620"/>
    <n v="928"/>
    <s v="GasA"/>
    <s v="Gd"/>
    <s v="Y"/>
    <s v="FuseA"/>
    <n v="928"/>
    <n v="0"/>
    <n v="0"/>
    <x v="416"/>
    <n v="0"/>
    <n v="0"/>
    <n v="1"/>
    <n v="0"/>
    <n v="3"/>
    <n v="1"/>
    <s v="TA"/>
    <n v="5"/>
    <s v="Typ"/>
    <n v="0"/>
    <s v="NA"/>
    <s v="Attchd"/>
    <n v="1957"/>
    <s v="Fin"/>
    <n v="1"/>
    <n v="288"/>
    <s v="TA"/>
    <s v="TA"/>
    <s v="Y"/>
    <n v="0"/>
    <n v="0"/>
    <n v="0"/>
    <n v="0"/>
    <n v="0"/>
    <n v="0"/>
    <s v="NA"/>
    <s v="NA"/>
    <s v="NA"/>
    <n v="0"/>
    <n v="6"/>
    <n v="2008"/>
    <s v="WD"/>
    <s v="Normal"/>
    <n v="112500"/>
  </r>
  <r>
    <n v="553"/>
    <n v="20"/>
    <s v="RL"/>
    <n v="87"/>
    <n v="11146"/>
    <s v="Pave"/>
    <s v="NA"/>
    <s v="IR1"/>
    <s v="Lvl"/>
    <s v="AllPub"/>
    <s v="Inside"/>
    <s v="Gtl"/>
    <x v="10"/>
    <x v="0"/>
    <s v="Norm"/>
    <x v="0"/>
    <x v="1"/>
    <n v="8"/>
    <n v="5"/>
    <x v="13"/>
    <n v="2006"/>
    <s v="Gable"/>
    <s v="CompShg"/>
    <s v="VinylSd"/>
    <s v="VinylSd"/>
    <s v="Stone"/>
    <n v="250"/>
    <s v="Gd"/>
    <s v="TA"/>
    <s v="PConc"/>
    <s v="Ex"/>
    <s v="TA"/>
    <s v="Av"/>
    <s v="Unf"/>
    <n v="0"/>
    <s v="Unf"/>
    <n v="0"/>
    <n v="1709"/>
    <n v="1709"/>
    <s v="GasA"/>
    <s v="Ex"/>
    <s v="Y"/>
    <s v="SBrkr"/>
    <n v="1717"/>
    <n v="0"/>
    <n v="0"/>
    <x v="3"/>
    <n v="0"/>
    <n v="0"/>
    <n v="2"/>
    <n v="0"/>
    <n v="3"/>
    <n v="1"/>
    <s v="Gd"/>
    <n v="7"/>
    <s v="Typ"/>
    <n v="1"/>
    <s v="Gd"/>
    <s v="Attchd"/>
    <n v="2006"/>
    <s v="RFn"/>
    <n v="3"/>
    <n v="908"/>
    <s v="TA"/>
    <s v="TA"/>
    <s v="Y"/>
    <n v="169"/>
    <n v="39"/>
    <n v="0"/>
    <n v="0"/>
    <n v="0"/>
    <n v="0"/>
    <s v="NA"/>
    <s v="NA"/>
    <s v="NA"/>
    <n v="0"/>
    <n v="7"/>
    <n v="2009"/>
    <s v="WD"/>
    <s v="Normal"/>
    <n v="255500"/>
  </r>
  <r>
    <n v="554"/>
    <n v="20"/>
    <s v="RL"/>
    <n v="67"/>
    <n v="8777"/>
    <s v="Pave"/>
    <s v="NA"/>
    <s v="Reg"/>
    <s v="Lvl"/>
    <s v="AllPub"/>
    <s v="Inside"/>
    <s v="Gtl"/>
    <x v="15"/>
    <x v="1"/>
    <s v="Norm"/>
    <x v="0"/>
    <x v="1"/>
    <n v="4"/>
    <n v="5"/>
    <x v="87"/>
    <n v="2003"/>
    <s v="Gable"/>
    <s v="CompShg"/>
    <s v="VinylSd"/>
    <s v="VinylSd"/>
    <s v="None"/>
    <n v="0"/>
    <s v="TA"/>
    <s v="TA"/>
    <s v="CBlock"/>
    <s v="NA"/>
    <s v="NA"/>
    <s v="NA"/>
    <s v="NA"/>
    <n v="0"/>
    <s v="NA"/>
    <n v="0"/>
    <n v="0"/>
    <n v="0"/>
    <s v="GasA"/>
    <s v="Ex"/>
    <s v="Y"/>
    <s v="SBrkr"/>
    <n v="1126"/>
    <n v="0"/>
    <n v="0"/>
    <x v="437"/>
    <n v="0"/>
    <n v="0"/>
    <n v="2"/>
    <n v="0"/>
    <n v="2"/>
    <n v="1"/>
    <s v="Gd"/>
    <n v="5"/>
    <s v="Typ"/>
    <n v="0"/>
    <s v="NA"/>
    <s v="Detchd"/>
    <n v="2002"/>
    <s v="Fin"/>
    <n v="2"/>
    <n v="520"/>
    <s v="TA"/>
    <s v="TA"/>
    <s v="N"/>
    <n v="0"/>
    <n v="96"/>
    <n v="0"/>
    <n v="0"/>
    <n v="0"/>
    <n v="0"/>
    <s v="NA"/>
    <s v="MnPrv"/>
    <s v="NA"/>
    <n v="0"/>
    <n v="5"/>
    <n v="2009"/>
    <s v="WD"/>
    <s v="Normal"/>
    <n v="108000"/>
  </r>
  <r>
    <n v="555"/>
    <n v="60"/>
    <s v="RL"/>
    <n v="85"/>
    <n v="10625"/>
    <s v="Pave"/>
    <s v="NA"/>
    <s v="Reg"/>
    <s v="Lvl"/>
    <s v="AllPub"/>
    <s v="Inside"/>
    <s v="Gtl"/>
    <x v="10"/>
    <x v="0"/>
    <s v="Norm"/>
    <x v="0"/>
    <x v="0"/>
    <n v="7"/>
    <n v="5"/>
    <x v="0"/>
    <n v="2004"/>
    <s v="Gable"/>
    <s v="CompShg"/>
    <s v="VinylSd"/>
    <s v="VinylSd"/>
    <s v="BrkFace"/>
    <n v="292"/>
    <s v="Gd"/>
    <s v="TA"/>
    <s v="PConc"/>
    <s v="Gd"/>
    <s v="TA"/>
    <s v="No"/>
    <s v="GLQ"/>
    <n v="866"/>
    <s v="Unf"/>
    <n v="0"/>
    <n v="132"/>
    <n v="998"/>
    <s v="GasA"/>
    <s v="Ex"/>
    <s v="Y"/>
    <s v="SBrkr"/>
    <n v="1006"/>
    <n v="1040"/>
    <n v="0"/>
    <x v="438"/>
    <n v="1"/>
    <n v="0"/>
    <n v="2"/>
    <n v="1"/>
    <n v="3"/>
    <n v="1"/>
    <s v="Gd"/>
    <n v="8"/>
    <s v="Typ"/>
    <n v="1"/>
    <s v="Gd"/>
    <s v="BuiltIn"/>
    <n v="2003"/>
    <s v="RFn"/>
    <n v="3"/>
    <n v="871"/>
    <s v="TA"/>
    <s v="TA"/>
    <s v="Y"/>
    <n v="320"/>
    <n v="62"/>
    <n v="0"/>
    <n v="0"/>
    <n v="0"/>
    <n v="0"/>
    <s v="NA"/>
    <s v="NA"/>
    <s v="NA"/>
    <n v="0"/>
    <n v="8"/>
    <n v="2008"/>
    <s v="WD"/>
    <s v="Normal"/>
    <n v="284000"/>
  </r>
  <r>
    <n v="556"/>
    <n v="45"/>
    <s v="RM"/>
    <n v="58"/>
    <n v="6380"/>
    <s v="Pave"/>
    <s v="NA"/>
    <s v="Reg"/>
    <s v="Lvl"/>
    <s v="AllPub"/>
    <s v="Inside"/>
    <s v="Gtl"/>
    <x v="8"/>
    <x v="0"/>
    <s v="Norm"/>
    <x v="0"/>
    <x v="3"/>
    <n v="5"/>
    <n v="6"/>
    <x v="91"/>
    <n v="1950"/>
    <s v="Gable"/>
    <s v="CompShg"/>
    <s v="MetalSd"/>
    <s v="MetalSd"/>
    <s v="None"/>
    <n v="0"/>
    <s v="TA"/>
    <s v="TA"/>
    <s v="BrkTil"/>
    <s v="TA"/>
    <s v="Fa"/>
    <s v="No"/>
    <s v="Unf"/>
    <n v="0"/>
    <s v="Unf"/>
    <n v="0"/>
    <n v="993"/>
    <n v="993"/>
    <s v="GasA"/>
    <s v="TA"/>
    <s v="Y"/>
    <s v="FuseA"/>
    <n v="1048"/>
    <n v="0"/>
    <n v="0"/>
    <x v="439"/>
    <n v="0"/>
    <n v="0"/>
    <n v="1"/>
    <n v="0"/>
    <n v="2"/>
    <n v="1"/>
    <s v="TA"/>
    <n v="5"/>
    <s v="Typ"/>
    <n v="1"/>
    <s v="Gd"/>
    <s v="Detchd"/>
    <n v="1922"/>
    <s v="Unf"/>
    <n v="1"/>
    <n v="280"/>
    <s v="TA"/>
    <s v="TA"/>
    <s v="Y"/>
    <n v="0"/>
    <n v="0"/>
    <n v="116"/>
    <n v="0"/>
    <n v="0"/>
    <n v="0"/>
    <s v="NA"/>
    <s v="NA"/>
    <s v="NA"/>
    <n v="0"/>
    <n v="8"/>
    <n v="2006"/>
    <s v="WD"/>
    <s v="Normal"/>
    <n v="113000"/>
  </r>
  <r>
    <n v="557"/>
    <n v="20"/>
    <s v="RL"/>
    <n v="69"/>
    <n v="14850"/>
    <s v="Pave"/>
    <s v="NA"/>
    <s v="IR1"/>
    <s v="Lvl"/>
    <s v="AllPub"/>
    <s v="Inside"/>
    <s v="Gtl"/>
    <x v="11"/>
    <x v="0"/>
    <s v="Norm"/>
    <x v="0"/>
    <x v="1"/>
    <n v="5"/>
    <n v="5"/>
    <x v="24"/>
    <n v="1957"/>
    <s v="Gable"/>
    <s v="CompShg"/>
    <s v="Wd Sdng"/>
    <s v="Wd Sdng"/>
    <s v="None"/>
    <n v="0"/>
    <s v="TA"/>
    <s v="TA"/>
    <s v="CBlock"/>
    <s v="TA"/>
    <s v="TA"/>
    <s v="No"/>
    <s v="Rec"/>
    <n v="895"/>
    <s v="Unf"/>
    <n v="0"/>
    <n v="197"/>
    <n v="1092"/>
    <s v="GasA"/>
    <s v="TA"/>
    <s v="Y"/>
    <s v="FuseA"/>
    <n v="1092"/>
    <n v="0"/>
    <n v="0"/>
    <x v="110"/>
    <n v="1"/>
    <n v="0"/>
    <n v="1"/>
    <n v="0"/>
    <n v="2"/>
    <n v="1"/>
    <s v="TA"/>
    <n v="6"/>
    <s v="Typ"/>
    <n v="1"/>
    <s v="TA"/>
    <s v="Attchd"/>
    <n v="1957"/>
    <s v="Fin"/>
    <n v="1"/>
    <n v="299"/>
    <s v="TA"/>
    <s v="TA"/>
    <s v="Y"/>
    <n v="268"/>
    <n v="0"/>
    <n v="0"/>
    <n v="0"/>
    <n v="122"/>
    <n v="0"/>
    <s v="NA"/>
    <s v="MnWw"/>
    <s v="NA"/>
    <n v="0"/>
    <n v="5"/>
    <n v="2006"/>
    <s v="WD"/>
    <s v="Normal"/>
    <n v="141000"/>
  </r>
  <r>
    <n v="558"/>
    <n v="50"/>
    <s v="C (all)"/>
    <n v="60"/>
    <n v="11040"/>
    <s v="Pave"/>
    <s v="NA"/>
    <s v="Reg"/>
    <s v="Low"/>
    <s v="AllPub"/>
    <s v="Inside"/>
    <s v="Mod"/>
    <x v="13"/>
    <x v="0"/>
    <s v="Norm"/>
    <x v="0"/>
    <x v="2"/>
    <n v="4"/>
    <n v="6"/>
    <x v="26"/>
    <n v="1950"/>
    <s v="Gable"/>
    <s v="CompShg"/>
    <s v="MetalSd"/>
    <s v="MetalSd"/>
    <s v="None"/>
    <n v="0"/>
    <s v="TA"/>
    <s v="TA"/>
    <s v="CBlock"/>
    <s v="TA"/>
    <s v="TA"/>
    <s v="No"/>
    <s v="Rec"/>
    <n v="637"/>
    <s v="Unf"/>
    <n v="0"/>
    <n v="0"/>
    <n v="637"/>
    <s v="GasA"/>
    <s v="Gd"/>
    <s v="Y"/>
    <s v="SBrkr"/>
    <n v="897"/>
    <n v="439"/>
    <n v="0"/>
    <x v="253"/>
    <n v="0"/>
    <n v="0"/>
    <n v="1"/>
    <n v="1"/>
    <n v="3"/>
    <n v="1"/>
    <s v="TA"/>
    <n v="7"/>
    <s v="Typ"/>
    <n v="0"/>
    <s v="NA"/>
    <s v="CarPort"/>
    <n v="1994"/>
    <s v="Unf"/>
    <n v="1"/>
    <n v="570"/>
    <s v="TA"/>
    <s v="TA"/>
    <s v="Y"/>
    <n v="0"/>
    <n v="47"/>
    <n v="120"/>
    <n v="0"/>
    <n v="0"/>
    <n v="0"/>
    <s v="NA"/>
    <s v="NA"/>
    <s v="NA"/>
    <n v="0"/>
    <n v="9"/>
    <n v="2006"/>
    <s v="COD"/>
    <s v="Normal"/>
    <n v="108000"/>
  </r>
  <r>
    <n v="559"/>
    <n v="60"/>
    <s v="RL"/>
    <n v="57"/>
    <n v="21872"/>
    <s v="Pave"/>
    <s v="NA"/>
    <s v="IR2"/>
    <s v="HLS"/>
    <s v="AllPub"/>
    <s v="FR2"/>
    <s v="Gtl"/>
    <x v="17"/>
    <x v="0"/>
    <s v="Norm"/>
    <x v="0"/>
    <x v="0"/>
    <n v="7"/>
    <n v="5"/>
    <x v="92"/>
    <n v="1997"/>
    <s v="Gable"/>
    <s v="CompShg"/>
    <s v="HdBoard"/>
    <s v="HdBoard"/>
    <s v="None"/>
    <n v="0"/>
    <s v="TA"/>
    <s v="TA"/>
    <s v="PConc"/>
    <s v="Gd"/>
    <s v="TA"/>
    <s v="Gd"/>
    <s v="GLQ"/>
    <n v="604"/>
    <s v="Unf"/>
    <n v="0"/>
    <n v="125"/>
    <n v="729"/>
    <s v="GasA"/>
    <s v="Ex"/>
    <s v="Y"/>
    <s v="SBrkr"/>
    <n v="729"/>
    <n v="717"/>
    <n v="0"/>
    <x v="440"/>
    <n v="0"/>
    <n v="1"/>
    <n v="2"/>
    <n v="1"/>
    <n v="3"/>
    <n v="1"/>
    <s v="TA"/>
    <n v="6"/>
    <s v="Typ"/>
    <n v="1"/>
    <s v="TA"/>
    <s v="Attchd"/>
    <n v="1996"/>
    <s v="Unf"/>
    <n v="2"/>
    <n v="406"/>
    <s v="TA"/>
    <s v="TA"/>
    <s v="Y"/>
    <n v="264"/>
    <n v="22"/>
    <n v="0"/>
    <n v="0"/>
    <n v="0"/>
    <n v="0"/>
    <s v="NA"/>
    <s v="NA"/>
    <s v="NA"/>
    <n v="0"/>
    <n v="8"/>
    <n v="2008"/>
    <s v="WD"/>
    <s v="Normal"/>
    <n v="175000"/>
  </r>
  <r>
    <n v="560"/>
    <n v="120"/>
    <s v="RL"/>
    <s v="NA"/>
    <n v="3196"/>
    <s v="Pave"/>
    <s v="NA"/>
    <s v="Reg"/>
    <s v="Lvl"/>
    <s v="AllPub"/>
    <s v="Inside"/>
    <s v="Gtl"/>
    <x v="21"/>
    <x v="0"/>
    <s v="Norm"/>
    <x v="3"/>
    <x v="1"/>
    <n v="7"/>
    <n v="5"/>
    <x v="0"/>
    <n v="2004"/>
    <s v="Gable"/>
    <s v="CompShg"/>
    <s v="VinylSd"/>
    <s v="VinylSd"/>
    <s v="BrkFace"/>
    <n v="18"/>
    <s v="Gd"/>
    <s v="TA"/>
    <s v="PConc"/>
    <s v="Gd"/>
    <s v="TA"/>
    <s v="Gd"/>
    <s v="Unf"/>
    <n v="0"/>
    <s v="Unf"/>
    <n v="0"/>
    <n v="1374"/>
    <n v="1374"/>
    <s v="GasA"/>
    <s v="Ex"/>
    <s v="Y"/>
    <s v="SBrkr"/>
    <n v="1557"/>
    <n v="0"/>
    <n v="0"/>
    <x v="441"/>
    <n v="0"/>
    <n v="0"/>
    <n v="2"/>
    <n v="0"/>
    <n v="2"/>
    <n v="1"/>
    <s v="Gd"/>
    <n v="7"/>
    <s v="Typ"/>
    <n v="1"/>
    <s v="TA"/>
    <s v="Attchd"/>
    <n v="2003"/>
    <s v="Fin"/>
    <n v="2"/>
    <n v="420"/>
    <s v="TA"/>
    <s v="TA"/>
    <s v="Y"/>
    <n v="143"/>
    <n v="20"/>
    <n v="0"/>
    <n v="0"/>
    <n v="0"/>
    <n v="0"/>
    <s v="NA"/>
    <s v="NA"/>
    <s v="NA"/>
    <n v="0"/>
    <n v="10"/>
    <n v="2006"/>
    <s v="WD"/>
    <s v="Normal"/>
    <n v="234000"/>
  </r>
  <r>
    <n v="561"/>
    <n v="20"/>
    <s v="RL"/>
    <s v="NA"/>
    <n v="11341"/>
    <s v="Pave"/>
    <s v="NA"/>
    <s v="IR1"/>
    <s v="Lvl"/>
    <s v="AllPub"/>
    <s v="Inside"/>
    <s v="Gtl"/>
    <x v="9"/>
    <x v="0"/>
    <s v="Norm"/>
    <x v="0"/>
    <x v="1"/>
    <n v="5"/>
    <n v="6"/>
    <x v="24"/>
    <n v="1996"/>
    <s v="Hip"/>
    <s v="CompShg"/>
    <s v="Wd Sdng"/>
    <s v="Wd Sdng"/>
    <s v="BrkFace"/>
    <n v="180"/>
    <s v="TA"/>
    <s v="TA"/>
    <s v="CBlock"/>
    <s v="Gd"/>
    <s v="TA"/>
    <s v="No"/>
    <s v="ALQ"/>
    <n v="1302"/>
    <s v="Unf"/>
    <n v="0"/>
    <n v="90"/>
    <n v="1392"/>
    <s v="GasA"/>
    <s v="TA"/>
    <s v="Y"/>
    <s v="SBrkr"/>
    <n v="1392"/>
    <n v="0"/>
    <n v="0"/>
    <x v="189"/>
    <n v="1"/>
    <n v="0"/>
    <n v="1"/>
    <n v="1"/>
    <n v="3"/>
    <n v="1"/>
    <s v="TA"/>
    <n v="5"/>
    <s v="Mod"/>
    <n v="1"/>
    <s v="Gd"/>
    <s v="Detchd"/>
    <n v="1957"/>
    <s v="Unf"/>
    <n v="2"/>
    <n v="528"/>
    <s v="TA"/>
    <s v="TA"/>
    <s v="Y"/>
    <n v="0"/>
    <n v="0"/>
    <n v="0"/>
    <n v="0"/>
    <n v="95"/>
    <n v="0"/>
    <s v="NA"/>
    <s v="NA"/>
    <s v="NA"/>
    <n v="0"/>
    <n v="5"/>
    <n v="2010"/>
    <s v="WD"/>
    <s v="Normal"/>
    <n v="121500"/>
  </r>
  <r>
    <n v="562"/>
    <n v="20"/>
    <s v="RL"/>
    <n v="77"/>
    <n v="10010"/>
    <s v="Pave"/>
    <s v="NA"/>
    <s v="Reg"/>
    <s v="Lvl"/>
    <s v="AllPub"/>
    <s v="Inside"/>
    <s v="Mod"/>
    <x v="4"/>
    <x v="0"/>
    <s v="Norm"/>
    <x v="0"/>
    <x v="1"/>
    <n v="5"/>
    <n v="5"/>
    <x v="99"/>
    <n v="1975"/>
    <s v="Gable"/>
    <s v="CompShg"/>
    <s v="HdBoard"/>
    <s v="HdBoard"/>
    <s v="None"/>
    <n v="0"/>
    <s v="TA"/>
    <s v="TA"/>
    <s v="CBlock"/>
    <s v="Gd"/>
    <s v="TA"/>
    <s v="Av"/>
    <s v="ALQ"/>
    <n v="1071"/>
    <s v="LwQ"/>
    <n v="123"/>
    <n v="195"/>
    <n v="1389"/>
    <s v="GasA"/>
    <s v="Gd"/>
    <s v="Y"/>
    <s v="SBrkr"/>
    <n v="1389"/>
    <n v="0"/>
    <n v="0"/>
    <x v="347"/>
    <n v="1"/>
    <n v="0"/>
    <n v="1"/>
    <n v="0"/>
    <n v="2"/>
    <n v="1"/>
    <s v="TA"/>
    <n v="6"/>
    <s v="Typ"/>
    <n v="1"/>
    <s v="TA"/>
    <s v="Attchd"/>
    <n v="1975"/>
    <s v="RFn"/>
    <n v="2"/>
    <n v="418"/>
    <s v="TA"/>
    <s v="TA"/>
    <s v="Y"/>
    <n v="240"/>
    <n v="38"/>
    <n v="0"/>
    <n v="0"/>
    <n v="0"/>
    <n v="0"/>
    <s v="NA"/>
    <s v="NA"/>
    <s v="NA"/>
    <n v="0"/>
    <n v="4"/>
    <n v="2006"/>
    <s v="WD"/>
    <s v="Normal"/>
    <n v="170000"/>
  </r>
  <r>
    <n v="563"/>
    <n v="30"/>
    <s v="RL"/>
    <n v="63"/>
    <n v="13907"/>
    <s v="Pave"/>
    <s v="NA"/>
    <s v="Reg"/>
    <s v="Lvl"/>
    <s v="AllPub"/>
    <s v="Inside"/>
    <s v="Gtl"/>
    <x v="15"/>
    <x v="0"/>
    <s v="Norm"/>
    <x v="0"/>
    <x v="1"/>
    <n v="5"/>
    <n v="6"/>
    <x v="70"/>
    <n v="1969"/>
    <s v="Gable"/>
    <s v="CompShg"/>
    <s v="WdShing"/>
    <s v="Wd Shng"/>
    <s v="None"/>
    <n v="0"/>
    <s v="TA"/>
    <s v="TA"/>
    <s v="CBlock"/>
    <s v="TA"/>
    <s v="TA"/>
    <s v="No"/>
    <s v="BLQ"/>
    <n v="290"/>
    <s v="Unf"/>
    <n v="0"/>
    <n v="706"/>
    <n v="996"/>
    <s v="GasA"/>
    <s v="Ex"/>
    <s v="Y"/>
    <s v="SBrkr"/>
    <n v="996"/>
    <n v="0"/>
    <n v="0"/>
    <x v="442"/>
    <n v="1"/>
    <n v="0"/>
    <n v="1"/>
    <n v="0"/>
    <n v="3"/>
    <n v="1"/>
    <s v="TA"/>
    <n v="6"/>
    <s v="Typ"/>
    <n v="1"/>
    <s v="Gd"/>
    <s v="NA"/>
    <s v="NA"/>
    <s v="NA"/>
    <n v="0"/>
    <n v="0"/>
    <s v="NA"/>
    <s v="NA"/>
    <s v="Y"/>
    <n v="144"/>
    <n v="0"/>
    <n v="0"/>
    <n v="0"/>
    <n v="0"/>
    <n v="0"/>
    <s v="NA"/>
    <s v="NA"/>
    <s v="NA"/>
    <n v="0"/>
    <n v="7"/>
    <n v="2008"/>
    <s v="WD"/>
    <s v="Normal"/>
    <n v="108000"/>
  </r>
  <r>
    <n v="564"/>
    <n v="50"/>
    <s v="RL"/>
    <n v="66"/>
    <n v="21780"/>
    <s v="Pave"/>
    <s v="NA"/>
    <s v="Reg"/>
    <s v="Lvl"/>
    <s v="AllPub"/>
    <s v="Inside"/>
    <s v="Gtl"/>
    <x v="15"/>
    <x v="0"/>
    <s v="Norm"/>
    <x v="0"/>
    <x v="2"/>
    <n v="6"/>
    <n v="7"/>
    <x v="79"/>
    <n v="1950"/>
    <s v="Gable"/>
    <s v="CompShg"/>
    <s v="Wd Sdng"/>
    <s v="Wd Sdng"/>
    <s v="None"/>
    <n v="0"/>
    <s v="TA"/>
    <s v="TA"/>
    <s v="BrkTil"/>
    <s v="Gd"/>
    <s v="TA"/>
    <s v="Mn"/>
    <s v="Unf"/>
    <n v="0"/>
    <s v="Unf"/>
    <n v="0"/>
    <n v="1163"/>
    <n v="1163"/>
    <s v="GasA"/>
    <s v="Ex"/>
    <s v="Y"/>
    <s v="SBrkr"/>
    <n v="1163"/>
    <n v="511"/>
    <n v="0"/>
    <x v="443"/>
    <n v="0"/>
    <n v="0"/>
    <n v="2"/>
    <n v="0"/>
    <n v="4"/>
    <n v="1"/>
    <s v="TA"/>
    <n v="8"/>
    <s v="Typ"/>
    <n v="1"/>
    <s v="Gd"/>
    <s v="Detchd"/>
    <n v="1955"/>
    <s v="Fin"/>
    <n v="2"/>
    <n v="396"/>
    <s v="TA"/>
    <s v="TA"/>
    <s v="N"/>
    <n v="72"/>
    <n v="36"/>
    <n v="0"/>
    <n v="0"/>
    <n v="144"/>
    <n v="0"/>
    <s v="NA"/>
    <s v="NA"/>
    <s v="NA"/>
    <n v="0"/>
    <n v="7"/>
    <n v="2008"/>
    <s v="WD"/>
    <s v="Normal"/>
    <n v="185000"/>
  </r>
  <r>
    <n v="565"/>
    <n v="60"/>
    <s v="RL"/>
    <s v="NA"/>
    <n v="13346"/>
    <s v="Pave"/>
    <s v="NA"/>
    <s v="IR1"/>
    <s v="Lvl"/>
    <s v="AllPub"/>
    <s v="CulDSac"/>
    <s v="Gtl"/>
    <x v="3"/>
    <x v="0"/>
    <s v="Norm"/>
    <x v="0"/>
    <x v="0"/>
    <n v="7"/>
    <n v="5"/>
    <x v="86"/>
    <n v="2000"/>
    <s v="Gable"/>
    <s v="CompShg"/>
    <s v="HdBoard"/>
    <s v="HdBoard"/>
    <s v="None"/>
    <n v="0"/>
    <s v="Gd"/>
    <s v="TA"/>
    <s v="PConc"/>
    <s v="Gd"/>
    <s v="TA"/>
    <s v="No"/>
    <s v="GLQ"/>
    <n v="728"/>
    <s v="Unf"/>
    <n v="0"/>
    <n v="367"/>
    <n v="1095"/>
    <s v="GasA"/>
    <s v="Ex"/>
    <s v="Y"/>
    <s v="SBrkr"/>
    <n v="1166"/>
    <n v="1129"/>
    <n v="0"/>
    <x v="444"/>
    <n v="1"/>
    <n v="0"/>
    <n v="2"/>
    <n v="1"/>
    <n v="4"/>
    <n v="1"/>
    <s v="Gd"/>
    <n v="9"/>
    <s v="Typ"/>
    <n v="1"/>
    <s v="TA"/>
    <s v="Attchd"/>
    <n v="1992"/>
    <s v="RFn"/>
    <n v="2"/>
    <n v="590"/>
    <s v="TA"/>
    <s v="TA"/>
    <s v="Y"/>
    <n v="0"/>
    <n v="40"/>
    <n v="0"/>
    <n v="0"/>
    <n v="0"/>
    <n v="0"/>
    <s v="NA"/>
    <s v="NA"/>
    <s v="NA"/>
    <n v="0"/>
    <n v="7"/>
    <n v="2006"/>
    <s v="WD"/>
    <s v="Normal"/>
    <n v="268000"/>
  </r>
  <r>
    <n v="566"/>
    <n v="70"/>
    <s v="RL"/>
    <n v="66"/>
    <n v="6858"/>
    <s v="Pave"/>
    <s v="NA"/>
    <s v="Reg"/>
    <s v="Bnk"/>
    <s v="AllPub"/>
    <s v="Corner"/>
    <s v="Gtl"/>
    <x v="23"/>
    <x v="0"/>
    <s v="Norm"/>
    <x v="0"/>
    <x v="0"/>
    <n v="6"/>
    <n v="4"/>
    <x v="3"/>
    <n v="1950"/>
    <s v="Gable"/>
    <s v="CompShg"/>
    <s v="Wd Sdng"/>
    <s v="Wd Sdng"/>
    <s v="None"/>
    <n v="0"/>
    <s v="TA"/>
    <s v="TA"/>
    <s v="PConc"/>
    <s v="Gd"/>
    <s v="TA"/>
    <s v="No"/>
    <s v="Unf"/>
    <n v="0"/>
    <s v="Unf"/>
    <n v="0"/>
    <n v="806"/>
    <n v="806"/>
    <s v="GasA"/>
    <s v="TA"/>
    <s v="N"/>
    <s v="FuseF"/>
    <n v="841"/>
    <n v="806"/>
    <n v="0"/>
    <x v="445"/>
    <n v="1"/>
    <n v="0"/>
    <n v="1"/>
    <n v="1"/>
    <n v="4"/>
    <n v="1"/>
    <s v="Fa"/>
    <n v="6"/>
    <s v="Typ"/>
    <n v="0"/>
    <s v="NA"/>
    <s v="Detchd"/>
    <n v="1920"/>
    <s v="Unf"/>
    <n v="1"/>
    <n v="216"/>
    <s v="TA"/>
    <s v="TA"/>
    <s v="Y"/>
    <n v="0"/>
    <n v="66"/>
    <n v="136"/>
    <n v="0"/>
    <n v="0"/>
    <n v="0"/>
    <s v="NA"/>
    <s v="NA"/>
    <s v="NA"/>
    <n v="0"/>
    <n v="5"/>
    <n v="2010"/>
    <s v="WD"/>
    <s v="Normal"/>
    <n v="128000"/>
  </r>
  <r>
    <n v="567"/>
    <n v="60"/>
    <s v="RL"/>
    <n v="77"/>
    <n v="11198"/>
    <s v="Pave"/>
    <s v="NA"/>
    <s v="IR1"/>
    <s v="Lvl"/>
    <s v="AllPub"/>
    <s v="Inside"/>
    <s v="Gtl"/>
    <x v="18"/>
    <x v="0"/>
    <s v="Norm"/>
    <x v="0"/>
    <x v="0"/>
    <n v="9"/>
    <n v="5"/>
    <x v="11"/>
    <n v="2007"/>
    <s v="Hip"/>
    <s v="CompShg"/>
    <s v="VinylSd"/>
    <s v="VinylSd"/>
    <s v="BrkFace"/>
    <n v="245"/>
    <s v="Gd"/>
    <s v="TA"/>
    <s v="PConc"/>
    <s v="Gd"/>
    <s v="Gd"/>
    <s v="No"/>
    <s v="Unf"/>
    <n v="0"/>
    <s v="Unf"/>
    <n v="0"/>
    <n v="1122"/>
    <n v="1122"/>
    <s v="GasA"/>
    <s v="Ex"/>
    <s v="Y"/>
    <s v="SBrkr"/>
    <n v="1134"/>
    <n v="1370"/>
    <n v="0"/>
    <x v="446"/>
    <n v="0"/>
    <n v="0"/>
    <n v="2"/>
    <n v="1"/>
    <n v="4"/>
    <n v="1"/>
    <s v="Ex"/>
    <n v="11"/>
    <s v="Typ"/>
    <n v="1"/>
    <s v="Gd"/>
    <s v="BuiltIn"/>
    <n v="2005"/>
    <s v="Fin"/>
    <n v="3"/>
    <n v="656"/>
    <s v="TA"/>
    <s v="TA"/>
    <s v="Y"/>
    <n v="144"/>
    <n v="39"/>
    <n v="0"/>
    <n v="0"/>
    <n v="0"/>
    <n v="0"/>
    <s v="NA"/>
    <s v="NA"/>
    <s v="NA"/>
    <n v="0"/>
    <n v="6"/>
    <n v="2008"/>
    <s v="WD"/>
    <s v="Normal"/>
    <n v="325000"/>
  </r>
  <r>
    <n v="568"/>
    <n v="20"/>
    <s v="RL"/>
    <n v="70"/>
    <n v="10171"/>
    <s v="Pave"/>
    <s v="NA"/>
    <s v="IR1"/>
    <s v="Lvl"/>
    <s v="AllPub"/>
    <s v="Inside"/>
    <s v="Gtl"/>
    <x v="10"/>
    <x v="0"/>
    <s v="Norm"/>
    <x v="0"/>
    <x v="1"/>
    <n v="7"/>
    <n v="5"/>
    <x v="6"/>
    <n v="2004"/>
    <s v="Gable"/>
    <s v="CompShg"/>
    <s v="VinylSd"/>
    <s v="VinylSd"/>
    <s v="BrkFace"/>
    <n v="168"/>
    <s v="Gd"/>
    <s v="TA"/>
    <s v="PConc"/>
    <s v="Gd"/>
    <s v="TA"/>
    <s v="No"/>
    <s v="GLQ"/>
    <n v="2"/>
    <s v="Unf"/>
    <n v="0"/>
    <n v="1515"/>
    <n v="1517"/>
    <s v="GasA"/>
    <s v="Ex"/>
    <s v="Y"/>
    <s v="SBrkr"/>
    <n v="1535"/>
    <n v="0"/>
    <n v="0"/>
    <x v="96"/>
    <n v="0"/>
    <n v="0"/>
    <n v="2"/>
    <n v="0"/>
    <n v="3"/>
    <n v="1"/>
    <s v="Gd"/>
    <n v="7"/>
    <s v="Typ"/>
    <n v="0"/>
    <s v="NA"/>
    <s v="Attchd"/>
    <n v="2004"/>
    <s v="RFn"/>
    <n v="2"/>
    <n v="532"/>
    <s v="TA"/>
    <s v="TA"/>
    <s v="Y"/>
    <n v="0"/>
    <n v="0"/>
    <n v="0"/>
    <n v="0"/>
    <n v="0"/>
    <n v="0"/>
    <s v="NA"/>
    <s v="NA"/>
    <s v="NA"/>
    <n v="0"/>
    <n v="3"/>
    <n v="2010"/>
    <s v="WD"/>
    <s v="Normal"/>
    <n v="214000"/>
  </r>
  <r>
    <n v="569"/>
    <n v="50"/>
    <s v="RL"/>
    <n v="79"/>
    <n v="12327"/>
    <s v="Pave"/>
    <s v="NA"/>
    <s v="IR1"/>
    <s v="Low"/>
    <s v="AllPub"/>
    <s v="Inside"/>
    <s v="Mod"/>
    <x v="12"/>
    <x v="0"/>
    <s v="Norm"/>
    <x v="0"/>
    <x v="2"/>
    <n v="8"/>
    <n v="8"/>
    <x v="33"/>
    <n v="2009"/>
    <s v="Gable"/>
    <s v="CompShg"/>
    <s v="Wd Sdng"/>
    <s v="Wd Sdng"/>
    <s v="None"/>
    <n v="0"/>
    <s v="Gd"/>
    <s v="TA"/>
    <s v="CBlock"/>
    <s v="Gd"/>
    <s v="TA"/>
    <s v="Gd"/>
    <s v="GLQ"/>
    <n v="1441"/>
    <s v="Unf"/>
    <n v="0"/>
    <n v="55"/>
    <n v="1496"/>
    <s v="GasA"/>
    <s v="Ex"/>
    <s v="Y"/>
    <s v="SBrkr"/>
    <n v="1496"/>
    <n v="636"/>
    <n v="0"/>
    <x v="447"/>
    <n v="1"/>
    <n v="0"/>
    <n v="1"/>
    <n v="1"/>
    <n v="1"/>
    <n v="1"/>
    <s v="Gd"/>
    <n v="5"/>
    <s v="Min2"/>
    <n v="1"/>
    <s v="Gd"/>
    <s v="BuiltIn"/>
    <n v="1983"/>
    <s v="Fin"/>
    <n v="2"/>
    <n v="612"/>
    <s v="Gd"/>
    <s v="TA"/>
    <s v="Y"/>
    <n v="349"/>
    <n v="40"/>
    <n v="0"/>
    <n v="0"/>
    <n v="0"/>
    <n v="0"/>
    <s v="NA"/>
    <s v="NA"/>
    <s v="NA"/>
    <n v="0"/>
    <n v="9"/>
    <n v="2009"/>
    <s v="WD"/>
    <s v="Normal"/>
    <n v="316600"/>
  </r>
  <r>
    <n v="570"/>
    <n v="90"/>
    <s v="RL"/>
    <s v="NA"/>
    <n v="7032"/>
    <s v="Pave"/>
    <s v="NA"/>
    <s v="IR1"/>
    <s v="Lvl"/>
    <s v="AllPub"/>
    <s v="Corner"/>
    <s v="Gtl"/>
    <x v="11"/>
    <x v="0"/>
    <s v="Norm"/>
    <x v="2"/>
    <x v="4"/>
    <n v="5"/>
    <n v="5"/>
    <x v="56"/>
    <n v="1979"/>
    <s v="Gable"/>
    <s v="CompShg"/>
    <s v="MetalSd"/>
    <s v="MetalSd"/>
    <s v="None"/>
    <n v="0"/>
    <s v="TA"/>
    <s v="TA"/>
    <s v="CBlock"/>
    <s v="Gd"/>
    <s v="TA"/>
    <s v="Gd"/>
    <s v="GLQ"/>
    <n v="943"/>
    <s v="Unf"/>
    <n v="0"/>
    <n v="0"/>
    <n v="943"/>
    <s v="GasA"/>
    <s v="TA"/>
    <s v="Y"/>
    <s v="SBrkr"/>
    <n v="943"/>
    <n v="0"/>
    <n v="0"/>
    <x v="448"/>
    <n v="1"/>
    <n v="0"/>
    <n v="1"/>
    <n v="0"/>
    <n v="2"/>
    <n v="1"/>
    <s v="TA"/>
    <n v="4"/>
    <s v="Typ"/>
    <n v="2"/>
    <s v="TA"/>
    <s v="Detchd"/>
    <n v="1979"/>
    <s v="Unf"/>
    <n v="2"/>
    <n v="600"/>
    <s v="TA"/>
    <s v="TA"/>
    <s v="Y"/>
    <n v="42"/>
    <n v="0"/>
    <n v="0"/>
    <n v="0"/>
    <n v="0"/>
    <n v="0"/>
    <s v="NA"/>
    <s v="NA"/>
    <s v="NA"/>
    <n v="0"/>
    <n v="12"/>
    <n v="2006"/>
    <s v="WD"/>
    <s v="Normal"/>
    <n v="135960"/>
  </r>
  <r>
    <n v="571"/>
    <n v="90"/>
    <s v="RL"/>
    <n v="74"/>
    <n v="13101"/>
    <s v="Pave"/>
    <s v="NA"/>
    <s v="IR1"/>
    <s v="Lvl"/>
    <s v="AllPub"/>
    <s v="Inside"/>
    <s v="Gtl"/>
    <x v="11"/>
    <x v="0"/>
    <s v="Norm"/>
    <x v="2"/>
    <x v="1"/>
    <n v="5"/>
    <n v="5"/>
    <x v="10"/>
    <n v="1965"/>
    <s v="Gable"/>
    <s v="CompShg"/>
    <s v="HdBoard"/>
    <s v="HdBoard"/>
    <s v="BrkFace"/>
    <n v="108"/>
    <s v="TA"/>
    <s v="TA"/>
    <s v="CBlock"/>
    <s v="TA"/>
    <s v="TA"/>
    <s v="No"/>
    <s v="LwQ"/>
    <n v="231"/>
    <s v="Unf"/>
    <n v="0"/>
    <n v="1497"/>
    <n v="1728"/>
    <s v="GasA"/>
    <s v="TA"/>
    <s v="Y"/>
    <s v="SBrkr"/>
    <n v="1728"/>
    <n v="0"/>
    <n v="0"/>
    <x v="136"/>
    <n v="0"/>
    <n v="0"/>
    <n v="2"/>
    <n v="0"/>
    <n v="6"/>
    <n v="2"/>
    <s v="TA"/>
    <n v="10"/>
    <s v="Typ"/>
    <n v="0"/>
    <s v="NA"/>
    <s v="Detchd"/>
    <n v="1987"/>
    <s v="Unf"/>
    <n v="2"/>
    <n v="576"/>
    <s v="TA"/>
    <s v="TA"/>
    <s v="Y"/>
    <n v="0"/>
    <n v="0"/>
    <n v="0"/>
    <n v="0"/>
    <n v="0"/>
    <n v="0"/>
    <s v="NA"/>
    <s v="NA"/>
    <s v="NA"/>
    <n v="0"/>
    <n v="11"/>
    <n v="2008"/>
    <s v="WD"/>
    <s v="Normal"/>
    <n v="142600"/>
  </r>
  <r>
    <n v="572"/>
    <n v="20"/>
    <s v="RL"/>
    <n v="60"/>
    <n v="7332"/>
    <s v="Pave"/>
    <s v="NA"/>
    <s v="Reg"/>
    <s v="Lvl"/>
    <s v="AllPub"/>
    <s v="Inside"/>
    <s v="Gtl"/>
    <x v="11"/>
    <x v="0"/>
    <s v="Norm"/>
    <x v="0"/>
    <x v="1"/>
    <n v="6"/>
    <n v="6"/>
    <x v="28"/>
    <n v="1959"/>
    <s v="Gable"/>
    <s v="CompShg"/>
    <s v="WdShing"/>
    <s v="Wd Shng"/>
    <s v="BrkFace"/>
    <n v="207"/>
    <s v="TA"/>
    <s v="TA"/>
    <s v="CBlock"/>
    <s v="TA"/>
    <s v="TA"/>
    <s v="No"/>
    <s v="BLQ"/>
    <n v="414"/>
    <s v="Unf"/>
    <n v="0"/>
    <n v="450"/>
    <n v="864"/>
    <s v="GasA"/>
    <s v="Ex"/>
    <s v="Y"/>
    <s v="SBrkr"/>
    <n v="864"/>
    <n v="0"/>
    <n v="0"/>
    <x v="132"/>
    <n v="1"/>
    <n v="0"/>
    <n v="1"/>
    <n v="0"/>
    <n v="2"/>
    <n v="1"/>
    <s v="Gd"/>
    <n v="4"/>
    <s v="Typ"/>
    <n v="0"/>
    <s v="NA"/>
    <s v="Attchd"/>
    <n v="1959"/>
    <s v="Unf"/>
    <n v="1"/>
    <n v="288"/>
    <s v="TA"/>
    <s v="TA"/>
    <s v="Y"/>
    <n v="168"/>
    <n v="0"/>
    <n v="0"/>
    <n v="0"/>
    <n v="0"/>
    <n v="0"/>
    <s v="NA"/>
    <s v="NA"/>
    <s v="NA"/>
    <n v="0"/>
    <n v="10"/>
    <n v="2006"/>
    <s v="WD"/>
    <s v="Abnorml"/>
    <n v="120000"/>
  </r>
  <r>
    <n v="573"/>
    <n v="60"/>
    <s v="RL"/>
    <n v="83"/>
    <n v="13159"/>
    <s v="Pave"/>
    <s v="NA"/>
    <s v="IR1"/>
    <s v="HLS"/>
    <s v="AllPub"/>
    <s v="Corner"/>
    <s v="Gtl"/>
    <x v="16"/>
    <x v="0"/>
    <s v="Norm"/>
    <x v="0"/>
    <x v="0"/>
    <n v="7"/>
    <n v="5"/>
    <x v="51"/>
    <n v="2009"/>
    <s v="Gable"/>
    <s v="CompShg"/>
    <s v="VinylSd"/>
    <s v="VinylSd"/>
    <s v="None"/>
    <n v="0"/>
    <s v="TA"/>
    <s v="TA"/>
    <s v="PConc"/>
    <s v="Ex"/>
    <s v="TA"/>
    <s v="Av"/>
    <s v="Unf"/>
    <n v="0"/>
    <s v="Unf"/>
    <n v="0"/>
    <n v="846"/>
    <n v="846"/>
    <s v="GasA"/>
    <s v="Gd"/>
    <s v="Y"/>
    <s v="SBrkr"/>
    <n v="846"/>
    <n v="846"/>
    <n v="0"/>
    <x v="449"/>
    <n v="0"/>
    <n v="0"/>
    <n v="2"/>
    <n v="1"/>
    <n v="3"/>
    <n v="1"/>
    <s v="Gd"/>
    <n v="6"/>
    <s v="Typ"/>
    <n v="0"/>
    <s v="NA"/>
    <s v="Attchd"/>
    <n v="2009"/>
    <s v="RFn"/>
    <n v="2"/>
    <n v="650"/>
    <s v="TA"/>
    <s v="TA"/>
    <s v="Y"/>
    <n v="208"/>
    <n v="114"/>
    <n v="0"/>
    <n v="0"/>
    <n v="0"/>
    <n v="0"/>
    <s v="NA"/>
    <s v="NA"/>
    <s v="NA"/>
    <n v="0"/>
    <n v="7"/>
    <n v="2009"/>
    <s v="New"/>
    <s v="Partial"/>
    <n v="224500"/>
  </r>
  <r>
    <n v="574"/>
    <n v="80"/>
    <s v="RL"/>
    <n v="76"/>
    <n v="9967"/>
    <s v="Pave"/>
    <s v="NA"/>
    <s v="IR1"/>
    <s v="Lvl"/>
    <s v="AllPub"/>
    <s v="Inside"/>
    <s v="Gtl"/>
    <x v="17"/>
    <x v="0"/>
    <s v="Norm"/>
    <x v="0"/>
    <x v="5"/>
    <n v="7"/>
    <n v="5"/>
    <x v="4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384"/>
    <n v="384"/>
    <s v="GasA"/>
    <s v="Ex"/>
    <s v="Y"/>
    <s v="SBrkr"/>
    <n v="774"/>
    <n v="656"/>
    <n v="0"/>
    <x v="105"/>
    <n v="0"/>
    <n v="0"/>
    <n v="2"/>
    <n v="1"/>
    <n v="3"/>
    <n v="1"/>
    <s v="TA"/>
    <n v="8"/>
    <s v="Typ"/>
    <n v="1"/>
    <s v="TA"/>
    <s v="BuiltIn"/>
    <n v="2000"/>
    <s v="RFn"/>
    <n v="2"/>
    <n v="400"/>
    <s v="TA"/>
    <s v="TA"/>
    <s v="Y"/>
    <n v="100"/>
    <n v="0"/>
    <n v="0"/>
    <n v="0"/>
    <n v="0"/>
    <n v="0"/>
    <s v="NA"/>
    <s v="NA"/>
    <s v="NA"/>
    <n v="0"/>
    <n v="12"/>
    <n v="2007"/>
    <s v="WD"/>
    <s v="Normal"/>
    <n v="170000"/>
  </r>
  <r>
    <n v="575"/>
    <n v="80"/>
    <s v="RL"/>
    <n v="70"/>
    <n v="10500"/>
    <s v="Pave"/>
    <s v="NA"/>
    <s v="Reg"/>
    <s v="Lvl"/>
    <s v="AllPub"/>
    <s v="FR2"/>
    <s v="Gtl"/>
    <x v="11"/>
    <x v="0"/>
    <s v="Norm"/>
    <x v="0"/>
    <x v="5"/>
    <n v="5"/>
    <n v="7"/>
    <x v="63"/>
    <n v="2005"/>
    <s v="Gambrel"/>
    <s v="CompShg"/>
    <s v="MetalSd"/>
    <s v="AsphShn"/>
    <s v="BrkFace"/>
    <n v="82"/>
    <s v="TA"/>
    <s v="TA"/>
    <s v="CBlock"/>
    <s v="TA"/>
    <s v="TA"/>
    <s v="Av"/>
    <s v="ALQ"/>
    <n v="349"/>
    <s v="Unf"/>
    <n v="0"/>
    <n v="23"/>
    <n v="372"/>
    <s v="GasA"/>
    <s v="TA"/>
    <s v="Y"/>
    <s v="SBrkr"/>
    <n v="576"/>
    <n v="533"/>
    <n v="0"/>
    <x v="450"/>
    <n v="0"/>
    <n v="1"/>
    <n v="1"/>
    <n v="0"/>
    <n v="3"/>
    <n v="1"/>
    <s v="TA"/>
    <n v="5"/>
    <s v="Typ"/>
    <n v="0"/>
    <s v="NA"/>
    <s v="BuiltIn"/>
    <n v="1971"/>
    <s v="Unf"/>
    <n v="1"/>
    <n v="288"/>
    <s v="TA"/>
    <s v="TA"/>
    <s v="Y"/>
    <n v="35"/>
    <n v="0"/>
    <n v="0"/>
    <n v="0"/>
    <n v="0"/>
    <n v="0"/>
    <s v="NA"/>
    <s v="GdWo"/>
    <s v="NA"/>
    <n v="0"/>
    <n v="12"/>
    <n v="2007"/>
    <s v="WD"/>
    <s v="Normal"/>
    <n v="139000"/>
  </r>
  <r>
    <n v="576"/>
    <n v="50"/>
    <s v="RL"/>
    <n v="80"/>
    <n v="8480"/>
    <s v="Pave"/>
    <s v="NA"/>
    <s v="Reg"/>
    <s v="Lvl"/>
    <s v="AllPub"/>
    <s v="Inside"/>
    <s v="Gtl"/>
    <x v="11"/>
    <x v="0"/>
    <s v="Norm"/>
    <x v="0"/>
    <x v="2"/>
    <n v="5"/>
    <n v="5"/>
    <x v="81"/>
    <n v="1950"/>
    <s v="Gable"/>
    <s v="CompShg"/>
    <s v="MetalSd"/>
    <s v="MetalSd"/>
    <s v="None"/>
    <n v="0"/>
    <s v="TA"/>
    <s v="TA"/>
    <s v="CBlock"/>
    <s v="TA"/>
    <s v="TA"/>
    <s v="No"/>
    <s v="Rec"/>
    <n v="442"/>
    <s v="Unf"/>
    <n v="0"/>
    <n v="390"/>
    <n v="832"/>
    <s v="GasA"/>
    <s v="TA"/>
    <s v="Y"/>
    <s v="SBrkr"/>
    <n v="832"/>
    <n v="384"/>
    <n v="0"/>
    <x v="388"/>
    <n v="0"/>
    <n v="0"/>
    <n v="1"/>
    <n v="0"/>
    <n v="2"/>
    <n v="1"/>
    <s v="TA"/>
    <n v="6"/>
    <s v="Typ"/>
    <n v="0"/>
    <s v="NA"/>
    <s v="Detchd"/>
    <n v="1947"/>
    <s v="Unf"/>
    <n v="1"/>
    <n v="336"/>
    <s v="TA"/>
    <s v="TA"/>
    <s v="Y"/>
    <n v="158"/>
    <n v="0"/>
    <n v="102"/>
    <n v="0"/>
    <n v="0"/>
    <n v="0"/>
    <s v="NA"/>
    <s v="NA"/>
    <s v="NA"/>
    <n v="0"/>
    <n v="10"/>
    <n v="2008"/>
    <s v="COD"/>
    <s v="Abnorml"/>
    <n v="118500"/>
  </r>
  <r>
    <n v="577"/>
    <n v="50"/>
    <s v="RL"/>
    <n v="52"/>
    <n v="6292"/>
    <s v="Pave"/>
    <s v="NA"/>
    <s v="Reg"/>
    <s v="Lvl"/>
    <s v="AllPub"/>
    <s v="Inside"/>
    <s v="Gtl"/>
    <x v="23"/>
    <x v="0"/>
    <s v="Norm"/>
    <x v="0"/>
    <x v="2"/>
    <n v="7"/>
    <n v="7"/>
    <x v="89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861"/>
    <n v="861"/>
    <s v="GasA"/>
    <s v="Gd"/>
    <s v="Y"/>
    <s v="SBrkr"/>
    <n v="877"/>
    <n v="600"/>
    <n v="0"/>
    <x v="451"/>
    <n v="0"/>
    <n v="1"/>
    <n v="2"/>
    <n v="0"/>
    <n v="3"/>
    <n v="1"/>
    <s v="TA"/>
    <n v="6"/>
    <s v="Typ"/>
    <n v="1"/>
    <s v="Gd"/>
    <s v="Detchd"/>
    <n v="1928"/>
    <s v="Unf"/>
    <n v="1"/>
    <n v="216"/>
    <s v="TA"/>
    <s v="TA"/>
    <s v="Y"/>
    <n v="0"/>
    <n v="50"/>
    <n v="0"/>
    <n v="0"/>
    <n v="0"/>
    <n v="0"/>
    <s v="NA"/>
    <s v="NA"/>
    <s v="NA"/>
    <n v="0"/>
    <n v="8"/>
    <n v="2009"/>
    <s v="WD"/>
    <s v="Normal"/>
    <n v="145000"/>
  </r>
  <r>
    <n v="578"/>
    <n v="80"/>
    <s v="RL"/>
    <n v="96"/>
    <n v="11777"/>
    <s v="Pave"/>
    <s v="NA"/>
    <s v="IR1"/>
    <s v="Lvl"/>
    <s v="AllPub"/>
    <s v="Inside"/>
    <s v="Gtl"/>
    <x v="9"/>
    <x v="0"/>
    <s v="Norm"/>
    <x v="0"/>
    <x v="5"/>
    <n v="5"/>
    <n v="6"/>
    <x v="27"/>
    <n v="1966"/>
    <s v="Gable"/>
    <s v="CompShg"/>
    <s v="VinylSd"/>
    <s v="VinylSd"/>
    <s v="BrkFace"/>
    <n v="97"/>
    <s v="TA"/>
    <s v="TA"/>
    <s v="CBlock"/>
    <s v="TA"/>
    <s v="TA"/>
    <s v="Av"/>
    <s v="LwQ"/>
    <n v="328"/>
    <s v="ALQ"/>
    <n v="551"/>
    <n v="285"/>
    <n v="1164"/>
    <s v="GasA"/>
    <s v="Ex"/>
    <s v="Y"/>
    <s v="SBrkr"/>
    <n v="1320"/>
    <n v="0"/>
    <n v="0"/>
    <x v="452"/>
    <n v="1"/>
    <n v="0"/>
    <n v="1"/>
    <n v="0"/>
    <n v="3"/>
    <n v="1"/>
    <s v="TA"/>
    <n v="6"/>
    <s v="Typ"/>
    <n v="2"/>
    <s v="Fa"/>
    <s v="Attchd"/>
    <n v="1966"/>
    <s v="RFn"/>
    <n v="2"/>
    <n v="564"/>
    <s v="TA"/>
    <s v="TA"/>
    <s v="Y"/>
    <n v="160"/>
    <n v="68"/>
    <n v="240"/>
    <n v="0"/>
    <n v="0"/>
    <n v="0"/>
    <s v="NA"/>
    <s v="NA"/>
    <s v="NA"/>
    <n v="0"/>
    <n v="5"/>
    <n v="2006"/>
    <s v="WD"/>
    <s v="Abnorml"/>
    <n v="164500"/>
  </r>
  <r>
    <n v="579"/>
    <n v="160"/>
    <s v="FV"/>
    <n v="34"/>
    <n v="3604"/>
    <s v="Pave"/>
    <s v="Pave"/>
    <s v="Reg"/>
    <s v="Lvl"/>
    <s v="AllPub"/>
    <s v="Corner"/>
    <s v="Gtl"/>
    <x v="5"/>
    <x v="0"/>
    <s v="Norm"/>
    <x v="3"/>
    <x v="0"/>
    <n v="7"/>
    <n v="5"/>
    <x v="22"/>
    <n v="2007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689"/>
    <n v="689"/>
    <s v="GasA"/>
    <s v="Ex"/>
    <s v="Y"/>
    <s v="SBrkr"/>
    <n v="703"/>
    <n v="689"/>
    <n v="0"/>
    <x v="189"/>
    <n v="0"/>
    <n v="0"/>
    <n v="2"/>
    <n v="0"/>
    <n v="2"/>
    <n v="1"/>
    <s v="Gd"/>
    <n v="5"/>
    <s v="Typ"/>
    <n v="0"/>
    <s v="NA"/>
    <s v="Detchd"/>
    <n v="2007"/>
    <s v="Unf"/>
    <n v="2"/>
    <n v="540"/>
    <s v="TA"/>
    <s v="TA"/>
    <s v="Y"/>
    <n v="0"/>
    <n v="102"/>
    <n v="0"/>
    <n v="0"/>
    <n v="0"/>
    <n v="0"/>
    <s v="NA"/>
    <s v="NA"/>
    <s v="NA"/>
    <n v="0"/>
    <n v="2"/>
    <n v="2008"/>
    <s v="WD"/>
    <s v="Abnorml"/>
    <n v="146000"/>
  </r>
  <r>
    <n v="580"/>
    <n v="50"/>
    <s v="RM"/>
    <n v="81"/>
    <n v="12150"/>
    <s v="Pave"/>
    <s v="Grvl"/>
    <s v="Reg"/>
    <s v="Lvl"/>
    <s v="AllPub"/>
    <s v="Inside"/>
    <s v="Gtl"/>
    <x v="7"/>
    <x v="0"/>
    <s v="Norm"/>
    <x v="0"/>
    <x v="2"/>
    <n v="5"/>
    <n v="5"/>
    <x v="30"/>
    <n v="1954"/>
    <s v="Gable"/>
    <s v="CompShg"/>
    <s v="MetalSd"/>
    <s v="MetalSd"/>
    <s v="BrkFace"/>
    <n v="335"/>
    <s v="TA"/>
    <s v="TA"/>
    <s v="BrkTil"/>
    <s v="TA"/>
    <s v="TA"/>
    <s v="No"/>
    <s v="Unf"/>
    <n v="0"/>
    <s v="Unf"/>
    <n v="0"/>
    <n v="1050"/>
    <n v="1050"/>
    <s v="GasA"/>
    <s v="Ex"/>
    <s v="N"/>
    <s v="FuseF"/>
    <n v="1050"/>
    <n v="745"/>
    <n v="0"/>
    <x v="22"/>
    <n v="0"/>
    <n v="0"/>
    <n v="2"/>
    <n v="0"/>
    <n v="4"/>
    <n v="1"/>
    <s v="TA"/>
    <n v="7"/>
    <s v="Typ"/>
    <n v="0"/>
    <s v="NA"/>
    <s v="Attchd"/>
    <n v="1954"/>
    <s v="Unf"/>
    <n v="1"/>
    <n v="352"/>
    <s v="Fa"/>
    <s v="TA"/>
    <s v="Y"/>
    <n v="0"/>
    <n v="0"/>
    <n v="0"/>
    <n v="0"/>
    <n v="0"/>
    <n v="0"/>
    <s v="NA"/>
    <s v="NA"/>
    <s v="NA"/>
    <n v="0"/>
    <n v="11"/>
    <n v="2008"/>
    <s v="WD"/>
    <s v="Normal"/>
    <n v="131500"/>
  </r>
  <r>
    <n v="581"/>
    <n v="20"/>
    <s v="RL"/>
    <s v="NA"/>
    <n v="14585"/>
    <s v="Pave"/>
    <s v="NA"/>
    <s v="IR1"/>
    <s v="Lvl"/>
    <s v="AllPub"/>
    <s v="CulDSac"/>
    <s v="Gtl"/>
    <x v="11"/>
    <x v="0"/>
    <s v="Norm"/>
    <x v="0"/>
    <x v="1"/>
    <n v="6"/>
    <n v="6"/>
    <x v="14"/>
    <n v="1987"/>
    <s v="Gable"/>
    <s v="CompShg"/>
    <s v="Wd Sdng"/>
    <s v="Wd Sdng"/>
    <s v="BrkFace"/>
    <n v="85"/>
    <s v="TA"/>
    <s v="TA"/>
    <s v="CBlock"/>
    <s v="TA"/>
    <s v="TA"/>
    <s v="No"/>
    <s v="BLQ"/>
    <n v="594"/>
    <s v="Rec"/>
    <n v="219"/>
    <n v="331"/>
    <n v="1144"/>
    <s v="GasA"/>
    <s v="Ex"/>
    <s v="Y"/>
    <s v="SBrkr"/>
    <n v="1429"/>
    <n v="0"/>
    <n v="0"/>
    <x v="453"/>
    <n v="0"/>
    <n v="1"/>
    <n v="1"/>
    <n v="0"/>
    <n v="3"/>
    <n v="1"/>
    <s v="Gd"/>
    <n v="7"/>
    <s v="Typ"/>
    <n v="2"/>
    <s v="Gd"/>
    <s v="Attchd"/>
    <n v="1960"/>
    <s v="Unf"/>
    <n v="2"/>
    <n v="572"/>
    <s v="TA"/>
    <s v="TA"/>
    <s v="Y"/>
    <n v="216"/>
    <n v="110"/>
    <n v="0"/>
    <n v="0"/>
    <n v="0"/>
    <n v="0"/>
    <s v="NA"/>
    <s v="NA"/>
    <s v="NA"/>
    <n v="0"/>
    <n v="6"/>
    <n v="2007"/>
    <s v="WD"/>
    <s v="Normal"/>
    <n v="181900"/>
  </r>
  <r>
    <n v="582"/>
    <n v="20"/>
    <s v="RL"/>
    <n v="98"/>
    <n v="12704"/>
    <s v="Pave"/>
    <s v="NA"/>
    <s v="Reg"/>
    <s v="Lvl"/>
    <s v="AllPub"/>
    <s v="Inside"/>
    <s v="Gtl"/>
    <x v="10"/>
    <x v="0"/>
    <s v="Norm"/>
    <x v="0"/>
    <x v="1"/>
    <n v="8"/>
    <n v="5"/>
    <x v="74"/>
    <n v="2009"/>
    <s v="Hip"/>
    <s v="CompShg"/>
    <s v="VinylSd"/>
    <s v="VinylSd"/>
    <s v="BrkFace"/>
    <n v="306"/>
    <s v="Ex"/>
    <s v="TA"/>
    <s v="PConc"/>
    <s v="Ex"/>
    <s v="TA"/>
    <s v="No"/>
    <s v="Unf"/>
    <n v="0"/>
    <s v="Unf"/>
    <n v="0"/>
    <n v="2042"/>
    <n v="2042"/>
    <s v="GasA"/>
    <s v="Ex"/>
    <s v="Y"/>
    <s v="SBrkr"/>
    <n v="2042"/>
    <n v="0"/>
    <n v="0"/>
    <x v="454"/>
    <n v="0"/>
    <n v="0"/>
    <n v="2"/>
    <n v="1"/>
    <n v="3"/>
    <n v="1"/>
    <s v="Ex"/>
    <n v="8"/>
    <s v="Typ"/>
    <n v="1"/>
    <s v="Gd"/>
    <s v="Attchd"/>
    <n v="2009"/>
    <s v="RFn"/>
    <n v="3"/>
    <n v="1390"/>
    <s v="TA"/>
    <s v="TA"/>
    <s v="Y"/>
    <n v="0"/>
    <n v="90"/>
    <n v="0"/>
    <n v="0"/>
    <n v="0"/>
    <n v="0"/>
    <s v="NA"/>
    <s v="NA"/>
    <s v="NA"/>
    <n v="0"/>
    <n v="8"/>
    <n v="2009"/>
    <s v="New"/>
    <s v="Partial"/>
    <n v="253293"/>
  </r>
  <r>
    <n v="583"/>
    <n v="90"/>
    <s v="RL"/>
    <n v="81"/>
    <n v="11841"/>
    <s v="Grvl"/>
    <s v="NA"/>
    <s v="Reg"/>
    <s v="Lvl"/>
    <s v="AllPub"/>
    <s v="Inside"/>
    <s v="Gtl"/>
    <x v="15"/>
    <x v="0"/>
    <s v="Norm"/>
    <x v="2"/>
    <x v="4"/>
    <n v="6"/>
    <n v="5"/>
    <x v="59"/>
    <n v="1990"/>
    <s v="Gable"/>
    <s v="CompShg"/>
    <s v="HdBoard"/>
    <s v="HdBoard"/>
    <s v="BrkFace"/>
    <n v="104"/>
    <s v="TA"/>
    <s v="Gd"/>
    <s v="CBlock"/>
    <s v="Gd"/>
    <s v="TA"/>
    <s v="Av"/>
    <s v="GLQ"/>
    <n v="816"/>
    <s v="Unf"/>
    <n v="0"/>
    <n v="0"/>
    <n v="816"/>
    <s v="GasA"/>
    <s v="TA"/>
    <s v="Y"/>
    <s v="SBrkr"/>
    <n v="816"/>
    <n v="0"/>
    <n v="0"/>
    <x v="50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32"/>
    <n v="0"/>
    <n v="0"/>
    <n v="0"/>
    <n v="0"/>
    <s v="NA"/>
    <s v="NA"/>
    <s v="NA"/>
    <n v="0"/>
    <n v="5"/>
    <n v="2007"/>
    <s v="WD"/>
    <s v="Normal"/>
    <n v="118500"/>
  </r>
  <r>
    <n v="584"/>
    <n v="75"/>
    <s v="RM"/>
    <n v="75"/>
    <n v="13500"/>
    <s v="Pave"/>
    <s v="NA"/>
    <s v="Reg"/>
    <s v="Lvl"/>
    <s v="AllPub"/>
    <s v="Inside"/>
    <s v="Gtl"/>
    <x v="7"/>
    <x v="3"/>
    <s v="PosA"/>
    <x v="0"/>
    <x v="6"/>
    <n v="10"/>
    <n v="9"/>
    <x v="100"/>
    <n v="2000"/>
    <s v="Gable"/>
    <s v="CompShg"/>
    <s v="Wd Sdng"/>
    <s v="Wd Sdng"/>
    <s v="None"/>
    <n v="0"/>
    <s v="Ex"/>
    <s v="Ex"/>
    <s v="BrkTil"/>
    <s v="TA"/>
    <s v="TA"/>
    <s v="No"/>
    <s v="Unf"/>
    <n v="0"/>
    <s v="Unf"/>
    <n v="0"/>
    <n v="1237"/>
    <n v="1237"/>
    <s v="GasA"/>
    <s v="Gd"/>
    <s v="Y"/>
    <s v="SBrkr"/>
    <n v="1521"/>
    <n v="1254"/>
    <n v="0"/>
    <x v="455"/>
    <n v="0"/>
    <n v="0"/>
    <n v="3"/>
    <n v="1"/>
    <n v="3"/>
    <n v="1"/>
    <s v="Gd"/>
    <n v="9"/>
    <s v="Typ"/>
    <n v="1"/>
    <s v="Gd"/>
    <s v="Detchd"/>
    <n v="1988"/>
    <s v="Unf"/>
    <n v="2"/>
    <n v="880"/>
    <s v="Gd"/>
    <s v="TA"/>
    <s v="Y"/>
    <n v="105"/>
    <n v="502"/>
    <n v="0"/>
    <n v="0"/>
    <n v="0"/>
    <n v="0"/>
    <s v="NA"/>
    <s v="NA"/>
    <s v="NA"/>
    <n v="0"/>
    <n v="7"/>
    <n v="2008"/>
    <s v="WD"/>
    <s v="Normal"/>
    <n v="325000"/>
  </r>
  <r>
    <n v="585"/>
    <n v="50"/>
    <s v="RM"/>
    <n v="51"/>
    <n v="6120"/>
    <s v="Pave"/>
    <s v="NA"/>
    <s v="Reg"/>
    <s v="Lvl"/>
    <s v="AllPub"/>
    <s v="Inside"/>
    <s v="Gtl"/>
    <x v="8"/>
    <x v="0"/>
    <s v="Norm"/>
    <x v="0"/>
    <x v="2"/>
    <n v="4"/>
    <n v="7"/>
    <x v="61"/>
    <n v="1995"/>
    <s v="Gable"/>
    <s v="CompShg"/>
    <s v="AsbShng"/>
    <s v="AsbShng"/>
    <s v="None"/>
    <n v="0"/>
    <s v="TA"/>
    <s v="TA"/>
    <s v="BrkTil"/>
    <s v="TA"/>
    <s v="TA"/>
    <s v="No"/>
    <s v="Unf"/>
    <n v="0"/>
    <s v="Unf"/>
    <n v="0"/>
    <n v="884"/>
    <n v="884"/>
    <s v="GasA"/>
    <s v="Ex"/>
    <s v="Y"/>
    <s v="SBrkr"/>
    <n v="989"/>
    <n v="584"/>
    <n v="0"/>
    <x v="357"/>
    <n v="0"/>
    <n v="0"/>
    <n v="1"/>
    <n v="0"/>
    <n v="3"/>
    <n v="1"/>
    <s v="Gd"/>
    <n v="6"/>
    <s v="Typ"/>
    <n v="0"/>
    <s v="NA"/>
    <s v="Detchd"/>
    <n v="1935"/>
    <s v="Unf"/>
    <n v="1"/>
    <n v="240"/>
    <s v="TA"/>
    <s v="TA"/>
    <s v="Y"/>
    <n v="0"/>
    <n v="0"/>
    <n v="54"/>
    <n v="0"/>
    <n v="120"/>
    <n v="0"/>
    <s v="NA"/>
    <s v="NA"/>
    <s v="NA"/>
    <n v="0"/>
    <n v="7"/>
    <n v="2009"/>
    <s v="WD"/>
    <s v="Normal"/>
    <n v="133000"/>
  </r>
  <r>
    <n v="586"/>
    <n v="20"/>
    <s v="RL"/>
    <n v="88"/>
    <n v="11443"/>
    <s v="Pave"/>
    <s v="NA"/>
    <s v="Reg"/>
    <s v="Lvl"/>
    <s v="AllPub"/>
    <s v="Inside"/>
    <s v="Gtl"/>
    <x v="16"/>
    <x v="0"/>
    <s v="Norm"/>
    <x v="0"/>
    <x v="1"/>
    <n v="8"/>
    <n v="5"/>
    <x v="11"/>
    <n v="2006"/>
    <s v="Hip"/>
    <s v="CompShg"/>
    <s v="VinylSd"/>
    <s v="VinylSd"/>
    <s v="BrkFace"/>
    <n v="208"/>
    <s v="Gd"/>
    <s v="TA"/>
    <s v="PConc"/>
    <s v="Ex"/>
    <s v="TA"/>
    <s v="Gd"/>
    <s v="GLQ"/>
    <n v="1460"/>
    <s v="Unf"/>
    <n v="0"/>
    <n v="408"/>
    <n v="1868"/>
    <s v="GasA"/>
    <s v="Ex"/>
    <s v="Y"/>
    <s v="SBrkr"/>
    <n v="2028"/>
    <n v="0"/>
    <n v="0"/>
    <x v="456"/>
    <n v="1"/>
    <n v="0"/>
    <n v="2"/>
    <n v="0"/>
    <n v="2"/>
    <n v="1"/>
    <s v="Gd"/>
    <n v="7"/>
    <s v="Typ"/>
    <n v="2"/>
    <s v="Gd"/>
    <s v="Attchd"/>
    <n v="2005"/>
    <s v="RFn"/>
    <n v="3"/>
    <n v="880"/>
    <s v="TA"/>
    <s v="TA"/>
    <s v="Y"/>
    <n v="326"/>
    <n v="66"/>
    <n v="0"/>
    <n v="0"/>
    <n v="0"/>
    <n v="0"/>
    <s v="NA"/>
    <s v="NA"/>
    <s v="NA"/>
    <n v="0"/>
    <n v="3"/>
    <n v="2006"/>
    <s v="New"/>
    <s v="Partial"/>
    <n v="369900"/>
  </r>
  <r>
    <n v="587"/>
    <n v="30"/>
    <s v="RL"/>
    <n v="55"/>
    <n v="10267"/>
    <s v="Pave"/>
    <s v="NA"/>
    <s v="Reg"/>
    <s v="Lvl"/>
    <s v="AllPub"/>
    <s v="Inside"/>
    <s v="Gtl"/>
    <x v="8"/>
    <x v="6"/>
    <s v="Norm"/>
    <x v="0"/>
    <x v="1"/>
    <n v="6"/>
    <n v="7"/>
    <x v="79"/>
    <n v="2000"/>
    <s v="Gable"/>
    <s v="CompShg"/>
    <s v="Stucco"/>
    <s v="Wd Shng"/>
    <s v="None"/>
    <n v="0"/>
    <s v="TA"/>
    <s v="Gd"/>
    <s v="BrkTil"/>
    <s v="TA"/>
    <s v="Gd"/>
    <s v="Mn"/>
    <s v="Rec"/>
    <n v="210"/>
    <s v="ALQ"/>
    <n v="606"/>
    <n v="0"/>
    <n v="816"/>
    <s v="GasA"/>
    <s v="Ex"/>
    <s v="Y"/>
    <s v="SBrkr"/>
    <n v="838"/>
    <n v="0"/>
    <n v="0"/>
    <x v="457"/>
    <n v="1"/>
    <n v="0"/>
    <n v="1"/>
    <n v="0"/>
    <n v="2"/>
    <n v="1"/>
    <s v="Fa"/>
    <n v="5"/>
    <s v="Typ"/>
    <n v="0"/>
    <s v="NA"/>
    <s v="Detchd"/>
    <n v="1961"/>
    <s v="Fin"/>
    <n v="1"/>
    <n v="275"/>
    <s v="TA"/>
    <s v="TA"/>
    <s v="N"/>
    <n v="0"/>
    <n v="0"/>
    <n v="112"/>
    <n v="0"/>
    <n v="0"/>
    <n v="0"/>
    <s v="NA"/>
    <s v="MnWw"/>
    <s v="NA"/>
    <n v="0"/>
    <n v="5"/>
    <n v="2008"/>
    <s v="WD"/>
    <s v="Normal"/>
    <n v="130000"/>
  </r>
  <r>
    <n v="588"/>
    <n v="85"/>
    <s v="RL"/>
    <n v="74"/>
    <n v="8740"/>
    <s v="Pave"/>
    <s v="NA"/>
    <s v="IR1"/>
    <s v="Lvl"/>
    <s v="AllPub"/>
    <s v="Inside"/>
    <s v="Gtl"/>
    <x v="9"/>
    <x v="0"/>
    <s v="Norm"/>
    <x v="0"/>
    <x v="4"/>
    <n v="5"/>
    <n v="6"/>
    <x v="44"/>
    <n v="1982"/>
    <s v="Hip"/>
    <s v="CompShg"/>
    <s v="HdBoard"/>
    <s v="HdBoard"/>
    <s v="None"/>
    <n v="0"/>
    <s v="TA"/>
    <s v="TA"/>
    <s v="CBlock"/>
    <s v="TA"/>
    <s v="TA"/>
    <s v="Av"/>
    <s v="ALQ"/>
    <n v="672"/>
    <s v="Unf"/>
    <n v="0"/>
    <n v="168"/>
    <n v="840"/>
    <s v="GasA"/>
    <s v="TA"/>
    <s v="Y"/>
    <s v="SBrkr"/>
    <n v="860"/>
    <n v="0"/>
    <n v="0"/>
    <x v="458"/>
    <n v="1"/>
    <n v="0"/>
    <n v="1"/>
    <n v="0"/>
    <n v="2"/>
    <n v="1"/>
    <s v="TA"/>
    <n v="4"/>
    <s v="Typ"/>
    <n v="0"/>
    <s v="NA"/>
    <s v="Detchd"/>
    <n v="1996"/>
    <s v="Unf"/>
    <n v="2"/>
    <n v="528"/>
    <s v="TA"/>
    <s v="TA"/>
    <s v="Y"/>
    <n v="0"/>
    <n v="0"/>
    <n v="0"/>
    <n v="0"/>
    <n v="0"/>
    <n v="0"/>
    <s v="NA"/>
    <s v="NA"/>
    <s v="NA"/>
    <n v="0"/>
    <n v="7"/>
    <n v="2009"/>
    <s v="WD"/>
    <s v="Normal"/>
    <n v="137000"/>
  </r>
  <r>
    <n v="589"/>
    <n v="20"/>
    <s v="RL"/>
    <n v="65"/>
    <n v="25095"/>
    <s v="Pave"/>
    <s v="NA"/>
    <s v="IR1"/>
    <s v="Low"/>
    <s v="AllPub"/>
    <s v="Inside"/>
    <s v="Sev"/>
    <x v="19"/>
    <x v="0"/>
    <s v="Norm"/>
    <x v="0"/>
    <x v="1"/>
    <n v="5"/>
    <n v="8"/>
    <x v="21"/>
    <n v="2003"/>
    <s v="Flat"/>
    <s v="Tar&amp;Grv"/>
    <s v="Wd Sdng"/>
    <s v="Wd Sdng"/>
    <s v="None"/>
    <n v="0"/>
    <s v="TA"/>
    <s v="TA"/>
    <s v="CBlock"/>
    <s v="TA"/>
    <s v="TA"/>
    <s v="Gd"/>
    <s v="GLQ"/>
    <n v="1324"/>
    <s v="Unf"/>
    <n v="0"/>
    <n v="113"/>
    <n v="1437"/>
    <s v="GasA"/>
    <s v="Ex"/>
    <s v="Y"/>
    <s v="SBrkr"/>
    <n v="1473"/>
    <n v="0"/>
    <n v="0"/>
    <x v="459"/>
    <n v="2"/>
    <n v="0"/>
    <n v="1"/>
    <n v="0"/>
    <n v="1"/>
    <n v="1"/>
    <s v="Ex"/>
    <n v="5"/>
    <s v="Typ"/>
    <n v="2"/>
    <s v="Gd"/>
    <s v="Attchd"/>
    <n v="1968"/>
    <s v="Unf"/>
    <n v="1"/>
    <n v="452"/>
    <s v="TA"/>
    <s v="TA"/>
    <s v="Y"/>
    <n v="0"/>
    <n v="48"/>
    <n v="0"/>
    <n v="0"/>
    <n v="60"/>
    <n v="0"/>
    <s v="NA"/>
    <s v="NA"/>
    <s v="NA"/>
    <n v="0"/>
    <n v="6"/>
    <n v="2009"/>
    <s v="WD"/>
    <s v="Partial"/>
    <n v="143000"/>
  </r>
  <r>
    <n v="590"/>
    <n v="40"/>
    <s v="RM"/>
    <n v="50"/>
    <n v="9100"/>
    <s v="Pave"/>
    <s v="NA"/>
    <s v="Reg"/>
    <s v="Lvl"/>
    <s v="AllPub"/>
    <s v="Inside"/>
    <s v="Gtl"/>
    <x v="8"/>
    <x v="6"/>
    <s v="Feedr"/>
    <x v="0"/>
    <x v="1"/>
    <n v="5"/>
    <n v="6"/>
    <x v="19"/>
    <n v="1960"/>
    <s v="Gable"/>
    <s v="CompShg"/>
    <s v="VinylSd"/>
    <s v="VinylSd"/>
    <s v="None"/>
    <n v="0"/>
    <s v="TA"/>
    <s v="TA"/>
    <s v="BrkTil"/>
    <s v="TA"/>
    <s v="TA"/>
    <s v="No"/>
    <s v="Unf"/>
    <n v="0"/>
    <s v="Unf"/>
    <n v="0"/>
    <n v="742"/>
    <n v="742"/>
    <s v="GasA"/>
    <s v="TA"/>
    <s v="Y"/>
    <s v="FuseA"/>
    <n v="779"/>
    <n v="0"/>
    <n v="156"/>
    <x v="460"/>
    <n v="0"/>
    <n v="0"/>
    <n v="1"/>
    <n v="0"/>
    <n v="2"/>
    <n v="1"/>
    <s v="TA"/>
    <n v="4"/>
    <s v="Typ"/>
    <n v="0"/>
    <s v="NA"/>
    <s v="Detchd"/>
    <n v="1988"/>
    <s v="Unf"/>
    <n v="1"/>
    <n v="308"/>
    <s v="TA"/>
    <s v="TA"/>
    <s v="P"/>
    <n v="0"/>
    <n v="0"/>
    <n v="0"/>
    <n v="0"/>
    <n v="0"/>
    <n v="0"/>
    <s v="NA"/>
    <s v="NA"/>
    <s v="Shed"/>
    <n v="600"/>
    <n v="8"/>
    <n v="2008"/>
    <s v="WD"/>
    <s v="Normal"/>
    <n v="79500"/>
  </r>
  <r>
    <n v="591"/>
    <n v="60"/>
    <s v="RL"/>
    <n v="64"/>
    <n v="8320"/>
    <s v="Pave"/>
    <s v="NA"/>
    <s v="Reg"/>
    <s v="Lvl"/>
    <s v="AllPub"/>
    <s v="Inside"/>
    <s v="Gtl"/>
    <x v="0"/>
    <x v="0"/>
    <s v="Norm"/>
    <x v="0"/>
    <x v="0"/>
    <n v="7"/>
    <n v="5"/>
    <x v="6"/>
    <n v="2004"/>
    <s v="Gable"/>
    <s v="CompShg"/>
    <s v="VinylSd"/>
    <s v="VinylSd"/>
    <s v="None"/>
    <n v="0"/>
    <s v="Gd"/>
    <s v="TA"/>
    <s v="PConc"/>
    <s v="Gd"/>
    <s v="TA"/>
    <s v="No"/>
    <s v="GLQ"/>
    <n v="490"/>
    <s v="Unf"/>
    <n v="0"/>
    <n v="280"/>
    <n v="770"/>
    <s v="GasA"/>
    <s v="Ex"/>
    <s v="Y"/>
    <s v="SBrkr"/>
    <n v="770"/>
    <n v="812"/>
    <n v="0"/>
    <x v="461"/>
    <n v="0"/>
    <n v="0"/>
    <n v="2"/>
    <n v="1"/>
    <n v="3"/>
    <n v="1"/>
    <s v="Gd"/>
    <n v="6"/>
    <s v="Typ"/>
    <n v="0"/>
    <s v="NA"/>
    <s v="Attchd"/>
    <n v="2004"/>
    <s v="RFn"/>
    <n v="2"/>
    <n v="520"/>
    <s v="TA"/>
    <s v="TA"/>
    <s v="Y"/>
    <n v="0"/>
    <n v="45"/>
    <n v="0"/>
    <n v="0"/>
    <n v="0"/>
    <n v="0"/>
    <s v="NA"/>
    <s v="NA"/>
    <s v="NA"/>
    <n v="0"/>
    <n v="9"/>
    <n v="2008"/>
    <s v="WD"/>
    <s v="Normal"/>
    <n v="185900"/>
  </r>
  <r>
    <n v="592"/>
    <n v="60"/>
    <s v="RL"/>
    <n v="97"/>
    <n v="13478"/>
    <s v="Pave"/>
    <s v="NA"/>
    <s v="IR1"/>
    <s v="Lvl"/>
    <s v="AllPub"/>
    <s v="Corner"/>
    <s v="Gtl"/>
    <x v="10"/>
    <x v="0"/>
    <s v="Norm"/>
    <x v="0"/>
    <x v="0"/>
    <n v="10"/>
    <n v="5"/>
    <x v="74"/>
    <n v="2008"/>
    <s v="Gable"/>
    <s v="CompShg"/>
    <s v="CemntBd"/>
    <s v="CmentBd"/>
    <s v="Stone"/>
    <n v="420"/>
    <s v="Ex"/>
    <s v="TA"/>
    <s v="PConc"/>
    <s v="Ex"/>
    <s v="TA"/>
    <s v="Gd"/>
    <s v="GLQ"/>
    <n v="1338"/>
    <s v="Unf"/>
    <n v="0"/>
    <n v="384"/>
    <n v="1722"/>
    <s v="GasA"/>
    <s v="Ex"/>
    <s v="Y"/>
    <s v="SBrkr"/>
    <n v="1728"/>
    <n v="568"/>
    <n v="0"/>
    <x v="462"/>
    <n v="1"/>
    <n v="0"/>
    <n v="2"/>
    <n v="1"/>
    <n v="3"/>
    <n v="1"/>
    <s v="Ex"/>
    <n v="10"/>
    <s v="Typ"/>
    <n v="1"/>
    <s v="Gd"/>
    <s v="BuiltIn"/>
    <n v="2008"/>
    <s v="RFn"/>
    <n v="3"/>
    <n v="842"/>
    <s v="TA"/>
    <s v="TA"/>
    <s v="Y"/>
    <n v="382"/>
    <n v="274"/>
    <n v="0"/>
    <n v="0"/>
    <n v="0"/>
    <n v="0"/>
    <s v="NA"/>
    <s v="NA"/>
    <s v="NA"/>
    <n v="0"/>
    <n v="6"/>
    <n v="2009"/>
    <s v="ConLI"/>
    <s v="Normal"/>
    <n v="451950"/>
  </r>
  <r>
    <n v="593"/>
    <n v="20"/>
    <s v="RL"/>
    <n v="60"/>
    <n v="6600"/>
    <s v="Pave"/>
    <s v="NA"/>
    <s v="Reg"/>
    <s v="Lvl"/>
    <s v="AllPub"/>
    <s v="Inside"/>
    <s v="Gtl"/>
    <x v="4"/>
    <x v="0"/>
    <s v="Norm"/>
    <x v="0"/>
    <x v="1"/>
    <n v="5"/>
    <n v="8"/>
    <x v="44"/>
    <n v="2003"/>
    <s v="Gable"/>
    <s v="CompShg"/>
    <s v="HdBoard"/>
    <s v="HdBoard"/>
    <s v="None"/>
    <n v="0"/>
    <s v="TA"/>
    <s v="Gd"/>
    <s v="PConc"/>
    <s v="TA"/>
    <s v="Gd"/>
    <s v="No"/>
    <s v="GLQ"/>
    <n v="816"/>
    <s v="Unf"/>
    <n v="0"/>
    <n v="0"/>
    <n v="816"/>
    <s v="GasA"/>
    <s v="Ex"/>
    <s v="Y"/>
    <s v="SBrkr"/>
    <n v="816"/>
    <n v="0"/>
    <n v="0"/>
    <x v="50"/>
    <n v="1"/>
    <n v="0"/>
    <n v="1"/>
    <n v="0"/>
    <n v="2"/>
    <n v="1"/>
    <s v="TA"/>
    <n v="4"/>
    <s v="Typ"/>
    <n v="0"/>
    <s v="NA"/>
    <s v="Detchd"/>
    <n v="1985"/>
    <s v="Fin"/>
    <n v="2"/>
    <n v="816"/>
    <s v="TA"/>
    <s v="TA"/>
    <s v="Y"/>
    <n v="0"/>
    <n v="0"/>
    <n v="0"/>
    <n v="0"/>
    <n v="0"/>
    <n v="0"/>
    <s v="NA"/>
    <s v="NA"/>
    <s v="NA"/>
    <n v="0"/>
    <n v="6"/>
    <n v="2008"/>
    <s v="WD"/>
    <s v="Normal"/>
    <n v="138000"/>
  </r>
  <r>
    <n v="594"/>
    <n v="120"/>
    <s v="RM"/>
    <s v="NA"/>
    <n v="4435"/>
    <s v="Pave"/>
    <s v="NA"/>
    <s v="Reg"/>
    <s v="Lvl"/>
    <s v="AllPub"/>
    <s v="Inside"/>
    <s v="Gtl"/>
    <x v="0"/>
    <x v="0"/>
    <s v="Norm"/>
    <x v="3"/>
    <x v="1"/>
    <n v="6"/>
    <n v="5"/>
    <x v="0"/>
    <n v="2003"/>
    <s v="Gable"/>
    <s v="CompShg"/>
    <s v="VinylSd"/>
    <s v="VinylSd"/>
    <s v="BrkFace"/>
    <n v="170"/>
    <s v="Gd"/>
    <s v="TA"/>
    <s v="PConc"/>
    <s v="Gd"/>
    <s v="TA"/>
    <s v="Av"/>
    <s v="GLQ"/>
    <n v="685"/>
    <s v="Unf"/>
    <n v="0"/>
    <n v="163"/>
    <n v="848"/>
    <s v="GasA"/>
    <s v="Ex"/>
    <s v="Y"/>
    <s v="SBrkr"/>
    <n v="848"/>
    <n v="0"/>
    <n v="0"/>
    <x v="182"/>
    <n v="1"/>
    <n v="0"/>
    <n v="1"/>
    <n v="0"/>
    <n v="1"/>
    <n v="1"/>
    <s v="Gd"/>
    <n v="4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5"/>
    <n v="2009"/>
    <s v="WD"/>
    <s v="Normal"/>
    <n v="140000"/>
  </r>
  <r>
    <n v="595"/>
    <n v="20"/>
    <s v="RL"/>
    <n v="88"/>
    <n v="7990"/>
    <s v="Pave"/>
    <s v="NA"/>
    <s v="IR1"/>
    <s v="Lvl"/>
    <s v="AllPub"/>
    <s v="Inside"/>
    <s v="Gtl"/>
    <x v="0"/>
    <x v="0"/>
    <s v="Norm"/>
    <x v="0"/>
    <x v="1"/>
    <n v="5"/>
    <n v="6"/>
    <x v="34"/>
    <n v="1975"/>
    <s v="Hip"/>
    <s v="CompShg"/>
    <s v="HdBoard"/>
    <s v="HdBoard"/>
    <s v="None"/>
    <n v="0"/>
    <s v="TA"/>
    <s v="TA"/>
    <s v="CBlock"/>
    <s v="Gd"/>
    <s v="TA"/>
    <s v="No"/>
    <s v="Unf"/>
    <n v="0"/>
    <s v="Unf"/>
    <n v="0"/>
    <n v="924"/>
    <n v="924"/>
    <s v="GasA"/>
    <s v="TA"/>
    <s v="Y"/>
    <s v="SBrkr"/>
    <n v="924"/>
    <n v="0"/>
    <n v="0"/>
    <x v="463"/>
    <n v="0"/>
    <n v="0"/>
    <n v="1"/>
    <n v="0"/>
    <n v="3"/>
    <n v="1"/>
    <s v="TA"/>
    <n v="5"/>
    <s v="Typ"/>
    <n v="0"/>
    <s v="NA"/>
    <s v="Detchd"/>
    <n v="1981"/>
    <s v="Unf"/>
    <n v="1"/>
    <n v="280"/>
    <s v="TA"/>
    <s v="TA"/>
    <s v="Y"/>
    <n v="0"/>
    <n v="0"/>
    <n v="0"/>
    <n v="0"/>
    <n v="0"/>
    <n v="0"/>
    <s v="NA"/>
    <s v="MnPrv"/>
    <s v="NA"/>
    <n v="0"/>
    <n v="4"/>
    <n v="2008"/>
    <s v="WD"/>
    <s v="Normal"/>
    <n v="110000"/>
  </r>
  <r>
    <n v="596"/>
    <n v="20"/>
    <s v="RL"/>
    <n v="69"/>
    <n v="11302"/>
    <s v="Pave"/>
    <s v="NA"/>
    <s v="IR1"/>
    <s v="Lvl"/>
    <s v="AllPub"/>
    <s v="Inside"/>
    <s v="Gtl"/>
    <x v="18"/>
    <x v="0"/>
    <s v="Norm"/>
    <x v="0"/>
    <x v="1"/>
    <n v="8"/>
    <n v="5"/>
    <x v="11"/>
    <n v="2006"/>
    <s v="Gable"/>
    <s v="CompShg"/>
    <s v="VinylSd"/>
    <s v="Other"/>
    <s v="BrkFace"/>
    <n v="238"/>
    <s v="Gd"/>
    <s v="TA"/>
    <s v="PConc"/>
    <s v="Gd"/>
    <s v="TA"/>
    <s v="Gd"/>
    <s v="GLQ"/>
    <n v="1422"/>
    <s v="Unf"/>
    <n v="0"/>
    <n v="392"/>
    <n v="1814"/>
    <s v="GasA"/>
    <s v="Ex"/>
    <s v="Y"/>
    <s v="SBrkr"/>
    <n v="1826"/>
    <n v="0"/>
    <n v="0"/>
    <x v="387"/>
    <n v="1"/>
    <n v="0"/>
    <n v="2"/>
    <n v="0"/>
    <n v="3"/>
    <n v="1"/>
    <s v="Gd"/>
    <n v="7"/>
    <s v="Typ"/>
    <n v="1"/>
    <s v="TA"/>
    <s v="Attchd"/>
    <n v="2005"/>
    <s v="Fin"/>
    <n v="3"/>
    <n v="758"/>
    <s v="TA"/>
    <s v="TA"/>
    <s v="Y"/>
    <n v="180"/>
    <n v="75"/>
    <n v="0"/>
    <n v="0"/>
    <n v="120"/>
    <n v="0"/>
    <s v="NA"/>
    <s v="NA"/>
    <s v="NA"/>
    <n v="0"/>
    <n v="8"/>
    <n v="2006"/>
    <s v="New"/>
    <s v="Partial"/>
    <n v="319000"/>
  </r>
  <r>
    <n v="597"/>
    <n v="70"/>
    <s v="RM"/>
    <n v="60"/>
    <n v="3600"/>
    <s v="Pave"/>
    <s v="Grvl"/>
    <s v="Reg"/>
    <s v="Lvl"/>
    <s v="AllPub"/>
    <s v="Inside"/>
    <s v="Gtl"/>
    <x v="7"/>
    <x v="0"/>
    <s v="Norm"/>
    <x v="0"/>
    <x v="0"/>
    <n v="6"/>
    <n v="7"/>
    <x v="48"/>
    <n v="1993"/>
    <s v="Gable"/>
    <s v="CompShg"/>
    <s v="VinylSd"/>
    <s v="VinylSd"/>
    <s v="None"/>
    <n v="0"/>
    <s v="TA"/>
    <s v="TA"/>
    <s v="CBlock"/>
    <s v="TA"/>
    <s v="TA"/>
    <s v="No"/>
    <s v="Unf"/>
    <n v="0"/>
    <s v="Unf"/>
    <n v="0"/>
    <n v="684"/>
    <n v="684"/>
    <s v="GasA"/>
    <s v="Ex"/>
    <s v="N"/>
    <s v="FuseA"/>
    <n v="684"/>
    <n v="684"/>
    <n v="0"/>
    <x v="405"/>
    <n v="0"/>
    <n v="0"/>
    <n v="1"/>
    <n v="0"/>
    <n v="3"/>
    <n v="1"/>
    <s v="TA"/>
    <n v="7"/>
    <s v="Typ"/>
    <n v="0"/>
    <s v="NA"/>
    <s v="Detchd"/>
    <n v="1930"/>
    <s v="Unf"/>
    <n v="1"/>
    <n v="216"/>
    <s v="TA"/>
    <s v="Fa"/>
    <s v="N"/>
    <n v="0"/>
    <n v="158"/>
    <n v="0"/>
    <n v="0"/>
    <n v="0"/>
    <n v="0"/>
    <s v="NA"/>
    <s v="NA"/>
    <s v="NA"/>
    <n v="0"/>
    <n v="10"/>
    <n v="2006"/>
    <s v="WD"/>
    <s v="Normal"/>
    <n v="114504"/>
  </r>
  <r>
    <n v="598"/>
    <n v="120"/>
    <s v="RL"/>
    <n v="53"/>
    <n v="3922"/>
    <s v="Pave"/>
    <s v="NA"/>
    <s v="Reg"/>
    <s v="Lvl"/>
    <s v="AllPub"/>
    <s v="Inside"/>
    <s v="Gtl"/>
    <x v="21"/>
    <x v="0"/>
    <s v="Norm"/>
    <x v="3"/>
    <x v="1"/>
    <n v="7"/>
    <n v="5"/>
    <x v="13"/>
    <n v="2007"/>
    <s v="Gable"/>
    <s v="CompShg"/>
    <s v="VinylSd"/>
    <s v="VinylSd"/>
    <s v="BrkFace"/>
    <n v="72"/>
    <s v="Gd"/>
    <s v="TA"/>
    <s v="PConc"/>
    <s v="Ex"/>
    <s v="TA"/>
    <s v="Av"/>
    <s v="Unf"/>
    <n v="0"/>
    <s v="Unf"/>
    <n v="0"/>
    <n v="1258"/>
    <n v="1258"/>
    <s v="GasA"/>
    <s v="Ex"/>
    <s v="Y"/>
    <s v="SBrkr"/>
    <n v="1402"/>
    <n v="0"/>
    <n v="0"/>
    <x v="464"/>
    <n v="0"/>
    <n v="2"/>
    <n v="0"/>
    <n v="2"/>
    <n v="2"/>
    <n v="1"/>
    <s v="Gd"/>
    <n v="7"/>
    <s v="Typ"/>
    <n v="1"/>
    <s v="Gd"/>
    <s v="Attchd"/>
    <n v="2006"/>
    <s v="Fin"/>
    <n v="3"/>
    <n v="648"/>
    <s v="TA"/>
    <s v="TA"/>
    <s v="Y"/>
    <n v="120"/>
    <n v="16"/>
    <n v="0"/>
    <n v="0"/>
    <n v="0"/>
    <n v="0"/>
    <s v="NA"/>
    <s v="NA"/>
    <s v="NA"/>
    <n v="0"/>
    <n v="2"/>
    <n v="2007"/>
    <s v="New"/>
    <s v="Partial"/>
    <n v="194201"/>
  </r>
  <r>
    <n v="599"/>
    <n v="20"/>
    <s v="RL"/>
    <n v="80"/>
    <n v="12984"/>
    <s v="Pave"/>
    <s v="NA"/>
    <s v="Reg"/>
    <s v="Bnk"/>
    <s v="AllPub"/>
    <s v="Inside"/>
    <s v="Gtl"/>
    <x v="2"/>
    <x v="0"/>
    <s v="Norm"/>
    <x v="0"/>
    <x v="1"/>
    <n v="5"/>
    <n v="6"/>
    <x v="54"/>
    <n v="1977"/>
    <s v="Gable"/>
    <s v="CompShg"/>
    <s v="Plywood"/>
    <s v="Plywood"/>
    <s v="BrkFace"/>
    <n v="459"/>
    <s v="TA"/>
    <s v="TA"/>
    <s v="CBlock"/>
    <s v="Gd"/>
    <s v="TA"/>
    <s v="Mn"/>
    <s v="ALQ"/>
    <n v="1283"/>
    <s v="LwQ"/>
    <n v="147"/>
    <n v="0"/>
    <n v="1430"/>
    <s v="GasA"/>
    <s v="Ex"/>
    <s v="Y"/>
    <s v="SBrkr"/>
    <n v="1647"/>
    <n v="0"/>
    <n v="0"/>
    <x v="445"/>
    <n v="1"/>
    <n v="0"/>
    <n v="2"/>
    <n v="0"/>
    <n v="3"/>
    <n v="1"/>
    <s v="Gd"/>
    <n v="7"/>
    <s v="Typ"/>
    <n v="1"/>
    <s v="TA"/>
    <s v="Attchd"/>
    <n v="1977"/>
    <s v="Fin"/>
    <n v="2"/>
    <n v="621"/>
    <s v="TA"/>
    <s v="TA"/>
    <s v="Y"/>
    <n v="0"/>
    <n v="0"/>
    <n v="0"/>
    <n v="0"/>
    <n v="0"/>
    <n v="0"/>
    <s v="NA"/>
    <s v="NA"/>
    <s v="NA"/>
    <n v="0"/>
    <n v="3"/>
    <n v="2006"/>
    <s v="WD"/>
    <s v="Normal"/>
    <n v="217500"/>
  </r>
  <r>
    <n v="600"/>
    <n v="160"/>
    <s v="RM"/>
    <n v="24"/>
    <n v="1950"/>
    <s v="Pave"/>
    <s v="NA"/>
    <s v="Reg"/>
    <s v="Lvl"/>
    <s v="AllPub"/>
    <s v="Inside"/>
    <s v="Gtl"/>
    <x v="24"/>
    <x v="0"/>
    <s v="Norm"/>
    <x v="4"/>
    <x v="0"/>
    <n v="6"/>
    <n v="6"/>
    <x v="84"/>
    <n v="1980"/>
    <s v="Gable"/>
    <s v="CompShg"/>
    <s v="MetalSd"/>
    <s v="MetalSd"/>
    <s v="None"/>
    <n v="0"/>
    <s v="TA"/>
    <s v="Gd"/>
    <s v="CBlock"/>
    <s v="Gd"/>
    <s v="TA"/>
    <s v="No"/>
    <s v="LwQ"/>
    <n v="81"/>
    <s v="GLQ"/>
    <n v="612"/>
    <n v="23"/>
    <n v="716"/>
    <s v="GasA"/>
    <s v="TA"/>
    <s v="Y"/>
    <s v="SBrkr"/>
    <n v="716"/>
    <n v="840"/>
    <n v="0"/>
    <x v="465"/>
    <n v="1"/>
    <n v="0"/>
    <n v="2"/>
    <n v="1"/>
    <n v="3"/>
    <n v="1"/>
    <s v="TA"/>
    <n v="6"/>
    <s v="Typ"/>
    <n v="1"/>
    <s v="TA"/>
    <s v="Attchd"/>
    <n v="1980"/>
    <s v="Fin"/>
    <n v="2"/>
    <n v="452"/>
    <s v="TA"/>
    <s v="TA"/>
    <s v="Y"/>
    <n v="161"/>
    <n v="0"/>
    <n v="0"/>
    <n v="0"/>
    <n v="0"/>
    <n v="0"/>
    <s v="NA"/>
    <s v="GdPrv"/>
    <s v="NA"/>
    <n v="0"/>
    <n v="7"/>
    <n v="2008"/>
    <s v="COD"/>
    <s v="Normal"/>
    <n v="151000"/>
  </r>
  <r>
    <n v="601"/>
    <n v="60"/>
    <s v="RL"/>
    <n v="74"/>
    <n v="10927"/>
    <s v="Pave"/>
    <s v="NA"/>
    <s v="Reg"/>
    <s v="Lvl"/>
    <s v="AllPub"/>
    <s v="Inside"/>
    <s v="Gtl"/>
    <x v="10"/>
    <x v="0"/>
    <s v="Norm"/>
    <x v="0"/>
    <x v="0"/>
    <n v="8"/>
    <n v="5"/>
    <x v="11"/>
    <n v="2005"/>
    <s v="Gable"/>
    <s v="CompShg"/>
    <s v="VinylSd"/>
    <s v="VinylSd"/>
    <s v="BrkFace"/>
    <n v="280"/>
    <s v="Gd"/>
    <s v="TA"/>
    <s v="PConc"/>
    <s v="Gd"/>
    <s v="TA"/>
    <s v="Av"/>
    <s v="GLQ"/>
    <n v="546"/>
    <s v="Unf"/>
    <n v="0"/>
    <n v="512"/>
    <n v="1058"/>
    <s v="GasA"/>
    <s v="Ex"/>
    <s v="Y"/>
    <s v="SBrkr"/>
    <n v="1058"/>
    <n v="846"/>
    <n v="0"/>
    <x v="466"/>
    <n v="1"/>
    <n v="0"/>
    <n v="2"/>
    <n v="1"/>
    <n v="3"/>
    <n v="1"/>
    <s v="Ex"/>
    <n v="8"/>
    <s v="Typ"/>
    <n v="1"/>
    <s v="Gd"/>
    <s v="BuiltIn"/>
    <n v="2003"/>
    <s v="Fin"/>
    <n v="2"/>
    <n v="736"/>
    <s v="TA"/>
    <s v="TA"/>
    <s v="Y"/>
    <n v="179"/>
    <n v="60"/>
    <n v="0"/>
    <n v="0"/>
    <n v="0"/>
    <n v="0"/>
    <s v="NA"/>
    <s v="NA"/>
    <s v="NA"/>
    <n v="0"/>
    <n v="6"/>
    <n v="2006"/>
    <s v="WD"/>
    <s v="Normal"/>
    <n v="275000"/>
  </r>
  <r>
    <n v="602"/>
    <n v="50"/>
    <s v="RM"/>
    <n v="50"/>
    <n v="9000"/>
    <s v="Pave"/>
    <s v="NA"/>
    <s v="Reg"/>
    <s v="Bnk"/>
    <s v="AllPub"/>
    <s v="Inside"/>
    <s v="Gtl"/>
    <x v="13"/>
    <x v="0"/>
    <s v="Norm"/>
    <x v="0"/>
    <x v="2"/>
    <n v="6"/>
    <n v="6"/>
    <x v="96"/>
    <n v="1950"/>
    <s v="Gable"/>
    <s v="CompShg"/>
    <s v="Wd Sdng"/>
    <s v="Wd Sdng"/>
    <s v="None"/>
    <n v="0"/>
    <s v="TA"/>
    <s v="Gd"/>
    <s v="PConc"/>
    <s v="TA"/>
    <s v="TA"/>
    <s v="No"/>
    <s v="Unf"/>
    <n v="0"/>
    <s v="Unf"/>
    <n v="0"/>
    <n v="780"/>
    <n v="780"/>
    <s v="GasA"/>
    <s v="TA"/>
    <s v="Y"/>
    <s v="SBrkr"/>
    <n v="780"/>
    <n v="595"/>
    <n v="0"/>
    <x v="215"/>
    <n v="0"/>
    <n v="0"/>
    <n v="1"/>
    <n v="1"/>
    <n v="3"/>
    <n v="1"/>
    <s v="Gd"/>
    <n v="6"/>
    <s v="Typ"/>
    <n v="1"/>
    <s v="Gd"/>
    <s v="Detchd"/>
    <n v="1979"/>
    <s v="Unf"/>
    <n v="1"/>
    <n v="544"/>
    <s v="TA"/>
    <s v="TA"/>
    <s v="P"/>
    <n v="0"/>
    <n v="162"/>
    <n v="0"/>
    <n v="0"/>
    <n v="126"/>
    <n v="0"/>
    <s v="NA"/>
    <s v="NA"/>
    <s v="NA"/>
    <n v="0"/>
    <n v="12"/>
    <n v="2007"/>
    <s v="WD"/>
    <s v="Normal"/>
    <n v="141000"/>
  </r>
  <r>
    <n v="603"/>
    <n v="60"/>
    <s v="RL"/>
    <n v="80"/>
    <n v="10041"/>
    <s v="Pave"/>
    <s v="NA"/>
    <s v="IR1"/>
    <s v="Lvl"/>
    <s v="AllPub"/>
    <s v="Inside"/>
    <s v="Gtl"/>
    <x v="12"/>
    <x v="0"/>
    <s v="Norm"/>
    <x v="0"/>
    <x v="0"/>
    <n v="8"/>
    <n v="5"/>
    <x v="86"/>
    <n v="1992"/>
    <s v="Gable"/>
    <s v="CompShg"/>
    <s v="HdBoard"/>
    <s v="HdBoard"/>
    <s v="None"/>
    <n v="0"/>
    <s v="Gd"/>
    <s v="TA"/>
    <s v="PConc"/>
    <s v="Gd"/>
    <s v="TA"/>
    <s v="Mn"/>
    <s v="GLQ"/>
    <n v="789"/>
    <s v="Unf"/>
    <n v="0"/>
    <n v="119"/>
    <n v="908"/>
    <s v="GasA"/>
    <s v="Ex"/>
    <s v="Y"/>
    <s v="SBrkr"/>
    <n v="927"/>
    <n v="988"/>
    <n v="0"/>
    <x v="467"/>
    <n v="1"/>
    <n v="0"/>
    <n v="2"/>
    <n v="1"/>
    <n v="3"/>
    <n v="1"/>
    <s v="Gd"/>
    <n v="8"/>
    <s v="Typ"/>
    <n v="1"/>
    <s v="TA"/>
    <s v="Attchd"/>
    <n v="1992"/>
    <s v="Fin"/>
    <n v="2"/>
    <n v="506"/>
    <s v="TA"/>
    <s v="TA"/>
    <s v="Y"/>
    <n v="120"/>
    <n v="150"/>
    <n v="0"/>
    <n v="0"/>
    <n v="0"/>
    <n v="0"/>
    <s v="NA"/>
    <s v="NA"/>
    <s v="NA"/>
    <n v="0"/>
    <n v="2"/>
    <n v="2006"/>
    <s v="WD"/>
    <s v="Abnorml"/>
    <n v="220000"/>
  </r>
  <r>
    <n v="604"/>
    <n v="160"/>
    <s v="FV"/>
    <n v="30"/>
    <n v="3182"/>
    <s v="Pave"/>
    <s v="Pave"/>
    <s v="Reg"/>
    <s v="Lvl"/>
    <s v="AllPub"/>
    <s v="Inside"/>
    <s v="Gtl"/>
    <x v="5"/>
    <x v="0"/>
    <s v="Norm"/>
    <x v="3"/>
    <x v="0"/>
    <n v="7"/>
    <n v="5"/>
    <x v="6"/>
    <n v="2005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00"/>
    <n v="600"/>
    <s v="GasA"/>
    <s v="Ex"/>
    <s v="Y"/>
    <s v="SBrkr"/>
    <n v="600"/>
    <n v="600"/>
    <n v="0"/>
    <x v="144"/>
    <n v="0"/>
    <n v="0"/>
    <n v="2"/>
    <n v="1"/>
    <n v="2"/>
    <n v="1"/>
    <s v="Gd"/>
    <n v="4"/>
    <s v="Typ"/>
    <n v="0"/>
    <s v="NA"/>
    <s v="Detchd"/>
    <n v="2004"/>
    <s v="RFn"/>
    <n v="2"/>
    <n v="480"/>
    <s v="TA"/>
    <s v="TA"/>
    <s v="Y"/>
    <n v="0"/>
    <n v="172"/>
    <n v="0"/>
    <n v="0"/>
    <n v="0"/>
    <n v="0"/>
    <s v="NA"/>
    <s v="NA"/>
    <s v="NA"/>
    <n v="0"/>
    <n v="6"/>
    <n v="2010"/>
    <s v="WD"/>
    <s v="Normal"/>
    <n v="151000"/>
  </r>
  <r>
    <n v="605"/>
    <n v="20"/>
    <s v="RL"/>
    <n v="88"/>
    <n v="12803"/>
    <s v="Pave"/>
    <s v="NA"/>
    <s v="IR1"/>
    <s v="Lvl"/>
    <s v="AllPub"/>
    <s v="Inside"/>
    <s v="Gtl"/>
    <x v="0"/>
    <x v="0"/>
    <s v="Norm"/>
    <x v="0"/>
    <x v="1"/>
    <n v="7"/>
    <n v="5"/>
    <x v="20"/>
    <n v="2002"/>
    <s v="Gable"/>
    <s v="CompShg"/>
    <s v="VinylSd"/>
    <s v="VinylSd"/>
    <s v="BrkFace"/>
    <n v="99"/>
    <s v="Gd"/>
    <s v="TA"/>
    <s v="PConc"/>
    <s v="Gd"/>
    <s v="TA"/>
    <s v="Mn"/>
    <s v="GLQ"/>
    <n v="922"/>
    <s v="Unf"/>
    <n v="0"/>
    <n v="572"/>
    <n v="1494"/>
    <s v="GasA"/>
    <s v="Ex"/>
    <s v="Y"/>
    <s v="SBrkr"/>
    <n v="1494"/>
    <n v="0"/>
    <n v="0"/>
    <x v="13"/>
    <n v="1"/>
    <n v="0"/>
    <n v="2"/>
    <n v="0"/>
    <n v="3"/>
    <n v="1"/>
    <s v="Gd"/>
    <n v="6"/>
    <s v="Typ"/>
    <n v="1"/>
    <s v="TA"/>
    <s v="Attchd"/>
    <n v="2002"/>
    <s v="RFn"/>
    <n v="2"/>
    <n v="530"/>
    <s v="TA"/>
    <s v="TA"/>
    <s v="Y"/>
    <n v="192"/>
    <n v="36"/>
    <n v="0"/>
    <n v="0"/>
    <n v="0"/>
    <n v="0"/>
    <s v="NA"/>
    <s v="NA"/>
    <s v="NA"/>
    <n v="0"/>
    <n v="9"/>
    <n v="2008"/>
    <s v="WD"/>
    <s v="Normal"/>
    <n v="221000"/>
  </r>
  <r>
    <n v="606"/>
    <n v="60"/>
    <s v="RL"/>
    <n v="85"/>
    <n v="13600"/>
    <s v="Pave"/>
    <s v="NA"/>
    <s v="Reg"/>
    <s v="Lvl"/>
    <s v="AllPub"/>
    <s v="Inside"/>
    <s v="Gtl"/>
    <x v="11"/>
    <x v="0"/>
    <s v="Norm"/>
    <x v="0"/>
    <x v="0"/>
    <n v="7"/>
    <n v="6"/>
    <x v="10"/>
    <n v="1990"/>
    <s v="Gable"/>
    <s v="CompShg"/>
    <s v="HdBoard"/>
    <s v="HdBoard"/>
    <s v="BrkFace"/>
    <n v="176"/>
    <s v="TA"/>
    <s v="TA"/>
    <s v="CBlock"/>
    <s v="TA"/>
    <s v="TA"/>
    <s v="No"/>
    <s v="BLQ"/>
    <n v="454"/>
    <s v="Unf"/>
    <n v="0"/>
    <n v="314"/>
    <n v="768"/>
    <s v="GasA"/>
    <s v="TA"/>
    <s v="Y"/>
    <s v="SBrkr"/>
    <n v="1186"/>
    <n v="800"/>
    <n v="0"/>
    <x v="468"/>
    <n v="0"/>
    <n v="0"/>
    <n v="2"/>
    <n v="1"/>
    <n v="3"/>
    <n v="1"/>
    <s v="TA"/>
    <n v="7"/>
    <s v="Typ"/>
    <n v="3"/>
    <s v="Fa"/>
    <s v="Attchd"/>
    <n v="1965"/>
    <s v="Unf"/>
    <n v="2"/>
    <n v="486"/>
    <s v="TA"/>
    <s v="TA"/>
    <s v="Y"/>
    <n v="0"/>
    <n v="42"/>
    <n v="0"/>
    <n v="0"/>
    <n v="189"/>
    <n v="0"/>
    <s v="NA"/>
    <s v="NA"/>
    <s v="NA"/>
    <n v="0"/>
    <n v="10"/>
    <n v="2009"/>
    <s v="WD"/>
    <s v="Normal"/>
    <n v="205000"/>
  </r>
  <r>
    <n v="607"/>
    <n v="20"/>
    <s v="RL"/>
    <n v="82"/>
    <n v="12464"/>
    <s v="Pave"/>
    <s v="NA"/>
    <s v="IR2"/>
    <s v="Low"/>
    <s v="AllPub"/>
    <s v="Corner"/>
    <s v="Mod"/>
    <x v="0"/>
    <x v="0"/>
    <s v="Norm"/>
    <x v="0"/>
    <x v="1"/>
    <n v="5"/>
    <n v="5"/>
    <x v="92"/>
    <n v="1996"/>
    <s v="Gable"/>
    <s v="CompShg"/>
    <s v="VinylSd"/>
    <s v="VinylSd"/>
    <s v="None"/>
    <n v="0"/>
    <s v="TA"/>
    <s v="Gd"/>
    <s v="PConc"/>
    <s v="Gd"/>
    <s v="TA"/>
    <s v="No"/>
    <s v="GLQ"/>
    <n v="732"/>
    <s v="Unf"/>
    <n v="0"/>
    <n v="308"/>
    <n v="1040"/>
    <s v="GasA"/>
    <s v="Gd"/>
    <s v="Y"/>
    <s v="SBrkr"/>
    <n v="1040"/>
    <n v="0"/>
    <n v="0"/>
    <x v="10"/>
    <n v="1"/>
    <n v="0"/>
    <n v="1"/>
    <n v="0"/>
    <n v="3"/>
    <n v="1"/>
    <s v="Gd"/>
    <n v="6"/>
    <s v="Typ"/>
    <n v="0"/>
    <s v="NA"/>
    <s v="Detchd"/>
    <n v="2000"/>
    <s v="Unf"/>
    <n v="2"/>
    <n v="576"/>
    <s v="TA"/>
    <s v="TA"/>
    <s v="Y"/>
    <n v="168"/>
    <n v="0"/>
    <n v="0"/>
    <n v="0"/>
    <n v="0"/>
    <n v="0"/>
    <s v="NA"/>
    <s v="GdPrv"/>
    <s v="NA"/>
    <n v="0"/>
    <n v="11"/>
    <n v="2009"/>
    <s v="WD"/>
    <s v="Normal"/>
    <n v="152000"/>
  </r>
  <r>
    <n v="608"/>
    <n v="20"/>
    <s v="RL"/>
    <n v="78"/>
    <n v="7800"/>
    <s v="Pave"/>
    <s v="NA"/>
    <s v="Reg"/>
    <s v="Bnk"/>
    <s v="AllPub"/>
    <s v="Inside"/>
    <s v="Mod"/>
    <x v="15"/>
    <x v="0"/>
    <s v="Norm"/>
    <x v="0"/>
    <x v="0"/>
    <n v="5"/>
    <n v="8"/>
    <x v="47"/>
    <n v="2002"/>
    <s v="Gable"/>
    <s v="CompShg"/>
    <s v="MetalSd"/>
    <s v="MetalSd"/>
    <s v="None"/>
    <n v="0"/>
    <s v="TA"/>
    <s v="Gd"/>
    <s v="CBlock"/>
    <s v="TA"/>
    <s v="Gd"/>
    <s v="No"/>
    <s v="GLQ"/>
    <n v="603"/>
    <s v="Unf"/>
    <n v="0"/>
    <n v="293"/>
    <n v="896"/>
    <s v="GasA"/>
    <s v="Ex"/>
    <s v="Y"/>
    <s v="SBrkr"/>
    <n v="1112"/>
    <n v="896"/>
    <n v="0"/>
    <x v="469"/>
    <n v="1"/>
    <n v="0"/>
    <n v="3"/>
    <n v="0"/>
    <n v="3"/>
    <n v="1"/>
    <s v="Ex"/>
    <n v="8"/>
    <s v="Typ"/>
    <n v="0"/>
    <s v="NA"/>
    <s v="Attchd"/>
    <n v="1948"/>
    <s v="Unf"/>
    <n v="1"/>
    <n v="230"/>
    <s v="TA"/>
    <s v="TA"/>
    <s v="Y"/>
    <n v="103"/>
    <n v="0"/>
    <n v="0"/>
    <n v="0"/>
    <n v="0"/>
    <n v="0"/>
    <s v="NA"/>
    <s v="NA"/>
    <s v="NA"/>
    <n v="0"/>
    <n v="8"/>
    <n v="2006"/>
    <s v="WD"/>
    <s v="Normal"/>
    <n v="225000"/>
  </r>
  <r>
    <n v="609"/>
    <n v="70"/>
    <s v="RL"/>
    <n v="78"/>
    <n v="12168"/>
    <s v="Pave"/>
    <s v="NA"/>
    <s v="Reg"/>
    <s v="HLS"/>
    <s v="AllPub"/>
    <s v="Inside"/>
    <s v="Mod"/>
    <x v="2"/>
    <x v="0"/>
    <s v="Norm"/>
    <x v="0"/>
    <x v="0"/>
    <n v="8"/>
    <n v="6"/>
    <x v="36"/>
    <n v="1998"/>
    <s v="Gable"/>
    <s v="CompShg"/>
    <s v="BrkFace"/>
    <s v="Wd Sdng"/>
    <s v="None"/>
    <n v="0"/>
    <s v="TA"/>
    <s v="TA"/>
    <s v="PConc"/>
    <s v="Gd"/>
    <s v="TA"/>
    <s v="Mn"/>
    <s v="BLQ"/>
    <n v="428"/>
    <s v="Unf"/>
    <n v="0"/>
    <n v="537"/>
    <n v="965"/>
    <s v="GasA"/>
    <s v="TA"/>
    <s v="Y"/>
    <s v="SBrkr"/>
    <n v="1940"/>
    <n v="1254"/>
    <n v="0"/>
    <x v="470"/>
    <n v="0"/>
    <n v="0"/>
    <n v="2"/>
    <n v="1"/>
    <n v="4"/>
    <n v="1"/>
    <s v="TA"/>
    <n v="10"/>
    <s v="Typ"/>
    <n v="2"/>
    <s v="Gd"/>
    <s v="Basment"/>
    <n v="1934"/>
    <s v="Unf"/>
    <n v="2"/>
    <n v="380"/>
    <s v="TA"/>
    <s v="TA"/>
    <s v="Y"/>
    <n v="0"/>
    <n v="0"/>
    <n v="0"/>
    <n v="0"/>
    <n v="0"/>
    <n v="0"/>
    <s v="NA"/>
    <s v="NA"/>
    <s v="NA"/>
    <n v="0"/>
    <n v="9"/>
    <n v="2007"/>
    <s v="WD"/>
    <s v="Alloca"/>
    <n v="359100"/>
  </r>
  <r>
    <n v="610"/>
    <n v="20"/>
    <s v="RL"/>
    <n v="61"/>
    <n v="7943"/>
    <s v="Pave"/>
    <s v="NA"/>
    <s v="Reg"/>
    <s v="Lvl"/>
    <s v="AllPub"/>
    <s v="Inside"/>
    <s v="Gtl"/>
    <x v="9"/>
    <x v="1"/>
    <s v="Norm"/>
    <x v="0"/>
    <x v="1"/>
    <n v="4"/>
    <n v="5"/>
    <x v="53"/>
    <n v="1961"/>
    <s v="Gable"/>
    <s v="CompShg"/>
    <s v="VinylSd"/>
    <s v="VinylSd"/>
    <s v="BrkCmn"/>
    <n v="192"/>
    <s v="TA"/>
    <s v="Fa"/>
    <s v="CBlock"/>
    <s v="TA"/>
    <s v="TA"/>
    <s v="Mn"/>
    <s v="Rec"/>
    <n v="903"/>
    <s v="Unf"/>
    <n v="0"/>
    <n v="126"/>
    <n v="1029"/>
    <s v="GasA"/>
    <s v="Gd"/>
    <s v="Y"/>
    <s v="SBrkr"/>
    <n v="1029"/>
    <n v="0"/>
    <n v="0"/>
    <x v="471"/>
    <n v="1"/>
    <n v="0"/>
    <n v="1"/>
    <n v="0"/>
    <n v="3"/>
    <n v="1"/>
    <s v="TA"/>
    <n v="5"/>
    <s v="Typ"/>
    <n v="0"/>
    <s v="NA"/>
    <s v="Attchd"/>
    <n v="1961"/>
    <s v="Unf"/>
    <n v="1"/>
    <n v="261"/>
    <s v="TA"/>
    <s v="TA"/>
    <s v="Y"/>
    <n v="64"/>
    <n v="0"/>
    <n v="39"/>
    <n v="0"/>
    <n v="0"/>
    <n v="0"/>
    <s v="NA"/>
    <s v="NA"/>
    <s v="NA"/>
    <n v="0"/>
    <n v="4"/>
    <n v="2007"/>
    <s v="WD"/>
    <s v="Normal"/>
    <n v="118500"/>
  </r>
  <r>
    <n v="611"/>
    <n v="60"/>
    <s v="RL"/>
    <s v="NA"/>
    <n v="11050"/>
    <s v="Pave"/>
    <s v="NA"/>
    <s v="Reg"/>
    <s v="Lvl"/>
    <s v="AllPub"/>
    <s v="Inside"/>
    <s v="Gtl"/>
    <x v="0"/>
    <x v="2"/>
    <s v="Norm"/>
    <x v="0"/>
    <x v="0"/>
    <n v="9"/>
    <n v="5"/>
    <x v="4"/>
    <n v="2000"/>
    <s v="Hip"/>
    <s v="CompShg"/>
    <s v="VinylSd"/>
    <s v="VinylSd"/>
    <s v="BrkFace"/>
    <n v="204"/>
    <s v="Gd"/>
    <s v="TA"/>
    <s v="PConc"/>
    <s v="Ex"/>
    <s v="TA"/>
    <s v="Mn"/>
    <s v="GLQ"/>
    <n v="904"/>
    <s v="Unf"/>
    <n v="0"/>
    <n v="536"/>
    <n v="1440"/>
    <s v="GasA"/>
    <s v="Ex"/>
    <s v="Y"/>
    <s v="SBrkr"/>
    <n v="1476"/>
    <n v="677"/>
    <n v="0"/>
    <x v="472"/>
    <n v="1"/>
    <n v="0"/>
    <n v="2"/>
    <n v="1"/>
    <n v="3"/>
    <n v="1"/>
    <s v="Ex"/>
    <n v="8"/>
    <s v="Typ"/>
    <n v="2"/>
    <s v="Ex"/>
    <s v="Attchd"/>
    <n v="2000"/>
    <s v="Fin"/>
    <n v="3"/>
    <n v="736"/>
    <s v="TA"/>
    <s v="TA"/>
    <s v="Y"/>
    <n v="253"/>
    <n v="142"/>
    <n v="0"/>
    <n v="0"/>
    <n v="0"/>
    <n v="0"/>
    <s v="NA"/>
    <s v="NA"/>
    <s v="NA"/>
    <n v="0"/>
    <n v="5"/>
    <n v="2009"/>
    <s v="WD"/>
    <s v="Normal"/>
    <n v="313000"/>
  </r>
  <r>
    <n v="612"/>
    <n v="80"/>
    <s v="RL"/>
    <s v="NA"/>
    <n v="10395"/>
    <s v="Pave"/>
    <s v="NA"/>
    <s v="IR1"/>
    <s v="Lvl"/>
    <s v="AllPub"/>
    <s v="FR2"/>
    <s v="Gtl"/>
    <x v="6"/>
    <x v="0"/>
    <s v="Norm"/>
    <x v="0"/>
    <x v="5"/>
    <n v="6"/>
    <n v="6"/>
    <x v="90"/>
    <n v="1978"/>
    <s v="Gable"/>
    <s v="CompShg"/>
    <s v="HdBoard"/>
    <s v="HdBoard"/>
    <s v="BrkFace"/>
    <n v="233"/>
    <s v="TA"/>
    <s v="TA"/>
    <s v="CBlock"/>
    <s v="Gd"/>
    <s v="TA"/>
    <s v="Av"/>
    <s v="ALQ"/>
    <n v="605"/>
    <s v="Unf"/>
    <n v="0"/>
    <n v="427"/>
    <n v="1032"/>
    <s v="GasA"/>
    <s v="TA"/>
    <s v="Y"/>
    <s v="SBrkr"/>
    <n v="1032"/>
    <n v="0"/>
    <n v="0"/>
    <x v="473"/>
    <n v="0"/>
    <n v="1"/>
    <n v="2"/>
    <n v="0"/>
    <n v="3"/>
    <n v="1"/>
    <s v="TA"/>
    <n v="6"/>
    <s v="Typ"/>
    <n v="1"/>
    <s v="TA"/>
    <s v="Attchd"/>
    <n v="1978"/>
    <s v="Unf"/>
    <n v="2"/>
    <n v="564"/>
    <s v="TA"/>
    <s v="TA"/>
    <s v="Y"/>
    <n v="0"/>
    <n v="0"/>
    <n v="0"/>
    <n v="0"/>
    <n v="0"/>
    <n v="0"/>
    <s v="NA"/>
    <s v="MnPrv"/>
    <s v="Shed"/>
    <n v="500"/>
    <n v="7"/>
    <n v="2007"/>
    <s v="WD"/>
    <s v="Normal"/>
    <n v="148000"/>
  </r>
  <r>
    <n v="613"/>
    <n v="60"/>
    <s v="RL"/>
    <s v="NA"/>
    <n v="11885"/>
    <s v="Pave"/>
    <s v="NA"/>
    <s v="Reg"/>
    <s v="Lvl"/>
    <s v="AllPub"/>
    <s v="Inside"/>
    <s v="Gtl"/>
    <x v="0"/>
    <x v="0"/>
    <s v="Norm"/>
    <x v="0"/>
    <x v="0"/>
    <n v="8"/>
    <n v="5"/>
    <x v="2"/>
    <n v="2001"/>
    <s v="Gable"/>
    <s v="CompShg"/>
    <s v="VinylSd"/>
    <s v="VinylSd"/>
    <s v="BrkFace"/>
    <n v="108"/>
    <s v="Gd"/>
    <s v="TA"/>
    <s v="PConc"/>
    <s v="Gd"/>
    <s v="TA"/>
    <s v="Av"/>
    <s v="GLQ"/>
    <n v="990"/>
    <s v="Unf"/>
    <n v="0"/>
    <n v="309"/>
    <n v="1299"/>
    <s v="GasA"/>
    <s v="Ex"/>
    <s v="Y"/>
    <s v="SBrkr"/>
    <n v="1299"/>
    <n v="573"/>
    <n v="0"/>
    <x v="213"/>
    <n v="1"/>
    <n v="0"/>
    <n v="2"/>
    <n v="1"/>
    <n v="3"/>
    <n v="1"/>
    <s v="Ex"/>
    <n v="7"/>
    <s v="Typ"/>
    <n v="1"/>
    <s v="TA"/>
    <s v="BuiltIn"/>
    <n v="2001"/>
    <s v="RFn"/>
    <n v="2"/>
    <n v="531"/>
    <s v="TA"/>
    <s v="TA"/>
    <s v="Y"/>
    <n v="160"/>
    <n v="122"/>
    <n v="0"/>
    <n v="0"/>
    <n v="0"/>
    <n v="0"/>
    <s v="NA"/>
    <s v="NA"/>
    <s v="NA"/>
    <n v="0"/>
    <n v="11"/>
    <n v="2009"/>
    <s v="WD"/>
    <s v="Normal"/>
    <n v="261500"/>
  </r>
  <r>
    <n v="614"/>
    <n v="20"/>
    <s v="RL"/>
    <n v="70"/>
    <n v="8402"/>
    <s v="Pave"/>
    <s v="NA"/>
    <s v="Reg"/>
    <s v="Lvl"/>
    <s v="AllPub"/>
    <s v="Inside"/>
    <s v="Gtl"/>
    <x v="4"/>
    <x v="1"/>
    <s v="Norm"/>
    <x v="0"/>
    <x v="1"/>
    <n v="5"/>
    <n v="5"/>
    <x v="22"/>
    <n v="2007"/>
    <s v="Gable"/>
    <s v="CompShg"/>
    <s v="VinylSd"/>
    <s v="VinylSd"/>
    <s v="None"/>
    <n v="0"/>
    <s v="TA"/>
    <s v="TA"/>
    <s v="PConc"/>
    <s v="Gd"/>
    <s v="TA"/>
    <s v="No"/>
    <s v="ALQ"/>
    <n v="206"/>
    <s v="Unf"/>
    <n v="0"/>
    <n v="914"/>
    <n v="1120"/>
    <s v="GasA"/>
    <s v="Ex"/>
    <s v="Y"/>
    <s v="SBrkr"/>
    <n v="1120"/>
    <n v="0"/>
    <n v="0"/>
    <x v="474"/>
    <n v="0"/>
    <n v="0"/>
    <n v="1"/>
    <n v="0"/>
    <n v="3"/>
    <n v="1"/>
    <s v="TA"/>
    <n v="6"/>
    <s v="Typ"/>
    <n v="0"/>
    <s v="NA"/>
    <s v="NA"/>
    <s v="NA"/>
    <s v="NA"/>
    <n v="0"/>
    <n v="0"/>
    <s v="NA"/>
    <s v="NA"/>
    <s v="Y"/>
    <n v="0"/>
    <n v="30"/>
    <n v="0"/>
    <n v="0"/>
    <n v="0"/>
    <n v="0"/>
    <s v="NA"/>
    <s v="NA"/>
    <s v="NA"/>
    <n v="0"/>
    <n v="12"/>
    <n v="2007"/>
    <s v="New"/>
    <s v="Partial"/>
    <n v="147000"/>
  </r>
  <r>
    <n v="615"/>
    <n v="180"/>
    <s v="RM"/>
    <n v="21"/>
    <n v="1491"/>
    <s v="Pave"/>
    <s v="NA"/>
    <s v="Reg"/>
    <s v="Lvl"/>
    <s v="AllPub"/>
    <s v="Inside"/>
    <s v="Gtl"/>
    <x v="14"/>
    <x v="0"/>
    <s v="Norm"/>
    <x v="3"/>
    <x v="4"/>
    <n v="4"/>
    <n v="6"/>
    <x v="41"/>
    <n v="1972"/>
    <s v="Gable"/>
    <s v="CompShg"/>
    <s v="CemntBd"/>
    <s v="CmentBd"/>
    <s v="None"/>
    <n v="0"/>
    <s v="TA"/>
    <s v="TA"/>
    <s v="CBlock"/>
    <s v="Gd"/>
    <s v="TA"/>
    <s v="Av"/>
    <s v="LwQ"/>
    <n v="150"/>
    <s v="GLQ"/>
    <n v="480"/>
    <n v="0"/>
    <n v="630"/>
    <s v="GasA"/>
    <s v="Ex"/>
    <s v="Y"/>
    <s v="SBrkr"/>
    <n v="630"/>
    <n v="0"/>
    <n v="0"/>
    <x v="353"/>
    <n v="1"/>
    <n v="0"/>
    <n v="1"/>
    <n v="0"/>
    <n v="1"/>
    <n v="1"/>
    <s v="TA"/>
    <n v="3"/>
    <s v="Typ"/>
    <n v="0"/>
    <s v="NA"/>
    <s v="NA"/>
    <s v="NA"/>
    <s v="NA"/>
    <n v="0"/>
    <n v="0"/>
    <s v="NA"/>
    <s v="NA"/>
    <s v="Y"/>
    <n v="96"/>
    <n v="24"/>
    <n v="0"/>
    <n v="0"/>
    <n v="0"/>
    <n v="0"/>
    <s v="NA"/>
    <s v="NA"/>
    <s v="NA"/>
    <n v="0"/>
    <n v="5"/>
    <n v="2010"/>
    <s v="WD"/>
    <s v="Normal"/>
    <n v="75500"/>
  </r>
  <r>
    <n v="616"/>
    <n v="85"/>
    <s v="RL"/>
    <n v="80"/>
    <n v="8800"/>
    <s v="Pave"/>
    <s v="NA"/>
    <s v="Reg"/>
    <s v="Lvl"/>
    <s v="AllPub"/>
    <s v="Inside"/>
    <s v="Gtl"/>
    <x v="11"/>
    <x v="1"/>
    <s v="Norm"/>
    <x v="0"/>
    <x v="4"/>
    <n v="6"/>
    <n v="7"/>
    <x v="37"/>
    <n v="1963"/>
    <s v="Gable"/>
    <s v="CompShg"/>
    <s v="MetalSd"/>
    <s v="MetalSd"/>
    <s v="BrkFace"/>
    <n v="156"/>
    <s v="TA"/>
    <s v="Gd"/>
    <s v="PConc"/>
    <s v="TA"/>
    <s v="TA"/>
    <s v="Gd"/>
    <s v="GLQ"/>
    <n v="763"/>
    <s v="Unf"/>
    <n v="0"/>
    <n v="173"/>
    <n v="936"/>
    <s v="GasA"/>
    <s v="Ex"/>
    <s v="Y"/>
    <s v="SBrkr"/>
    <n v="1054"/>
    <n v="0"/>
    <n v="0"/>
    <x v="475"/>
    <n v="1"/>
    <n v="0"/>
    <n v="1"/>
    <n v="0"/>
    <n v="3"/>
    <n v="1"/>
    <s v="Gd"/>
    <n v="6"/>
    <s v="Typ"/>
    <n v="0"/>
    <s v="NA"/>
    <s v="Attchd"/>
    <n v="1963"/>
    <s v="RFn"/>
    <n v="2"/>
    <n v="480"/>
    <s v="TA"/>
    <s v="TA"/>
    <s v="Y"/>
    <n v="120"/>
    <n v="0"/>
    <n v="0"/>
    <n v="0"/>
    <n v="0"/>
    <n v="0"/>
    <s v="NA"/>
    <s v="MnPrv"/>
    <s v="NA"/>
    <n v="0"/>
    <n v="5"/>
    <n v="2010"/>
    <s v="WD"/>
    <s v="Abnorml"/>
    <n v="137500"/>
  </r>
  <r>
    <n v="617"/>
    <n v="60"/>
    <s v="RL"/>
    <s v="NA"/>
    <n v="7861"/>
    <s v="Pave"/>
    <s v="NA"/>
    <s v="IR1"/>
    <s v="Lvl"/>
    <s v="AllPub"/>
    <s v="Inside"/>
    <s v="Gtl"/>
    <x v="17"/>
    <x v="0"/>
    <s v="Norm"/>
    <x v="0"/>
    <x v="0"/>
    <n v="6"/>
    <n v="5"/>
    <x v="20"/>
    <n v="2003"/>
    <s v="Gable"/>
    <s v="CompShg"/>
    <s v="VinylSd"/>
    <s v="VinylSd"/>
    <s v="None"/>
    <n v="0"/>
    <s v="Gd"/>
    <s v="TA"/>
    <s v="PConc"/>
    <s v="Gd"/>
    <s v="TA"/>
    <s v="No"/>
    <s v="GLQ"/>
    <n v="457"/>
    <s v="Unf"/>
    <n v="0"/>
    <n v="326"/>
    <n v="783"/>
    <s v="GasA"/>
    <s v="Ex"/>
    <s v="Y"/>
    <s v="SBrkr"/>
    <n v="807"/>
    <n v="702"/>
    <n v="0"/>
    <x v="420"/>
    <n v="1"/>
    <n v="0"/>
    <n v="2"/>
    <n v="1"/>
    <n v="3"/>
    <n v="1"/>
    <s v="Gd"/>
    <n v="7"/>
    <s v="Typ"/>
    <n v="1"/>
    <s v="Gd"/>
    <s v="Attchd"/>
    <n v="2002"/>
    <s v="Fin"/>
    <n v="2"/>
    <n v="393"/>
    <s v="TA"/>
    <s v="TA"/>
    <s v="Y"/>
    <n v="100"/>
    <n v="75"/>
    <n v="0"/>
    <n v="0"/>
    <n v="0"/>
    <n v="0"/>
    <s v="NA"/>
    <s v="NA"/>
    <s v="NA"/>
    <n v="0"/>
    <n v="6"/>
    <n v="2006"/>
    <s v="WD"/>
    <s v="Normal"/>
    <n v="183200"/>
  </r>
  <r>
    <n v="618"/>
    <n v="45"/>
    <s v="RL"/>
    <n v="59"/>
    <n v="7227"/>
    <s v="Pave"/>
    <s v="NA"/>
    <s v="Reg"/>
    <s v="HLS"/>
    <s v="AllPub"/>
    <s v="Corner"/>
    <s v="Mod"/>
    <x v="11"/>
    <x v="3"/>
    <s v="Norm"/>
    <x v="0"/>
    <x v="3"/>
    <n v="6"/>
    <n v="6"/>
    <x v="30"/>
    <n v="1954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32"/>
    <n v="832"/>
    <s v="GasA"/>
    <s v="Gd"/>
    <s v="Y"/>
    <s v="SBrkr"/>
    <n v="832"/>
    <n v="0"/>
    <n v="0"/>
    <x v="476"/>
    <n v="0"/>
    <n v="0"/>
    <n v="1"/>
    <n v="0"/>
    <n v="2"/>
    <n v="1"/>
    <s v="Gd"/>
    <n v="4"/>
    <s v="Typ"/>
    <n v="0"/>
    <s v="NA"/>
    <s v="Detchd"/>
    <n v="1962"/>
    <s v="Unf"/>
    <n v="2"/>
    <n v="528"/>
    <s v="TA"/>
    <s v="TA"/>
    <s v="Y"/>
    <n v="0"/>
    <n v="0"/>
    <n v="0"/>
    <n v="0"/>
    <n v="0"/>
    <n v="0"/>
    <s v="NA"/>
    <s v="NA"/>
    <s v="NA"/>
    <n v="0"/>
    <n v="6"/>
    <n v="2008"/>
    <s v="WD"/>
    <s v="Normal"/>
    <n v="105500"/>
  </r>
  <r>
    <n v="619"/>
    <n v="20"/>
    <s v="RL"/>
    <n v="90"/>
    <n v="11694"/>
    <s v="Pave"/>
    <s v="NA"/>
    <s v="Reg"/>
    <s v="Lvl"/>
    <s v="AllPub"/>
    <s v="Inside"/>
    <s v="Gtl"/>
    <x v="10"/>
    <x v="0"/>
    <s v="Norm"/>
    <x v="0"/>
    <x v="1"/>
    <n v="9"/>
    <n v="5"/>
    <x v="22"/>
    <n v="2007"/>
    <s v="Hip"/>
    <s v="CompShg"/>
    <s v="CemntBd"/>
    <s v="CmentBd"/>
    <s v="BrkFace"/>
    <n v="452"/>
    <s v="Ex"/>
    <s v="TA"/>
    <s v="PConc"/>
    <s v="Ex"/>
    <s v="TA"/>
    <s v="Av"/>
    <s v="GLQ"/>
    <n v="48"/>
    <s v="Unf"/>
    <n v="0"/>
    <n v="1774"/>
    <n v="1822"/>
    <s v="GasA"/>
    <s v="Ex"/>
    <s v="Y"/>
    <s v="SBrkr"/>
    <n v="1828"/>
    <n v="0"/>
    <n v="0"/>
    <x v="477"/>
    <n v="0"/>
    <n v="0"/>
    <n v="2"/>
    <n v="0"/>
    <n v="3"/>
    <n v="1"/>
    <s v="Gd"/>
    <n v="9"/>
    <s v="Typ"/>
    <n v="1"/>
    <s v="Gd"/>
    <s v="Attchd"/>
    <n v="2007"/>
    <s v="Unf"/>
    <n v="3"/>
    <n v="774"/>
    <s v="TA"/>
    <s v="TA"/>
    <s v="Y"/>
    <n v="0"/>
    <n v="108"/>
    <n v="0"/>
    <n v="0"/>
    <n v="260"/>
    <n v="0"/>
    <s v="NA"/>
    <s v="NA"/>
    <s v="NA"/>
    <n v="0"/>
    <n v="7"/>
    <n v="2007"/>
    <s v="New"/>
    <s v="Partial"/>
    <n v="314813"/>
  </r>
  <r>
    <n v="620"/>
    <n v="60"/>
    <s v="RL"/>
    <n v="85"/>
    <n v="12244"/>
    <s v="Pave"/>
    <s v="NA"/>
    <s v="Reg"/>
    <s v="Lvl"/>
    <s v="AllPub"/>
    <s v="Inside"/>
    <s v="Gtl"/>
    <x v="16"/>
    <x v="0"/>
    <s v="Norm"/>
    <x v="0"/>
    <x v="0"/>
    <n v="8"/>
    <n v="5"/>
    <x v="0"/>
    <n v="2003"/>
    <s v="Hip"/>
    <s v="CompShg"/>
    <s v="VinylSd"/>
    <s v="VinylSd"/>
    <s v="Stone"/>
    <n v="226"/>
    <s v="Gd"/>
    <s v="TA"/>
    <s v="PConc"/>
    <s v="Gd"/>
    <s v="TA"/>
    <s v="Gd"/>
    <s v="GLQ"/>
    <n v="871"/>
    <s v="Unf"/>
    <n v="0"/>
    <n v="611"/>
    <n v="1482"/>
    <s v="GasA"/>
    <s v="Ex"/>
    <s v="Y"/>
    <s v="SBrkr"/>
    <n v="1482"/>
    <n v="780"/>
    <n v="0"/>
    <x v="478"/>
    <n v="1"/>
    <n v="0"/>
    <n v="2"/>
    <n v="1"/>
    <n v="4"/>
    <n v="1"/>
    <s v="Gd"/>
    <n v="10"/>
    <s v="Typ"/>
    <n v="2"/>
    <s v="Gd"/>
    <s v="Attchd"/>
    <n v="2003"/>
    <s v="Fin"/>
    <n v="3"/>
    <n v="749"/>
    <s v="TA"/>
    <s v="TA"/>
    <s v="Y"/>
    <n v="168"/>
    <n v="0"/>
    <n v="0"/>
    <n v="0"/>
    <n v="0"/>
    <n v="0"/>
    <s v="NA"/>
    <s v="NA"/>
    <s v="NA"/>
    <n v="0"/>
    <n v="8"/>
    <n v="2008"/>
    <s v="WD"/>
    <s v="Normal"/>
    <n v="305000"/>
  </r>
  <r>
    <n v="621"/>
    <n v="30"/>
    <s v="RL"/>
    <n v="45"/>
    <n v="8248"/>
    <s v="Pave"/>
    <s v="Grvl"/>
    <s v="Reg"/>
    <s v="Lvl"/>
    <s v="AllPub"/>
    <s v="Inside"/>
    <s v="Gtl"/>
    <x v="15"/>
    <x v="0"/>
    <s v="Norm"/>
    <x v="0"/>
    <x v="1"/>
    <n v="3"/>
    <n v="3"/>
    <x v="101"/>
    <n v="1950"/>
    <s v="Gable"/>
    <s v="CompShg"/>
    <s v="Stucco"/>
    <s v="Stucco"/>
    <s v="None"/>
    <n v="0"/>
    <s v="TA"/>
    <s v="TA"/>
    <s v="BrkTil"/>
    <s v="TA"/>
    <s v="TA"/>
    <s v="No"/>
    <s v="BLQ"/>
    <n v="41"/>
    <s v="Unf"/>
    <n v="0"/>
    <n v="823"/>
    <n v="864"/>
    <s v="GasA"/>
    <s v="TA"/>
    <s v="N"/>
    <s v="FuseF"/>
    <n v="864"/>
    <n v="0"/>
    <n v="0"/>
    <x v="132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0"/>
    <n v="100"/>
    <n v="0"/>
    <n v="0"/>
    <n v="0"/>
    <s v="NA"/>
    <s v="NA"/>
    <s v="NA"/>
    <n v="0"/>
    <n v="9"/>
    <n v="2008"/>
    <s v="WD"/>
    <s v="Normal"/>
    <n v="67000"/>
  </r>
  <r>
    <n v="622"/>
    <n v="60"/>
    <s v="RL"/>
    <n v="90"/>
    <n v="10800"/>
    <s v="Pave"/>
    <s v="NA"/>
    <s v="Reg"/>
    <s v="Lvl"/>
    <s v="AllPub"/>
    <s v="Inside"/>
    <s v="Gtl"/>
    <x v="6"/>
    <x v="0"/>
    <s v="Norm"/>
    <x v="0"/>
    <x v="0"/>
    <n v="6"/>
    <n v="7"/>
    <x v="99"/>
    <n v="1997"/>
    <s v="Gable"/>
    <s v="CompShg"/>
    <s v="HdBoard"/>
    <s v="HdBoard"/>
    <s v="None"/>
    <n v="0"/>
    <s v="TA"/>
    <s v="TA"/>
    <s v="CBlock"/>
    <s v="TA"/>
    <s v="TA"/>
    <s v="No"/>
    <s v="ALQ"/>
    <n v="956"/>
    <s v="Rec"/>
    <n v="182"/>
    <n v="384"/>
    <n v="1522"/>
    <s v="GasA"/>
    <s v="TA"/>
    <s v="Y"/>
    <s v="SBrkr"/>
    <n v="1548"/>
    <n v="1066"/>
    <n v="0"/>
    <x v="479"/>
    <n v="0"/>
    <n v="0"/>
    <n v="2"/>
    <n v="1"/>
    <n v="4"/>
    <n v="1"/>
    <s v="TA"/>
    <n v="9"/>
    <s v="Typ"/>
    <n v="1"/>
    <s v="TA"/>
    <s v="Attchd"/>
    <n v="1974"/>
    <s v="RFn"/>
    <n v="2"/>
    <n v="624"/>
    <s v="TA"/>
    <s v="TA"/>
    <s v="Y"/>
    <n v="38"/>
    <n v="243"/>
    <n v="0"/>
    <n v="0"/>
    <n v="0"/>
    <n v="0"/>
    <s v="NA"/>
    <s v="NA"/>
    <s v="NA"/>
    <n v="0"/>
    <n v="6"/>
    <n v="2008"/>
    <s v="WD"/>
    <s v="Normal"/>
    <n v="240000"/>
  </r>
  <r>
    <n v="623"/>
    <n v="20"/>
    <s v="RL"/>
    <n v="71"/>
    <n v="7064"/>
    <s v="Pave"/>
    <s v="NA"/>
    <s v="Reg"/>
    <s v="Lvl"/>
    <s v="AllPub"/>
    <s v="Inside"/>
    <s v="Gtl"/>
    <x v="9"/>
    <x v="0"/>
    <s v="Norm"/>
    <x v="0"/>
    <x v="1"/>
    <n v="5"/>
    <n v="6"/>
    <x v="54"/>
    <n v="1977"/>
    <s v="Gable"/>
    <s v="CompShg"/>
    <s v="Plywood"/>
    <s v="Plywood"/>
    <s v="BrkFace"/>
    <n v="153"/>
    <s v="TA"/>
    <s v="TA"/>
    <s v="CBlock"/>
    <s v="TA"/>
    <s v="TA"/>
    <s v="No"/>
    <s v="BLQ"/>
    <n v="560"/>
    <s v="Unf"/>
    <n v="0"/>
    <n v="420"/>
    <n v="980"/>
    <s v="GasA"/>
    <s v="TA"/>
    <s v="Y"/>
    <s v="SBrkr"/>
    <n v="980"/>
    <n v="0"/>
    <n v="0"/>
    <x v="480"/>
    <n v="0"/>
    <n v="0"/>
    <n v="1"/>
    <n v="0"/>
    <n v="3"/>
    <n v="1"/>
    <s v="TA"/>
    <n v="6"/>
    <s v="Typ"/>
    <n v="0"/>
    <s v="NA"/>
    <s v="Detchd"/>
    <n v="1986"/>
    <s v="Unf"/>
    <n v="2"/>
    <n v="484"/>
    <s v="TA"/>
    <s v="TA"/>
    <s v="Y"/>
    <n v="192"/>
    <n v="0"/>
    <n v="0"/>
    <n v="0"/>
    <n v="0"/>
    <n v="0"/>
    <s v="NA"/>
    <s v="NA"/>
    <s v="NA"/>
    <n v="0"/>
    <n v="7"/>
    <n v="2009"/>
    <s v="WD"/>
    <s v="Normal"/>
    <n v="135000"/>
  </r>
  <r>
    <n v="624"/>
    <n v="160"/>
    <s v="FV"/>
    <s v="NA"/>
    <n v="2117"/>
    <s v="Pave"/>
    <s v="NA"/>
    <s v="Reg"/>
    <s v="Lvl"/>
    <s v="AllPub"/>
    <s v="Inside"/>
    <s v="Gtl"/>
    <x v="5"/>
    <x v="0"/>
    <s v="Norm"/>
    <x v="3"/>
    <x v="0"/>
    <n v="6"/>
    <n v="5"/>
    <x v="4"/>
    <n v="2000"/>
    <s v="Gable"/>
    <s v="CompShg"/>
    <s v="MetalSd"/>
    <s v="MetalSd"/>
    <s v="BrkFace"/>
    <n v="513"/>
    <s v="Gd"/>
    <s v="TA"/>
    <s v="PConc"/>
    <s v="Gd"/>
    <s v="TA"/>
    <s v="No"/>
    <s v="GLQ"/>
    <n v="420"/>
    <s v="Unf"/>
    <n v="0"/>
    <n v="336"/>
    <n v="756"/>
    <s v="GasA"/>
    <s v="Ex"/>
    <s v="Y"/>
    <s v="SBrkr"/>
    <n v="756"/>
    <n v="756"/>
    <n v="0"/>
    <x v="481"/>
    <n v="0"/>
    <n v="0"/>
    <n v="2"/>
    <n v="1"/>
    <n v="2"/>
    <n v="1"/>
    <s v="Gd"/>
    <n v="4"/>
    <s v="Typ"/>
    <n v="1"/>
    <s v="TA"/>
    <s v="Detchd"/>
    <n v="2000"/>
    <s v="Unf"/>
    <n v="2"/>
    <n v="440"/>
    <s v="TA"/>
    <s v="TA"/>
    <s v="Y"/>
    <n v="0"/>
    <n v="32"/>
    <n v="0"/>
    <n v="0"/>
    <n v="0"/>
    <n v="0"/>
    <s v="NA"/>
    <s v="NA"/>
    <s v="NA"/>
    <n v="0"/>
    <n v="6"/>
    <n v="2007"/>
    <s v="WD"/>
    <s v="Normal"/>
    <n v="168500"/>
  </r>
  <r>
    <n v="625"/>
    <n v="60"/>
    <s v="RL"/>
    <n v="80"/>
    <n v="10400"/>
    <s v="Pave"/>
    <s v="NA"/>
    <s v="Reg"/>
    <s v="Lvl"/>
    <s v="AllPub"/>
    <s v="Inside"/>
    <s v="Gtl"/>
    <x v="6"/>
    <x v="0"/>
    <s v="Norm"/>
    <x v="0"/>
    <x v="0"/>
    <n v="6"/>
    <n v="5"/>
    <x v="41"/>
    <n v="1972"/>
    <s v="Gable"/>
    <s v="CompShg"/>
    <s v="VinylSd"/>
    <s v="VinylSd"/>
    <s v="None"/>
    <n v="288"/>
    <s v="TA"/>
    <s v="TA"/>
    <s v="CBlock"/>
    <s v="TA"/>
    <s v="TA"/>
    <s v="No"/>
    <s v="Rec"/>
    <n v="247"/>
    <s v="Unf"/>
    <n v="0"/>
    <n v="485"/>
    <n v="732"/>
    <s v="GasA"/>
    <s v="Gd"/>
    <s v="Y"/>
    <s v="SBrkr"/>
    <n v="1012"/>
    <n v="778"/>
    <n v="0"/>
    <x v="482"/>
    <n v="1"/>
    <n v="0"/>
    <n v="1"/>
    <n v="2"/>
    <n v="4"/>
    <n v="1"/>
    <s v="TA"/>
    <n v="8"/>
    <s v="Min2"/>
    <n v="1"/>
    <s v="TA"/>
    <s v="Attchd"/>
    <n v="1972"/>
    <s v="RFn"/>
    <n v="2"/>
    <n v="484"/>
    <s v="TA"/>
    <s v="TA"/>
    <s v="Y"/>
    <n v="148"/>
    <n v="0"/>
    <n v="0"/>
    <n v="0"/>
    <n v="147"/>
    <n v="0"/>
    <s v="NA"/>
    <s v="NA"/>
    <s v="NA"/>
    <n v="0"/>
    <n v="11"/>
    <n v="2006"/>
    <s v="WD"/>
    <s v="Normal"/>
    <n v="165150"/>
  </r>
  <r>
    <n v="626"/>
    <n v="20"/>
    <s v="RL"/>
    <n v="87"/>
    <n v="10000"/>
    <s v="Pave"/>
    <s v="NA"/>
    <s v="IR1"/>
    <s v="Lvl"/>
    <s v="AllPub"/>
    <s v="Corner"/>
    <s v="Gtl"/>
    <x v="11"/>
    <x v="0"/>
    <s v="Norm"/>
    <x v="0"/>
    <x v="1"/>
    <n v="6"/>
    <n v="6"/>
    <x v="12"/>
    <n v="1962"/>
    <s v="Hip"/>
    <s v="CompShg"/>
    <s v="Wd Sdng"/>
    <s v="Wd Sdng"/>
    <s v="BrkFace"/>
    <n v="261"/>
    <s v="TA"/>
    <s v="TA"/>
    <s v="CBlock"/>
    <s v="TA"/>
    <s v="TA"/>
    <s v="No"/>
    <s v="Unf"/>
    <n v="0"/>
    <s v="Unf"/>
    <n v="0"/>
    <n v="1116"/>
    <n v="1116"/>
    <s v="GasA"/>
    <s v="TA"/>
    <s v="Y"/>
    <s v="SBrkr"/>
    <n v="1116"/>
    <n v="0"/>
    <n v="0"/>
    <x v="483"/>
    <n v="0"/>
    <n v="0"/>
    <n v="1"/>
    <n v="1"/>
    <n v="3"/>
    <n v="1"/>
    <s v="TA"/>
    <n v="5"/>
    <s v="Typ"/>
    <n v="0"/>
    <s v="NA"/>
    <s v="Attchd"/>
    <n v="1962"/>
    <s v="Unf"/>
    <n v="2"/>
    <n v="440"/>
    <s v="TA"/>
    <s v="TA"/>
    <s v="Y"/>
    <n v="0"/>
    <n v="0"/>
    <n v="0"/>
    <n v="0"/>
    <n v="385"/>
    <n v="0"/>
    <s v="NA"/>
    <s v="NA"/>
    <s v="NA"/>
    <n v="0"/>
    <n v="2"/>
    <n v="2010"/>
    <s v="WD"/>
    <s v="Normal"/>
    <n v="160000"/>
  </r>
  <r>
    <n v="627"/>
    <n v="20"/>
    <s v="RL"/>
    <s v="NA"/>
    <n v="12342"/>
    <s v="Pave"/>
    <s v="NA"/>
    <s v="IR1"/>
    <s v="Lvl"/>
    <s v="AllPub"/>
    <s v="Inside"/>
    <s v="Gtl"/>
    <x v="11"/>
    <x v="0"/>
    <s v="Norm"/>
    <x v="0"/>
    <x v="1"/>
    <n v="5"/>
    <n v="5"/>
    <x v="14"/>
    <n v="1978"/>
    <s v="Hip"/>
    <s v="CompShg"/>
    <s v="Wd Sdng"/>
    <s v="Wd Sdng"/>
    <s v="None"/>
    <n v="0"/>
    <s v="TA"/>
    <s v="TA"/>
    <s v="CBlock"/>
    <s v="TA"/>
    <s v="TA"/>
    <s v="No"/>
    <s v="Unf"/>
    <n v="0"/>
    <s v="Unf"/>
    <n v="0"/>
    <n v="978"/>
    <n v="978"/>
    <s v="GasA"/>
    <s v="TA"/>
    <s v="Y"/>
    <s v="SBrkr"/>
    <n v="1422"/>
    <n v="0"/>
    <n v="0"/>
    <x v="227"/>
    <n v="0"/>
    <n v="0"/>
    <n v="1"/>
    <n v="0"/>
    <n v="3"/>
    <n v="1"/>
    <s v="TA"/>
    <n v="6"/>
    <s v="Min1"/>
    <n v="1"/>
    <s v="TA"/>
    <s v="Attchd"/>
    <n v="1960"/>
    <s v="RFn"/>
    <n v="1"/>
    <n v="286"/>
    <s v="TA"/>
    <s v="TA"/>
    <s v="Y"/>
    <n v="0"/>
    <n v="0"/>
    <n v="36"/>
    <n v="0"/>
    <n v="0"/>
    <n v="0"/>
    <s v="NA"/>
    <s v="GdWo"/>
    <s v="Shed"/>
    <n v="600"/>
    <n v="8"/>
    <n v="2007"/>
    <s v="WD"/>
    <s v="Normal"/>
    <n v="139900"/>
  </r>
  <r>
    <n v="628"/>
    <n v="80"/>
    <s v="RL"/>
    <n v="80"/>
    <n v="9600"/>
    <s v="Pave"/>
    <s v="NA"/>
    <s v="Reg"/>
    <s v="Lvl"/>
    <s v="AllPub"/>
    <s v="Inside"/>
    <s v="Gtl"/>
    <x v="11"/>
    <x v="0"/>
    <s v="Norm"/>
    <x v="0"/>
    <x v="5"/>
    <n v="6"/>
    <n v="6"/>
    <x v="32"/>
    <n v="1972"/>
    <s v="Gable"/>
    <s v="CompShg"/>
    <s v="AsbShng"/>
    <s v="AsbShng"/>
    <s v="BrkFace"/>
    <n v="164"/>
    <s v="TA"/>
    <s v="TA"/>
    <s v="CBlock"/>
    <s v="TA"/>
    <s v="TA"/>
    <s v="Av"/>
    <s v="BLQ"/>
    <n v="674"/>
    <s v="LwQ"/>
    <n v="132"/>
    <n v="350"/>
    <n v="1156"/>
    <s v="GasA"/>
    <s v="Ex"/>
    <s v="Y"/>
    <s v="SBrkr"/>
    <n v="1520"/>
    <n v="0"/>
    <n v="0"/>
    <x v="484"/>
    <n v="1"/>
    <n v="0"/>
    <n v="1"/>
    <n v="0"/>
    <n v="3"/>
    <n v="1"/>
    <s v="TA"/>
    <n v="7"/>
    <s v="Typ"/>
    <n v="2"/>
    <s v="Gd"/>
    <s v="Basment"/>
    <n v="1955"/>
    <s v="RFn"/>
    <n v="1"/>
    <n v="364"/>
    <s v="TA"/>
    <s v="TA"/>
    <s v="Y"/>
    <n v="0"/>
    <n v="0"/>
    <n v="189"/>
    <n v="0"/>
    <n v="0"/>
    <n v="0"/>
    <s v="NA"/>
    <s v="NA"/>
    <s v="NA"/>
    <n v="0"/>
    <n v="3"/>
    <n v="2010"/>
    <s v="WD"/>
    <s v="Normal"/>
    <n v="153000"/>
  </r>
  <r>
    <n v="629"/>
    <n v="60"/>
    <s v="RL"/>
    <n v="70"/>
    <n v="11606"/>
    <s v="Pave"/>
    <s v="NA"/>
    <s v="IR1"/>
    <s v="HLS"/>
    <s v="AllPub"/>
    <s v="Inside"/>
    <s v="Sev"/>
    <x v="11"/>
    <x v="0"/>
    <s v="Norm"/>
    <x v="0"/>
    <x v="0"/>
    <n v="5"/>
    <n v="5"/>
    <x v="60"/>
    <n v="1969"/>
    <s v="Gable"/>
    <s v="CompShg"/>
    <s v="Plywood"/>
    <s v="Plywood"/>
    <s v="BrkFace"/>
    <n v="192"/>
    <s v="TA"/>
    <s v="TA"/>
    <s v="PConc"/>
    <s v="Gd"/>
    <s v="TA"/>
    <s v="Av"/>
    <s v="Rec"/>
    <n v="650"/>
    <s v="Unf"/>
    <n v="0"/>
    <n v="390"/>
    <n v="1040"/>
    <s v="GasA"/>
    <s v="TA"/>
    <s v="Y"/>
    <s v="SBrkr"/>
    <n v="1040"/>
    <n v="1040"/>
    <n v="0"/>
    <x v="410"/>
    <n v="0"/>
    <n v="1"/>
    <n v="1"/>
    <n v="2"/>
    <n v="5"/>
    <n v="1"/>
    <s v="Fa"/>
    <n v="9"/>
    <s v="Typ"/>
    <n v="2"/>
    <s v="TA"/>
    <s v="Attchd"/>
    <n v="1969"/>
    <s v="Unf"/>
    <n v="2"/>
    <n v="504"/>
    <s v="TA"/>
    <s v="TA"/>
    <s v="Y"/>
    <n v="335"/>
    <n v="0"/>
    <n v="0"/>
    <n v="0"/>
    <n v="0"/>
    <n v="0"/>
    <s v="NA"/>
    <s v="NA"/>
    <s v="NA"/>
    <n v="0"/>
    <n v="9"/>
    <n v="2007"/>
    <s v="WD"/>
    <s v="Family"/>
    <n v="135000"/>
  </r>
  <r>
    <n v="630"/>
    <n v="80"/>
    <s v="RL"/>
    <n v="82"/>
    <n v="9020"/>
    <s v="Pave"/>
    <s v="NA"/>
    <s v="Reg"/>
    <s v="Lvl"/>
    <s v="AllPub"/>
    <s v="Corner"/>
    <s v="Gtl"/>
    <x v="11"/>
    <x v="1"/>
    <s v="Norm"/>
    <x v="0"/>
    <x v="5"/>
    <n v="6"/>
    <n v="5"/>
    <x v="39"/>
    <n v="1964"/>
    <s v="Gable"/>
    <s v="WdShngl"/>
    <s v="Plywood"/>
    <s v="Wd Sdng"/>
    <s v="BrkFace"/>
    <n v="259"/>
    <s v="TA"/>
    <s v="TA"/>
    <s v="CBlock"/>
    <s v="TA"/>
    <s v="TA"/>
    <s v="Gd"/>
    <s v="GLQ"/>
    <n v="624"/>
    <s v="Rec"/>
    <n v="336"/>
    <n v="288"/>
    <n v="1248"/>
    <s v="GasA"/>
    <s v="TA"/>
    <s v="Y"/>
    <s v="SBrkr"/>
    <n v="1350"/>
    <n v="0"/>
    <n v="0"/>
    <x v="485"/>
    <n v="1"/>
    <n v="0"/>
    <n v="1"/>
    <n v="1"/>
    <n v="3"/>
    <n v="1"/>
    <s v="TA"/>
    <n v="6"/>
    <s v="Typ"/>
    <n v="0"/>
    <s v="NA"/>
    <s v="Attchd"/>
    <n v="1964"/>
    <s v="RFn"/>
    <n v="2"/>
    <n v="520"/>
    <s v="TA"/>
    <s v="TA"/>
    <s v="Y"/>
    <n v="176"/>
    <n v="0"/>
    <n v="0"/>
    <n v="0"/>
    <n v="0"/>
    <n v="0"/>
    <s v="NA"/>
    <s v="GdPrv"/>
    <s v="NA"/>
    <n v="0"/>
    <n v="6"/>
    <n v="2008"/>
    <s v="WD"/>
    <s v="Normal"/>
    <n v="168500"/>
  </r>
  <r>
    <n v="631"/>
    <n v="70"/>
    <s v="RM"/>
    <n v="50"/>
    <n v="9000"/>
    <s v="Pave"/>
    <s v="Grvl"/>
    <s v="Reg"/>
    <s v="Lvl"/>
    <s v="AllPub"/>
    <s v="Corner"/>
    <s v="Gtl"/>
    <x v="7"/>
    <x v="3"/>
    <s v="Norm"/>
    <x v="0"/>
    <x v="0"/>
    <n v="5"/>
    <n v="6"/>
    <x v="88"/>
    <n v="1991"/>
    <s v="Gable"/>
    <s v="CompShg"/>
    <s v="VinylSd"/>
    <s v="VinylSd"/>
    <s v="None"/>
    <n v="0"/>
    <s v="TA"/>
    <s v="TA"/>
    <s v="BrkTil"/>
    <s v="Fa"/>
    <s v="Fa"/>
    <s v="No"/>
    <s v="Unf"/>
    <n v="0"/>
    <s v="Unf"/>
    <n v="0"/>
    <n v="636"/>
    <n v="636"/>
    <s v="GasA"/>
    <s v="TA"/>
    <s v="Y"/>
    <s v="FuseA"/>
    <n v="1089"/>
    <n v="661"/>
    <n v="0"/>
    <x v="486"/>
    <n v="0"/>
    <n v="0"/>
    <n v="1"/>
    <n v="0"/>
    <n v="3"/>
    <n v="1"/>
    <s v="Ex"/>
    <n v="8"/>
    <s v="Typ"/>
    <n v="0"/>
    <s v="NA"/>
    <s v="Detchd"/>
    <n v="1937"/>
    <s v="Unf"/>
    <n v="1"/>
    <n v="240"/>
    <s v="Fa"/>
    <s v="Po"/>
    <s v="N"/>
    <n v="0"/>
    <n v="0"/>
    <n v="293"/>
    <n v="0"/>
    <n v="0"/>
    <n v="0"/>
    <s v="NA"/>
    <s v="MnPrv"/>
    <s v="NA"/>
    <n v="0"/>
    <n v="6"/>
    <n v="2006"/>
    <s v="WD"/>
    <s v="Abnorml"/>
    <n v="124000"/>
  </r>
  <r>
    <n v="632"/>
    <n v="120"/>
    <s v="RL"/>
    <n v="34"/>
    <n v="4590"/>
    <s v="Pave"/>
    <s v="NA"/>
    <s v="Reg"/>
    <s v="Lvl"/>
    <s v="AllPub"/>
    <s v="Inside"/>
    <s v="Gtl"/>
    <x v="10"/>
    <x v="0"/>
    <s v="Norm"/>
    <x v="4"/>
    <x v="1"/>
    <n v="8"/>
    <n v="5"/>
    <x v="13"/>
    <n v="2006"/>
    <s v="Gable"/>
    <s v="CompShg"/>
    <s v="VinylSd"/>
    <s v="VinylSd"/>
    <s v="Stone"/>
    <n v="108"/>
    <s v="Gd"/>
    <s v="TA"/>
    <s v="PConc"/>
    <s v="Gd"/>
    <s v="Gd"/>
    <s v="Mn"/>
    <s v="GLQ"/>
    <n v="24"/>
    <s v="Unf"/>
    <n v="0"/>
    <n v="1530"/>
    <n v="1554"/>
    <s v="GasA"/>
    <s v="Ex"/>
    <s v="Y"/>
    <s v="SBrkr"/>
    <n v="1554"/>
    <n v="0"/>
    <n v="0"/>
    <x v="487"/>
    <n v="0"/>
    <n v="0"/>
    <n v="2"/>
    <n v="0"/>
    <n v="2"/>
    <n v="1"/>
    <s v="Gd"/>
    <n v="6"/>
    <s v="Typ"/>
    <n v="1"/>
    <s v="Gd"/>
    <s v="Attchd"/>
    <n v="2006"/>
    <s v="RFn"/>
    <n v="2"/>
    <n v="627"/>
    <s v="TA"/>
    <s v="TA"/>
    <s v="Y"/>
    <n v="156"/>
    <n v="73"/>
    <n v="0"/>
    <n v="0"/>
    <n v="0"/>
    <n v="0"/>
    <s v="NA"/>
    <s v="NA"/>
    <s v="NA"/>
    <n v="0"/>
    <n v="8"/>
    <n v="2007"/>
    <s v="WD"/>
    <s v="Normal"/>
    <n v="209500"/>
  </r>
  <r>
    <n v="633"/>
    <n v="20"/>
    <s v="RL"/>
    <n v="85"/>
    <n v="11900"/>
    <s v="Pave"/>
    <s v="NA"/>
    <s v="Reg"/>
    <s v="Lvl"/>
    <s v="AllPub"/>
    <s v="Inside"/>
    <s v="Gtl"/>
    <x v="6"/>
    <x v="0"/>
    <s v="Norm"/>
    <x v="0"/>
    <x v="1"/>
    <n v="7"/>
    <n v="5"/>
    <x v="54"/>
    <n v="1977"/>
    <s v="Hip"/>
    <s v="CompShg"/>
    <s v="Plywood"/>
    <s v="Plywood"/>
    <s v="BrkFace"/>
    <n v="209"/>
    <s v="TA"/>
    <s v="Gd"/>
    <s v="CBlock"/>
    <s v="TA"/>
    <s v="TA"/>
    <s v="No"/>
    <s v="ALQ"/>
    <n v="822"/>
    <s v="Unf"/>
    <n v="0"/>
    <n v="564"/>
    <n v="1386"/>
    <s v="GasA"/>
    <s v="TA"/>
    <s v="Y"/>
    <s v="SBrkr"/>
    <n v="1411"/>
    <n v="0"/>
    <n v="0"/>
    <x v="488"/>
    <n v="0"/>
    <n v="0"/>
    <n v="2"/>
    <n v="0"/>
    <n v="3"/>
    <n v="1"/>
    <s v="TA"/>
    <n v="6"/>
    <s v="Typ"/>
    <n v="1"/>
    <s v="TA"/>
    <s v="Attchd"/>
    <n v="1977"/>
    <s v="Fin"/>
    <n v="2"/>
    <n v="544"/>
    <s v="TA"/>
    <s v="TA"/>
    <s v="Y"/>
    <n v="192"/>
    <n v="0"/>
    <n v="0"/>
    <n v="0"/>
    <n v="0"/>
    <n v="0"/>
    <s v="NA"/>
    <s v="NA"/>
    <s v="NA"/>
    <n v="0"/>
    <n v="4"/>
    <n v="2009"/>
    <s v="WD"/>
    <s v="Family"/>
    <n v="82500"/>
  </r>
  <r>
    <n v="634"/>
    <n v="20"/>
    <s v="RL"/>
    <n v="80"/>
    <n v="9250"/>
    <s v="Pave"/>
    <s v="NA"/>
    <s v="Reg"/>
    <s v="Lvl"/>
    <s v="AllPub"/>
    <s v="Corner"/>
    <s v="Gtl"/>
    <x v="11"/>
    <x v="0"/>
    <s v="Norm"/>
    <x v="0"/>
    <x v="1"/>
    <n v="5"/>
    <n v="7"/>
    <x v="30"/>
    <n v="2005"/>
    <s v="Gable"/>
    <s v="CompShg"/>
    <s v="Wd Sdng"/>
    <s v="Wd Sdng"/>
    <s v="None"/>
    <n v="0"/>
    <s v="TA"/>
    <s v="TA"/>
    <s v="CBlock"/>
    <s v="TA"/>
    <s v="TA"/>
    <s v="No"/>
    <s v="BLQ"/>
    <n v="480"/>
    <s v="LwQ"/>
    <n v="468"/>
    <n v="108"/>
    <n v="1056"/>
    <s v="GasA"/>
    <s v="TA"/>
    <s v="Y"/>
    <s v="SBrkr"/>
    <n v="1056"/>
    <n v="0"/>
    <n v="0"/>
    <x v="278"/>
    <n v="0"/>
    <n v="1"/>
    <n v="1"/>
    <n v="0"/>
    <n v="3"/>
    <n v="1"/>
    <s v="TA"/>
    <n v="6"/>
    <s v="Typ"/>
    <n v="0"/>
    <s v="NA"/>
    <s v="Attchd"/>
    <n v="1954"/>
    <s v="Unf"/>
    <n v="1"/>
    <n v="260"/>
    <s v="TA"/>
    <s v="TA"/>
    <s v="Y"/>
    <n v="390"/>
    <n v="0"/>
    <n v="0"/>
    <n v="0"/>
    <n v="0"/>
    <n v="0"/>
    <s v="NA"/>
    <s v="NA"/>
    <s v="NA"/>
    <n v="0"/>
    <n v="7"/>
    <n v="2007"/>
    <s v="WD"/>
    <s v="Normal"/>
    <n v="139400"/>
  </r>
  <r>
    <n v="635"/>
    <n v="90"/>
    <s v="RL"/>
    <n v="64"/>
    <n v="6979"/>
    <s v="Pave"/>
    <s v="NA"/>
    <s v="Reg"/>
    <s v="Lvl"/>
    <s v="AllPub"/>
    <s v="Inside"/>
    <s v="Gtl"/>
    <x v="7"/>
    <x v="0"/>
    <s v="Norm"/>
    <x v="2"/>
    <x v="4"/>
    <n v="6"/>
    <n v="5"/>
    <x v="84"/>
    <n v="1980"/>
    <s v="Gable"/>
    <s v="CompShg"/>
    <s v="Plywood"/>
    <s v="Plywood"/>
    <s v="None"/>
    <n v="0"/>
    <s v="TA"/>
    <s v="TA"/>
    <s v="CBlock"/>
    <s v="TA"/>
    <s v="TA"/>
    <s v="No"/>
    <s v="GLQ"/>
    <n v="1056"/>
    <s v="Unf"/>
    <n v="0"/>
    <n v="0"/>
    <n v="1056"/>
    <s v="GasA"/>
    <s v="Gd"/>
    <s v="Y"/>
    <s v="SBrkr"/>
    <n v="1056"/>
    <n v="0"/>
    <n v="0"/>
    <x v="278"/>
    <n v="2"/>
    <n v="0"/>
    <n v="0"/>
    <n v="0"/>
    <n v="0"/>
    <n v="2"/>
    <s v="TA"/>
    <n v="4"/>
    <s v="Typ"/>
    <n v="0"/>
    <s v="NA"/>
    <s v="Detchd"/>
    <n v="1980"/>
    <s v="Unf"/>
    <n v="2"/>
    <n v="576"/>
    <s v="TA"/>
    <s v="TA"/>
    <s v="Y"/>
    <n v="264"/>
    <n v="56"/>
    <n v="0"/>
    <n v="0"/>
    <n v="0"/>
    <n v="0"/>
    <s v="NA"/>
    <s v="GdPrv"/>
    <s v="Shed"/>
    <n v="600"/>
    <n v="6"/>
    <n v="2010"/>
    <s v="WD"/>
    <s v="Normal"/>
    <n v="144000"/>
  </r>
  <r>
    <n v="636"/>
    <n v="190"/>
    <s v="RH"/>
    <n v="60"/>
    <n v="10896"/>
    <s v="Pave"/>
    <s v="Pave"/>
    <s v="Reg"/>
    <s v="Bnk"/>
    <s v="AllPub"/>
    <s v="Inside"/>
    <s v="Gtl"/>
    <x v="23"/>
    <x v="1"/>
    <s v="Norm"/>
    <x v="1"/>
    <x v="7"/>
    <n v="6"/>
    <n v="7"/>
    <x v="101"/>
    <n v="1995"/>
    <s v="Hip"/>
    <s v="CompShg"/>
    <s v="VinylSd"/>
    <s v="VinylSd"/>
    <s v="None"/>
    <n v="0"/>
    <s v="Fa"/>
    <s v="TA"/>
    <s v="CBlock"/>
    <s v="TA"/>
    <s v="Fa"/>
    <s v="No"/>
    <s v="LwQ"/>
    <n v="256"/>
    <s v="Unf"/>
    <n v="0"/>
    <n v="1184"/>
    <n v="1440"/>
    <s v="GasA"/>
    <s v="Ex"/>
    <s v="Y"/>
    <s v="FuseA"/>
    <n v="1440"/>
    <n v="1440"/>
    <n v="515"/>
    <x v="489"/>
    <n v="0"/>
    <n v="0"/>
    <n v="2"/>
    <n v="0"/>
    <n v="8"/>
    <n v="2"/>
    <s v="Fa"/>
    <n v="14"/>
    <s v="Typ"/>
    <n v="0"/>
    <s v="NA"/>
    <s v="NA"/>
    <s v="NA"/>
    <s v="NA"/>
    <n v="0"/>
    <n v="0"/>
    <s v="NA"/>
    <s v="NA"/>
    <s v="N"/>
    <n v="0"/>
    <n v="110"/>
    <n v="0"/>
    <n v="0"/>
    <n v="0"/>
    <n v="0"/>
    <s v="NA"/>
    <s v="NA"/>
    <s v="NA"/>
    <n v="0"/>
    <n v="3"/>
    <n v="2007"/>
    <s v="WD"/>
    <s v="Abnorml"/>
    <n v="200000"/>
  </r>
  <r>
    <n v="637"/>
    <n v="30"/>
    <s v="RM"/>
    <n v="51"/>
    <n v="6120"/>
    <s v="Pave"/>
    <s v="NA"/>
    <s v="Reg"/>
    <s v="Lvl"/>
    <s v="AllPub"/>
    <s v="Inside"/>
    <s v="Gtl"/>
    <x v="8"/>
    <x v="0"/>
    <s v="Norm"/>
    <x v="0"/>
    <x v="1"/>
    <n v="2"/>
    <n v="3"/>
    <x v="65"/>
    <n v="1950"/>
    <s v="Gable"/>
    <s v="CompShg"/>
    <s v="AsbShng"/>
    <s v="AsbShng"/>
    <s v="None"/>
    <n v="0"/>
    <s v="Fa"/>
    <s v="Fa"/>
    <s v="BrkTil"/>
    <s v="TA"/>
    <s v="Fa"/>
    <s v="No"/>
    <s v="Unf"/>
    <n v="0"/>
    <s v="Unf"/>
    <n v="0"/>
    <n v="264"/>
    <n v="264"/>
    <s v="Grav"/>
    <s v="Fa"/>
    <s v="N"/>
    <s v="FuseA"/>
    <n v="800"/>
    <n v="0"/>
    <n v="0"/>
    <x v="490"/>
    <n v="0"/>
    <n v="0"/>
    <n v="1"/>
    <n v="0"/>
    <n v="1"/>
    <n v="1"/>
    <s v="Fa"/>
    <n v="4"/>
    <s v="Maj1"/>
    <n v="1"/>
    <s v="Po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1"/>
    <n v="2009"/>
    <s v="ConLw"/>
    <s v="Normal"/>
    <n v="60000"/>
  </r>
  <r>
    <n v="638"/>
    <n v="190"/>
    <s v="RM"/>
    <n v="50"/>
    <n v="6000"/>
    <s v="Pave"/>
    <s v="NA"/>
    <s v="Reg"/>
    <s v="Lvl"/>
    <s v="AllPub"/>
    <s v="Inside"/>
    <s v="Gtl"/>
    <x v="7"/>
    <x v="0"/>
    <s v="Norm"/>
    <x v="1"/>
    <x v="2"/>
    <n v="5"/>
    <n v="4"/>
    <x v="30"/>
    <n v="1954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811"/>
    <n v="811"/>
    <s v="GasA"/>
    <s v="TA"/>
    <s v="Y"/>
    <s v="FuseA"/>
    <n v="811"/>
    <n v="576"/>
    <n v="0"/>
    <x v="491"/>
    <n v="0"/>
    <n v="0"/>
    <n v="2"/>
    <n v="0"/>
    <n v="3"/>
    <n v="2"/>
    <s v="Gd"/>
    <n v="7"/>
    <s v="Typ"/>
    <n v="0"/>
    <s v="NA"/>
    <s v="BuiltIn"/>
    <n v="1954"/>
    <s v="Unf"/>
    <n v="1"/>
    <n v="256"/>
    <s v="TA"/>
    <s v="TA"/>
    <s v="Y"/>
    <n v="0"/>
    <n v="0"/>
    <n v="0"/>
    <n v="0"/>
    <n v="0"/>
    <n v="0"/>
    <s v="NA"/>
    <s v="NA"/>
    <s v="NA"/>
    <n v="0"/>
    <n v="11"/>
    <n v="2009"/>
    <s v="WD"/>
    <s v="Normal"/>
    <n v="93000"/>
  </r>
  <r>
    <n v="639"/>
    <n v="30"/>
    <s v="RL"/>
    <n v="67"/>
    <n v="8777"/>
    <s v="Pave"/>
    <s v="NA"/>
    <s v="Reg"/>
    <s v="Lvl"/>
    <s v="AllPub"/>
    <s v="Inside"/>
    <s v="Gtl"/>
    <x v="15"/>
    <x v="1"/>
    <s v="Norm"/>
    <x v="0"/>
    <x v="1"/>
    <n v="5"/>
    <n v="7"/>
    <x v="48"/>
    <n v="1950"/>
    <s v="Gable"/>
    <s v="CompShg"/>
    <s v="MetalSd"/>
    <s v="Wd Sdng"/>
    <s v="None"/>
    <n v="0"/>
    <s v="TA"/>
    <s v="TA"/>
    <s v="CBlock"/>
    <s v="Fa"/>
    <s v="TA"/>
    <s v="No"/>
    <s v="Unf"/>
    <n v="0"/>
    <s v="Unf"/>
    <n v="0"/>
    <n v="796"/>
    <n v="796"/>
    <s v="GasA"/>
    <s v="Gd"/>
    <s v="Y"/>
    <s v="FuseA"/>
    <n v="796"/>
    <n v="0"/>
    <n v="0"/>
    <x v="492"/>
    <n v="0"/>
    <n v="0"/>
    <n v="1"/>
    <n v="0"/>
    <n v="2"/>
    <n v="1"/>
    <s v="TA"/>
    <n v="4"/>
    <s v="Typ"/>
    <n v="0"/>
    <s v="NA"/>
    <s v="NA"/>
    <s v="NA"/>
    <s v="NA"/>
    <n v="0"/>
    <n v="0"/>
    <s v="NA"/>
    <s v="NA"/>
    <s v="P"/>
    <n v="328"/>
    <n v="0"/>
    <n v="164"/>
    <n v="0"/>
    <n v="0"/>
    <n v="0"/>
    <s v="NA"/>
    <s v="MnPrv"/>
    <s v="NA"/>
    <n v="0"/>
    <n v="5"/>
    <n v="2008"/>
    <s v="WD"/>
    <s v="Normal"/>
    <n v="85000"/>
  </r>
  <r>
    <n v="640"/>
    <n v="120"/>
    <s v="RL"/>
    <n v="53"/>
    <n v="3982"/>
    <s v="Pave"/>
    <s v="NA"/>
    <s v="Reg"/>
    <s v="Lvl"/>
    <s v="AllPub"/>
    <s v="Inside"/>
    <s v="Gtl"/>
    <x v="21"/>
    <x v="0"/>
    <s v="Norm"/>
    <x v="3"/>
    <x v="1"/>
    <n v="8"/>
    <n v="5"/>
    <x v="13"/>
    <n v="2006"/>
    <s v="Hip"/>
    <s v="CompShg"/>
    <s v="VinylSd"/>
    <s v="VinylSd"/>
    <s v="None"/>
    <n v="0"/>
    <s v="Gd"/>
    <s v="TA"/>
    <s v="PConc"/>
    <s v="Gd"/>
    <s v="Gd"/>
    <s v="Av"/>
    <s v="GLQ"/>
    <n v="1154"/>
    <s v="Unf"/>
    <n v="0"/>
    <n v="366"/>
    <n v="1520"/>
    <s v="GasA"/>
    <s v="Ex"/>
    <s v="Y"/>
    <s v="SBrkr"/>
    <n v="1567"/>
    <n v="0"/>
    <n v="0"/>
    <x v="493"/>
    <n v="1"/>
    <n v="0"/>
    <n v="2"/>
    <n v="0"/>
    <n v="1"/>
    <n v="1"/>
    <s v="Ex"/>
    <n v="7"/>
    <s v="Typ"/>
    <n v="1"/>
    <s v="Gd"/>
    <s v="Attchd"/>
    <n v="2006"/>
    <s v="Fin"/>
    <n v="3"/>
    <n v="648"/>
    <s v="TA"/>
    <s v="TA"/>
    <s v="Y"/>
    <n v="312"/>
    <n v="0"/>
    <n v="0"/>
    <n v="0"/>
    <n v="0"/>
    <n v="0"/>
    <s v="NA"/>
    <s v="NA"/>
    <s v="NA"/>
    <n v="0"/>
    <n v="10"/>
    <n v="2006"/>
    <s v="New"/>
    <s v="Partial"/>
    <n v="264561"/>
  </r>
  <r>
    <n v="641"/>
    <n v="120"/>
    <s v="RL"/>
    <n v="62"/>
    <n v="12677"/>
    <s v="Pave"/>
    <s v="NA"/>
    <s v="IR1"/>
    <s v="Lvl"/>
    <s v="AllPub"/>
    <s v="Inside"/>
    <s v="Gtl"/>
    <x v="10"/>
    <x v="0"/>
    <s v="Norm"/>
    <x v="3"/>
    <x v="1"/>
    <n v="8"/>
    <n v="5"/>
    <x v="0"/>
    <n v="2004"/>
    <s v="Hip"/>
    <s v="CompShg"/>
    <s v="MetalSd"/>
    <s v="MetalSd"/>
    <s v="BrkFace"/>
    <n v="472"/>
    <s v="Ex"/>
    <s v="TA"/>
    <s v="PConc"/>
    <s v="Ex"/>
    <s v="TA"/>
    <s v="Gd"/>
    <s v="GLQ"/>
    <n v="1218"/>
    <s v="Unf"/>
    <n v="0"/>
    <n v="300"/>
    <n v="1518"/>
    <s v="GasA"/>
    <s v="Ex"/>
    <s v="Y"/>
    <s v="SBrkr"/>
    <n v="1518"/>
    <n v="0"/>
    <n v="0"/>
    <x v="494"/>
    <n v="0"/>
    <n v="0"/>
    <n v="1"/>
    <n v="1"/>
    <n v="1"/>
    <n v="1"/>
    <s v="Ex"/>
    <n v="6"/>
    <s v="Typ"/>
    <n v="1"/>
    <s v="Gd"/>
    <s v="Attchd"/>
    <n v="2003"/>
    <s v="RFn"/>
    <n v="2"/>
    <n v="588"/>
    <s v="TA"/>
    <s v="TA"/>
    <s v="Y"/>
    <n v="185"/>
    <n v="140"/>
    <n v="0"/>
    <n v="0"/>
    <n v="0"/>
    <n v="0"/>
    <s v="NA"/>
    <s v="NA"/>
    <s v="NA"/>
    <n v="0"/>
    <n v="4"/>
    <n v="2008"/>
    <s v="WD"/>
    <s v="Normal"/>
    <n v="274000"/>
  </r>
  <r>
    <n v="642"/>
    <n v="60"/>
    <s v="FV"/>
    <s v="NA"/>
    <n v="7050"/>
    <s v="Pave"/>
    <s v="NA"/>
    <s v="Reg"/>
    <s v="Lvl"/>
    <s v="AllPub"/>
    <s v="Inside"/>
    <s v="Gtl"/>
    <x v="5"/>
    <x v="0"/>
    <s v="Norm"/>
    <x v="0"/>
    <x v="0"/>
    <n v="7"/>
    <n v="5"/>
    <x v="2"/>
    <n v="2001"/>
    <s v="Gable"/>
    <s v="CompShg"/>
    <s v="VinylSd"/>
    <s v="VinylSd"/>
    <s v="None"/>
    <n v="0"/>
    <s v="Gd"/>
    <s v="TA"/>
    <s v="PConc"/>
    <s v="Gd"/>
    <s v="TA"/>
    <s v="No"/>
    <s v="GLQ"/>
    <n v="738"/>
    <s v="Unf"/>
    <n v="0"/>
    <n v="319"/>
    <n v="1057"/>
    <s v="GasA"/>
    <s v="Ex"/>
    <s v="Y"/>
    <s v="SBrkr"/>
    <n v="1057"/>
    <n v="872"/>
    <n v="0"/>
    <x v="495"/>
    <n v="1"/>
    <n v="0"/>
    <n v="2"/>
    <n v="1"/>
    <n v="3"/>
    <n v="1"/>
    <s v="Gd"/>
    <n v="7"/>
    <s v="Typ"/>
    <n v="1"/>
    <s v="TA"/>
    <s v="Attchd"/>
    <n v="2001"/>
    <s v="Fin"/>
    <n v="2"/>
    <n v="650"/>
    <s v="TA"/>
    <s v="TA"/>
    <s v="Y"/>
    <n v="0"/>
    <n v="235"/>
    <n v="0"/>
    <n v="0"/>
    <n v="0"/>
    <n v="0"/>
    <s v="NA"/>
    <s v="NA"/>
    <s v="NA"/>
    <n v="0"/>
    <n v="5"/>
    <n v="2007"/>
    <s v="WD"/>
    <s v="Normal"/>
    <n v="226000"/>
  </r>
  <r>
    <n v="643"/>
    <n v="80"/>
    <s v="RL"/>
    <n v="75"/>
    <n v="13860"/>
    <s v="Pave"/>
    <s v="NA"/>
    <s v="Reg"/>
    <s v="Lvl"/>
    <s v="AllPub"/>
    <s v="Inside"/>
    <s v="Gtl"/>
    <x v="11"/>
    <x v="0"/>
    <s v="Norm"/>
    <x v="0"/>
    <x v="5"/>
    <n v="8"/>
    <n v="7"/>
    <x v="41"/>
    <n v="1995"/>
    <s v="Gable"/>
    <s v="CompShg"/>
    <s v="Plywood"/>
    <s v="Wd Sdng"/>
    <s v="None"/>
    <n v="0"/>
    <s v="Gd"/>
    <s v="TA"/>
    <s v="CBlock"/>
    <s v="Gd"/>
    <s v="TA"/>
    <s v="Gd"/>
    <s v="GLQ"/>
    <n v="1410"/>
    <s v="Unf"/>
    <n v="0"/>
    <n v="542"/>
    <n v="1952"/>
    <s v="GasA"/>
    <s v="Gd"/>
    <s v="Y"/>
    <s v="SBrkr"/>
    <n v="2000"/>
    <n v="704"/>
    <n v="0"/>
    <x v="496"/>
    <n v="1"/>
    <n v="0"/>
    <n v="2"/>
    <n v="1"/>
    <n v="4"/>
    <n v="1"/>
    <s v="Ex"/>
    <n v="9"/>
    <s v="Typ"/>
    <n v="3"/>
    <s v="TA"/>
    <s v="Attchd"/>
    <n v="1972"/>
    <s v="Fin"/>
    <n v="2"/>
    <n v="538"/>
    <s v="TA"/>
    <s v="TA"/>
    <s v="Y"/>
    <n v="269"/>
    <n v="111"/>
    <n v="0"/>
    <n v="0"/>
    <n v="0"/>
    <n v="0"/>
    <s v="NA"/>
    <s v="MnPrv"/>
    <s v="NA"/>
    <n v="0"/>
    <n v="7"/>
    <n v="2009"/>
    <s v="WD"/>
    <s v="Normal"/>
    <n v="345000"/>
  </r>
  <r>
    <n v="644"/>
    <n v="60"/>
    <s v="RL"/>
    <n v="80"/>
    <n v="10793"/>
    <s v="Pave"/>
    <s v="NA"/>
    <s v="Reg"/>
    <s v="Lvl"/>
    <s v="AllPub"/>
    <s v="Inside"/>
    <s v="Gtl"/>
    <x v="6"/>
    <x v="6"/>
    <s v="Norm"/>
    <x v="0"/>
    <x v="0"/>
    <n v="5"/>
    <n v="5"/>
    <x v="60"/>
    <n v="1969"/>
    <s v="Mansard"/>
    <s v="CompShg"/>
    <s v="WdShing"/>
    <s v="HdBoard"/>
    <s v="BrkFace"/>
    <n v="263"/>
    <s v="TA"/>
    <s v="TA"/>
    <s v="CBlock"/>
    <s v="TA"/>
    <s v="TA"/>
    <s v="No"/>
    <s v="Rec"/>
    <n v="493"/>
    <s v="BLQ"/>
    <n v="287"/>
    <n v="0"/>
    <n v="780"/>
    <s v="GasA"/>
    <s v="Ex"/>
    <s v="Y"/>
    <s v="SBrkr"/>
    <n v="780"/>
    <n v="840"/>
    <n v="0"/>
    <x v="333"/>
    <n v="0"/>
    <n v="0"/>
    <n v="2"/>
    <n v="1"/>
    <n v="4"/>
    <n v="1"/>
    <s v="TA"/>
    <n v="7"/>
    <s v="Min1"/>
    <n v="0"/>
    <s v="NA"/>
    <s v="Attchd"/>
    <n v="1969"/>
    <s v="Fin"/>
    <n v="2"/>
    <n v="462"/>
    <s v="TA"/>
    <s v="TA"/>
    <s v="Y"/>
    <n v="208"/>
    <n v="0"/>
    <n v="0"/>
    <n v="0"/>
    <n v="0"/>
    <n v="0"/>
    <s v="NA"/>
    <s v="GdWo"/>
    <s v="NA"/>
    <n v="0"/>
    <n v="4"/>
    <n v="2007"/>
    <s v="WD"/>
    <s v="Normal"/>
    <n v="152000"/>
  </r>
  <r>
    <n v="645"/>
    <n v="20"/>
    <s v="FV"/>
    <n v="85"/>
    <n v="9187"/>
    <s v="Pave"/>
    <s v="NA"/>
    <s v="Reg"/>
    <s v="Lvl"/>
    <s v="AllPub"/>
    <s v="Inside"/>
    <s v="Gtl"/>
    <x v="5"/>
    <x v="0"/>
    <s v="Norm"/>
    <x v="0"/>
    <x v="1"/>
    <n v="9"/>
    <n v="5"/>
    <x v="51"/>
    <n v="2009"/>
    <s v="Gable"/>
    <s v="CompShg"/>
    <s v="CemntBd"/>
    <s v="CmentBd"/>
    <s v="Stone"/>
    <n v="162"/>
    <s v="Ex"/>
    <s v="TA"/>
    <s v="PConc"/>
    <s v="Ex"/>
    <s v="TA"/>
    <s v="Mn"/>
    <s v="GLQ"/>
    <n v="1121"/>
    <s v="Unf"/>
    <n v="0"/>
    <n v="645"/>
    <n v="1766"/>
    <s v="GasA"/>
    <s v="Ex"/>
    <s v="Y"/>
    <s v="SBrkr"/>
    <n v="1766"/>
    <n v="0"/>
    <n v="0"/>
    <x v="497"/>
    <n v="1"/>
    <n v="0"/>
    <n v="2"/>
    <n v="1"/>
    <n v="2"/>
    <n v="1"/>
    <s v="Ex"/>
    <n v="7"/>
    <s v="Typ"/>
    <n v="1"/>
    <s v="Gd"/>
    <s v="Attchd"/>
    <n v="2009"/>
    <s v="Fin"/>
    <n v="3"/>
    <n v="478"/>
    <s v="TA"/>
    <s v="TA"/>
    <s v="Y"/>
    <n v="195"/>
    <n v="130"/>
    <n v="0"/>
    <n v="0"/>
    <n v="0"/>
    <n v="0"/>
    <s v="NA"/>
    <s v="NA"/>
    <s v="NA"/>
    <n v="0"/>
    <n v="10"/>
    <n v="2009"/>
    <s v="New"/>
    <s v="Partial"/>
    <n v="370878"/>
  </r>
  <r>
    <n v="646"/>
    <n v="20"/>
    <s v="RL"/>
    <s v="NA"/>
    <n v="10530"/>
    <s v="Pave"/>
    <s v="NA"/>
    <s v="IR1"/>
    <s v="Lvl"/>
    <s v="AllPub"/>
    <s v="Corner"/>
    <s v="Gtl"/>
    <x v="11"/>
    <x v="0"/>
    <s v="Norm"/>
    <x v="0"/>
    <x v="1"/>
    <n v="6"/>
    <n v="5"/>
    <x v="63"/>
    <n v="1971"/>
    <s v="Hip"/>
    <s v="CompShg"/>
    <s v="Plywood"/>
    <s v="Plywood"/>
    <s v="None"/>
    <n v="0"/>
    <s v="TA"/>
    <s v="TA"/>
    <s v="CBlock"/>
    <s v="TA"/>
    <s v="TA"/>
    <s v="No"/>
    <s v="ALQ"/>
    <n v="282"/>
    <s v="LwQ"/>
    <n v="35"/>
    <n v="664"/>
    <n v="981"/>
    <s v="GasA"/>
    <s v="TA"/>
    <s v="Y"/>
    <s v="SBrkr"/>
    <n v="981"/>
    <n v="0"/>
    <n v="0"/>
    <x v="498"/>
    <n v="1"/>
    <n v="0"/>
    <n v="1"/>
    <n v="1"/>
    <n v="3"/>
    <n v="1"/>
    <s v="TA"/>
    <n v="5"/>
    <s v="Typ"/>
    <n v="0"/>
    <s v="NA"/>
    <s v="Detchd"/>
    <n v="1979"/>
    <s v="Unf"/>
    <n v="2"/>
    <n v="576"/>
    <s v="TA"/>
    <s v="TA"/>
    <s v="Y"/>
    <n v="0"/>
    <n v="312"/>
    <n v="40"/>
    <n v="0"/>
    <n v="0"/>
    <n v="0"/>
    <s v="NA"/>
    <s v="NA"/>
    <s v="NA"/>
    <n v="0"/>
    <n v="3"/>
    <n v="2007"/>
    <s v="WD"/>
    <s v="Normal"/>
    <n v="143250"/>
  </r>
  <r>
    <n v="647"/>
    <n v="20"/>
    <s v="RL"/>
    <n v="60"/>
    <n v="7200"/>
    <s v="Pave"/>
    <s v="NA"/>
    <s v="Reg"/>
    <s v="Lvl"/>
    <s v="AllPub"/>
    <s v="Inside"/>
    <s v="Gtl"/>
    <x v="11"/>
    <x v="0"/>
    <s v="Norm"/>
    <x v="0"/>
    <x v="1"/>
    <n v="5"/>
    <n v="5"/>
    <x v="52"/>
    <n v="1950"/>
    <s v="Hip"/>
    <s v="CompShg"/>
    <s v="MetalSd"/>
    <s v="MetalSd"/>
    <s v="None"/>
    <n v="0"/>
    <s v="TA"/>
    <s v="TA"/>
    <s v="CBlock"/>
    <s v="NA"/>
    <s v="NA"/>
    <s v="NA"/>
    <s v="NA"/>
    <n v="0"/>
    <s v="NA"/>
    <n v="0"/>
    <n v="0"/>
    <n v="0"/>
    <s v="GasA"/>
    <s v="Gd"/>
    <s v="Y"/>
    <s v="SBrkr"/>
    <n v="1048"/>
    <n v="0"/>
    <n v="0"/>
    <x v="439"/>
    <n v="0"/>
    <n v="0"/>
    <n v="1"/>
    <n v="0"/>
    <n v="3"/>
    <n v="1"/>
    <s v="TA"/>
    <n v="7"/>
    <s v="Min1"/>
    <n v="0"/>
    <s v="NA"/>
    <s v="Detchd"/>
    <n v="1950"/>
    <s v="Unf"/>
    <n v="2"/>
    <n v="420"/>
    <s v="TA"/>
    <s v="TA"/>
    <s v="Y"/>
    <n v="0"/>
    <n v="27"/>
    <n v="0"/>
    <n v="0"/>
    <n v="0"/>
    <n v="0"/>
    <s v="NA"/>
    <s v="NA"/>
    <s v="NA"/>
    <n v="0"/>
    <n v="7"/>
    <n v="2008"/>
    <s v="WD"/>
    <s v="Normal"/>
    <n v="98300"/>
  </r>
  <r>
    <n v="648"/>
    <n v="20"/>
    <s v="RL"/>
    <n v="85"/>
    <n v="10452"/>
    <s v="Pave"/>
    <s v="NA"/>
    <s v="IR1"/>
    <s v="Lvl"/>
    <s v="AllPub"/>
    <s v="Inside"/>
    <s v="Gtl"/>
    <x v="15"/>
    <x v="0"/>
    <s v="Norm"/>
    <x v="0"/>
    <x v="1"/>
    <n v="6"/>
    <n v="5"/>
    <x v="31"/>
    <n v="1953"/>
    <s v="Hip"/>
    <s v="CompShg"/>
    <s v="Wd Sdng"/>
    <s v="Wd Sdng"/>
    <s v="Stone"/>
    <n v="216"/>
    <s v="TA"/>
    <s v="TA"/>
    <s v="CBlock"/>
    <s v="TA"/>
    <s v="TA"/>
    <s v="Mn"/>
    <s v="Rec"/>
    <n v="500"/>
    <s v="Unf"/>
    <n v="0"/>
    <n v="594"/>
    <n v="1094"/>
    <s v="GasA"/>
    <s v="Ex"/>
    <s v="Y"/>
    <s v="SBrkr"/>
    <n v="1094"/>
    <n v="0"/>
    <n v="0"/>
    <x v="499"/>
    <n v="0"/>
    <n v="0"/>
    <n v="1"/>
    <n v="0"/>
    <n v="3"/>
    <n v="1"/>
    <s v="TA"/>
    <n v="5"/>
    <s v="Typ"/>
    <n v="2"/>
    <s v="Gd"/>
    <s v="Attchd"/>
    <n v="1953"/>
    <s v="RFn"/>
    <n v="2"/>
    <n v="495"/>
    <s v="TA"/>
    <s v="TA"/>
    <s v="Y"/>
    <n v="0"/>
    <n v="0"/>
    <n v="0"/>
    <n v="0"/>
    <n v="287"/>
    <n v="0"/>
    <s v="NA"/>
    <s v="NA"/>
    <s v="NA"/>
    <n v="0"/>
    <n v="6"/>
    <n v="2008"/>
    <s v="WD"/>
    <s v="Normal"/>
    <n v="155000"/>
  </r>
  <r>
    <n v="649"/>
    <n v="60"/>
    <s v="RL"/>
    <n v="70"/>
    <n v="7700"/>
    <s v="Pave"/>
    <s v="NA"/>
    <s v="Reg"/>
    <s v="Lvl"/>
    <s v="AllPub"/>
    <s v="Inside"/>
    <s v="Gtl"/>
    <x v="11"/>
    <x v="2"/>
    <s v="Norm"/>
    <x v="0"/>
    <x v="0"/>
    <n v="6"/>
    <n v="5"/>
    <x v="27"/>
    <n v="1966"/>
    <s v="Gable"/>
    <s v="CompShg"/>
    <s v="MetalSd"/>
    <s v="MetalSd"/>
    <s v="BrkFace"/>
    <n v="351"/>
    <s v="TA"/>
    <s v="TA"/>
    <s v="CBlock"/>
    <s v="TA"/>
    <s v="TA"/>
    <s v="No"/>
    <s v="Unf"/>
    <n v="0"/>
    <s v="Unf"/>
    <n v="0"/>
    <n v="756"/>
    <n v="756"/>
    <s v="GasA"/>
    <s v="TA"/>
    <s v="Y"/>
    <s v="SBrkr"/>
    <n v="1051"/>
    <n v="788"/>
    <n v="0"/>
    <x v="500"/>
    <n v="0"/>
    <n v="0"/>
    <n v="1"/>
    <n v="1"/>
    <n v="4"/>
    <n v="1"/>
    <s v="TA"/>
    <n v="7"/>
    <s v="Typ"/>
    <n v="1"/>
    <s v="TA"/>
    <s v="Attchd"/>
    <n v="1966"/>
    <s v="Unf"/>
    <n v="2"/>
    <n v="442"/>
    <s v="TA"/>
    <s v="TA"/>
    <s v="Y"/>
    <n v="0"/>
    <n v="124"/>
    <n v="216"/>
    <n v="0"/>
    <n v="0"/>
    <n v="0"/>
    <s v="NA"/>
    <s v="NA"/>
    <s v="NA"/>
    <n v="0"/>
    <n v="6"/>
    <n v="2010"/>
    <s v="WD"/>
    <s v="Normal"/>
    <n v="155000"/>
  </r>
  <r>
    <n v="650"/>
    <n v="180"/>
    <s v="RM"/>
    <n v="21"/>
    <n v="1936"/>
    <s v="Pave"/>
    <s v="NA"/>
    <s v="Reg"/>
    <s v="Lvl"/>
    <s v="AllPub"/>
    <s v="Inside"/>
    <s v="Gtl"/>
    <x v="14"/>
    <x v="0"/>
    <s v="Norm"/>
    <x v="4"/>
    <x v="4"/>
    <n v="4"/>
    <n v="6"/>
    <x v="16"/>
    <n v="1970"/>
    <s v="Gable"/>
    <s v="CompShg"/>
    <s v="CemntBd"/>
    <s v="CmentBd"/>
    <s v="None"/>
    <n v="0"/>
    <s v="TA"/>
    <s v="TA"/>
    <s v="CBlock"/>
    <s v="Gd"/>
    <s v="TA"/>
    <s v="Av"/>
    <s v="BLQ"/>
    <n v="131"/>
    <s v="GLQ"/>
    <n v="499"/>
    <n v="0"/>
    <n v="630"/>
    <s v="GasA"/>
    <s v="Gd"/>
    <s v="Y"/>
    <s v="SBrkr"/>
    <n v="630"/>
    <n v="0"/>
    <n v="0"/>
    <x v="353"/>
    <n v="1"/>
    <n v="0"/>
    <n v="1"/>
    <n v="0"/>
    <n v="1"/>
    <n v="1"/>
    <s v="TA"/>
    <n v="3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MnPrv"/>
    <s v="NA"/>
    <n v="0"/>
    <n v="12"/>
    <n v="2007"/>
    <s v="WD"/>
    <s v="Normal"/>
    <n v="84500"/>
  </r>
  <r>
    <n v="651"/>
    <n v="60"/>
    <s v="FV"/>
    <n v="65"/>
    <n v="8125"/>
    <s v="Pave"/>
    <s v="NA"/>
    <s v="Reg"/>
    <s v="Lvl"/>
    <s v="AllPub"/>
    <s v="Inside"/>
    <s v="Gtl"/>
    <x v="5"/>
    <x v="0"/>
    <s v="Norm"/>
    <x v="0"/>
    <x v="0"/>
    <n v="7"/>
    <n v="6"/>
    <x v="22"/>
    <n v="2007"/>
    <s v="Gable"/>
    <s v="CompShg"/>
    <s v="CemntBd"/>
    <s v="CmentBd"/>
    <s v="NA"/>
    <s v="NA"/>
    <s v="Gd"/>
    <s v="TA"/>
    <s v="PConc"/>
    <s v="Gd"/>
    <s v="TA"/>
    <s v="No"/>
    <s v="Unf"/>
    <n v="0"/>
    <s v="Unf"/>
    <n v="0"/>
    <n v="813"/>
    <n v="813"/>
    <s v="GasA"/>
    <s v="Ex"/>
    <s v="Y"/>
    <s v="SBrkr"/>
    <n v="822"/>
    <n v="843"/>
    <n v="0"/>
    <x v="501"/>
    <n v="0"/>
    <n v="0"/>
    <n v="2"/>
    <n v="1"/>
    <n v="3"/>
    <n v="1"/>
    <s v="Gd"/>
    <n v="7"/>
    <s v="Typ"/>
    <n v="0"/>
    <s v="NA"/>
    <s v="Attchd"/>
    <n v="2007"/>
    <s v="RFn"/>
    <n v="2"/>
    <n v="562"/>
    <s v="TA"/>
    <s v="TA"/>
    <s v="Y"/>
    <n v="0"/>
    <n v="0"/>
    <n v="0"/>
    <n v="0"/>
    <n v="0"/>
    <n v="0"/>
    <s v="NA"/>
    <s v="NA"/>
    <s v="NA"/>
    <n v="0"/>
    <n v="5"/>
    <n v="2008"/>
    <s v="WD"/>
    <s v="Normal"/>
    <n v="205950"/>
  </r>
  <r>
    <n v="652"/>
    <n v="70"/>
    <s v="RL"/>
    <n v="60"/>
    <n v="9084"/>
    <s v="Pave"/>
    <s v="NA"/>
    <s v="Reg"/>
    <s v="Lvl"/>
    <s v="AllPub"/>
    <s v="Inside"/>
    <s v="Gtl"/>
    <x v="15"/>
    <x v="3"/>
    <s v="Norm"/>
    <x v="0"/>
    <x v="0"/>
    <n v="4"/>
    <n v="5"/>
    <x v="70"/>
    <n v="1950"/>
    <s v="Gable"/>
    <s v="CompShg"/>
    <s v="MetalSd"/>
    <s v="MetalSd"/>
    <s v="None"/>
    <n v="0"/>
    <s v="TA"/>
    <s v="TA"/>
    <s v="CBlock"/>
    <s v="TA"/>
    <s v="TA"/>
    <s v="Mn"/>
    <s v="Unf"/>
    <n v="0"/>
    <s v="Unf"/>
    <n v="0"/>
    <n v="755"/>
    <n v="755"/>
    <s v="GasA"/>
    <s v="TA"/>
    <s v="Y"/>
    <s v="SBrkr"/>
    <n v="755"/>
    <n v="755"/>
    <n v="0"/>
    <x v="502"/>
    <n v="1"/>
    <n v="0"/>
    <n v="1"/>
    <n v="0"/>
    <n v="4"/>
    <n v="1"/>
    <s v="TA"/>
    <n v="7"/>
    <s v="Typ"/>
    <n v="1"/>
    <s v="Gd"/>
    <s v="Detchd"/>
    <n v="1940"/>
    <s v="Unf"/>
    <n v="1"/>
    <n v="296"/>
    <s v="Fa"/>
    <s v="Po"/>
    <s v="P"/>
    <n v="120"/>
    <n v="0"/>
    <n v="0"/>
    <n v="0"/>
    <n v="0"/>
    <n v="0"/>
    <s v="NA"/>
    <s v="MnPrv"/>
    <s v="NA"/>
    <n v="0"/>
    <n v="10"/>
    <n v="2009"/>
    <s v="WD"/>
    <s v="Normal"/>
    <n v="108000"/>
  </r>
  <r>
    <n v="653"/>
    <n v="60"/>
    <s v="RL"/>
    <n v="70"/>
    <n v="8750"/>
    <s v="Pave"/>
    <s v="NA"/>
    <s v="Reg"/>
    <s v="Lvl"/>
    <s v="AllPub"/>
    <s v="Inside"/>
    <s v="Gtl"/>
    <x v="0"/>
    <x v="0"/>
    <s v="Norm"/>
    <x v="0"/>
    <x v="0"/>
    <n v="7"/>
    <n v="5"/>
    <x v="92"/>
    <n v="199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80"/>
    <n v="880"/>
    <s v="GasA"/>
    <s v="Ex"/>
    <s v="Y"/>
    <s v="SBrkr"/>
    <n v="909"/>
    <n v="807"/>
    <n v="0"/>
    <x v="246"/>
    <n v="0"/>
    <n v="0"/>
    <n v="2"/>
    <n v="1"/>
    <n v="2"/>
    <n v="1"/>
    <s v="Gd"/>
    <n v="7"/>
    <s v="Typ"/>
    <n v="1"/>
    <s v="TA"/>
    <s v="Attchd"/>
    <n v="1996"/>
    <s v="RFn"/>
    <n v="2"/>
    <n v="512"/>
    <s v="TA"/>
    <s v="TA"/>
    <s v="Y"/>
    <n v="0"/>
    <n v="120"/>
    <n v="0"/>
    <n v="0"/>
    <n v="0"/>
    <n v="0"/>
    <s v="NA"/>
    <s v="NA"/>
    <s v="NA"/>
    <n v="0"/>
    <n v="7"/>
    <n v="2009"/>
    <s v="WD"/>
    <s v="Normal"/>
    <n v="191000"/>
  </r>
  <r>
    <n v="654"/>
    <n v="50"/>
    <s v="RM"/>
    <n v="60"/>
    <n v="10320"/>
    <s v="Pave"/>
    <s v="Grvl"/>
    <s v="Reg"/>
    <s v="Lvl"/>
    <s v="AllPub"/>
    <s v="Inside"/>
    <s v="Gtl"/>
    <x v="13"/>
    <x v="0"/>
    <s v="Norm"/>
    <x v="0"/>
    <x v="2"/>
    <n v="6"/>
    <n v="7"/>
    <x v="102"/>
    <n v="1995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756"/>
    <n v="756"/>
    <s v="GasA"/>
    <s v="Ex"/>
    <s v="Y"/>
    <s v="SBrkr"/>
    <n v="756"/>
    <n v="713"/>
    <n v="0"/>
    <x v="503"/>
    <n v="0"/>
    <n v="0"/>
    <n v="1"/>
    <n v="0"/>
    <n v="3"/>
    <n v="1"/>
    <s v="TA"/>
    <n v="7"/>
    <s v="Typ"/>
    <n v="0"/>
    <s v="NA"/>
    <s v="Detchd"/>
    <n v="1906"/>
    <s v="Unf"/>
    <n v="1"/>
    <n v="216"/>
    <s v="TA"/>
    <s v="TA"/>
    <s v="Y"/>
    <n v="57"/>
    <n v="0"/>
    <n v="239"/>
    <n v="0"/>
    <n v="0"/>
    <n v="0"/>
    <s v="NA"/>
    <s v="MnPrv"/>
    <s v="NA"/>
    <n v="0"/>
    <n v="6"/>
    <n v="2008"/>
    <s v="WD"/>
    <s v="Normal"/>
    <n v="135000"/>
  </r>
  <r>
    <n v="655"/>
    <n v="20"/>
    <s v="RL"/>
    <n v="91"/>
    <n v="10437"/>
    <s v="Pave"/>
    <s v="NA"/>
    <s v="IR1"/>
    <s v="Lvl"/>
    <s v="AllPub"/>
    <s v="Inside"/>
    <s v="Gtl"/>
    <x v="3"/>
    <x v="0"/>
    <s v="Norm"/>
    <x v="0"/>
    <x v="1"/>
    <n v="8"/>
    <n v="6"/>
    <x v="49"/>
    <n v="1995"/>
    <s v="Hip"/>
    <s v="CompShg"/>
    <s v="MetalSd"/>
    <s v="MetalSd"/>
    <s v="BrkFace"/>
    <n v="660"/>
    <s v="Gd"/>
    <s v="Gd"/>
    <s v="PConc"/>
    <s v="Gd"/>
    <s v="TA"/>
    <s v="Gd"/>
    <s v="GLQ"/>
    <n v="1696"/>
    <s v="Unf"/>
    <n v="0"/>
    <n v="413"/>
    <n v="2109"/>
    <s v="GasA"/>
    <s v="Ex"/>
    <s v="Y"/>
    <s v="SBrkr"/>
    <n v="2113"/>
    <n v="0"/>
    <n v="0"/>
    <x v="504"/>
    <n v="1"/>
    <n v="0"/>
    <n v="2"/>
    <n v="1"/>
    <n v="2"/>
    <n v="1"/>
    <s v="Gd"/>
    <n v="7"/>
    <s v="Typ"/>
    <n v="1"/>
    <s v="TA"/>
    <s v="Attchd"/>
    <n v="1995"/>
    <s v="Fin"/>
    <n v="3"/>
    <n v="839"/>
    <s v="TA"/>
    <s v="TA"/>
    <s v="Y"/>
    <n v="236"/>
    <n v="46"/>
    <n v="0"/>
    <n v="0"/>
    <n v="0"/>
    <n v="0"/>
    <s v="NA"/>
    <s v="NA"/>
    <s v="NA"/>
    <n v="0"/>
    <n v="8"/>
    <n v="2008"/>
    <s v="WD"/>
    <s v="Normal"/>
    <n v="350000"/>
  </r>
  <r>
    <n v="656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6"/>
    <n v="5"/>
    <x v="63"/>
    <n v="1971"/>
    <s v="Gable"/>
    <s v="CompShg"/>
    <s v="HdBoard"/>
    <s v="ImStucc"/>
    <s v="BrkFace"/>
    <n v="381"/>
    <s v="TA"/>
    <s v="TA"/>
    <s v="CBlock"/>
    <s v="TA"/>
    <s v="TA"/>
    <s v="No"/>
    <s v="Unf"/>
    <n v="0"/>
    <s v="Unf"/>
    <n v="0"/>
    <n v="525"/>
    <n v="525"/>
    <s v="GasA"/>
    <s v="TA"/>
    <s v="Y"/>
    <s v="SBrkr"/>
    <n v="525"/>
    <n v="567"/>
    <n v="0"/>
    <x v="110"/>
    <n v="0"/>
    <n v="0"/>
    <n v="1"/>
    <n v="1"/>
    <n v="3"/>
    <n v="1"/>
    <s v="TA"/>
    <n v="6"/>
    <s v="Typ"/>
    <n v="0"/>
    <s v="NA"/>
    <s v="Detchd"/>
    <n v="1971"/>
    <s v="Unf"/>
    <n v="1"/>
    <n v="264"/>
    <s v="TA"/>
    <s v="TA"/>
    <s v="Y"/>
    <n v="0"/>
    <n v="0"/>
    <n v="0"/>
    <n v="0"/>
    <n v="0"/>
    <n v="0"/>
    <s v="NA"/>
    <s v="NA"/>
    <s v="NA"/>
    <n v="0"/>
    <n v="3"/>
    <n v="2010"/>
    <s v="WD"/>
    <s v="Family"/>
    <n v="88000"/>
  </r>
  <r>
    <n v="657"/>
    <n v="20"/>
    <s v="RL"/>
    <n v="72"/>
    <n v="10007"/>
    <s v="Pave"/>
    <s v="NA"/>
    <s v="IR1"/>
    <s v="Lvl"/>
    <s v="AllPub"/>
    <s v="Inside"/>
    <s v="Gtl"/>
    <x v="11"/>
    <x v="0"/>
    <s v="Norm"/>
    <x v="0"/>
    <x v="1"/>
    <n v="5"/>
    <n v="7"/>
    <x v="28"/>
    <n v="2006"/>
    <s v="Gable"/>
    <s v="CompShg"/>
    <s v="HdBoard"/>
    <s v="HdBoard"/>
    <s v="BrkFace"/>
    <n v="54"/>
    <s v="Gd"/>
    <s v="TA"/>
    <s v="CBlock"/>
    <s v="TA"/>
    <s v="TA"/>
    <s v="No"/>
    <s v="ALQ"/>
    <n v="806"/>
    <s v="Unf"/>
    <n v="0"/>
    <n v="247"/>
    <n v="1053"/>
    <s v="GasA"/>
    <s v="Ex"/>
    <s v="Y"/>
    <s v="SBrkr"/>
    <n v="1053"/>
    <n v="0"/>
    <n v="0"/>
    <x v="122"/>
    <n v="1"/>
    <n v="0"/>
    <n v="1"/>
    <n v="1"/>
    <n v="3"/>
    <n v="1"/>
    <s v="Gd"/>
    <n v="5"/>
    <s v="Typ"/>
    <n v="0"/>
    <s v="NA"/>
    <s v="Attchd"/>
    <n v="1959"/>
    <s v="RFn"/>
    <n v="1"/>
    <n v="312"/>
    <s v="TA"/>
    <s v="TA"/>
    <s v="Y"/>
    <n v="0"/>
    <n v="0"/>
    <n v="0"/>
    <n v="0"/>
    <n v="0"/>
    <n v="0"/>
    <s v="NA"/>
    <s v="MnPrv"/>
    <s v="NA"/>
    <n v="0"/>
    <n v="8"/>
    <n v="2008"/>
    <s v="WD"/>
    <s v="Normal"/>
    <n v="145500"/>
  </r>
  <r>
    <n v="658"/>
    <n v="70"/>
    <s v="RL"/>
    <n v="60"/>
    <n v="7200"/>
    <s v="Pave"/>
    <s v="NA"/>
    <s v="Reg"/>
    <s v="HLS"/>
    <s v="AllPub"/>
    <s v="Inside"/>
    <s v="Mod"/>
    <x v="2"/>
    <x v="0"/>
    <s v="Norm"/>
    <x v="0"/>
    <x v="0"/>
    <n v="7"/>
    <n v="6"/>
    <x v="8"/>
    <n v="2000"/>
    <s v="Gable"/>
    <s v="CompShg"/>
    <s v="Stucco"/>
    <s v="Wd Shng"/>
    <s v="None"/>
    <n v="0"/>
    <s v="TA"/>
    <s v="Fa"/>
    <s v="BrkTil"/>
    <s v="Gd"/>
    <s v="TA"/>
    <s v="No"/>
    <s v="Unf"/>
    <n v="0"/>
    <s v="Unf"/>
    <n v="0"/>
    <n v="776"/>
    <n v="776"/>
    <s v="GasA"/>
    <s v="TA"/>
    <s v="Y"/>
    <s v="SBrkr"/>
    <n v="851"/>
    <n v="651"/>
    <n v="0"/>
    <x v="377"/>
    <n v="0"/>
    <n v="0"/>
    <n v="1"/>
    <n v="1"/>
    <n v="3"/>
    <n v="1"/>
    <s v="TA"/>
    <n v="6"/>
    <s v="Typ"/>
    <n v="1"/>
    <s v="Gd"/>
    <s v="Attchd"/>
    <n v="1931"/>
    <s v="RFn"/>
    <n v="1"/>
    <n v="270"/>
    <s v="TA"/>
    <s v="TA"/>
    <s v="P"/>
    <n v="0"/>
    <n v="0"/>
    <n v="112"/>
    <n v="0"/>
    <n v="0"/>
    <n v="0"/>
    <s v="NA"/>
    <s v="MnPrv"/>
    <s v="NA"/>
    <n v="0"/>
    <n v="2"/>
    <n v="2008"/>
    <s v="WD"/>
    <s v="Normal"/>
    <n v="149000"/>
  </r>
  <r>
    <n v="659"/>
    <n v="50"/>
    <s v="RL"/>
    <n v="78"/>
    <n v="17503"/>
    <s v="Pave"/>
    <s v="NA"/>
    <s v="Reg"/>
    <s v="Lvl"/>
    <s v="AllPub"/>
    <s v="Inside"/>
    <s v="Gtl"/>
    <x v="11"/>
    <x v="3"/>
    <s v="Norm"/>
    <x v="0"/>
    <x v="2"/>
    <n v="6"/>
    <n v="5"/>
    <x v="47"/>
    <n v="1950"/>
    <s v="Gable"/>
    <s v="CompShg"/>
    <s v="VinylSd"/>
    <s v="VinylSd"/>
    <s v="None"/>
    <n v="0"/>
    <s v="TA"/>
    <s v="TA"/>
    <s v="CBlock"/>
    <s v="TA"/>
    <s v="TA"/>
    <s v="No"/>
    <s v="Unf"/>
    <n v="0"/>
    <s v="Unf"/>
    <n v="0"/>
    <n v="912"/>
    <n v="912"/>
    <s v="GasA"/>
    <s v="TA"/>
    <s v="Y"/>
    <s v="SBrkr"/>
    <n v="912"/>
    <n v="546"/>
    <n v="0"/>
    <x v="109"/>
    <n v="0"/>
    <n v="1"/>
    <n v="1"/>
    <n v="0"/>
    <n v="3"/>
    <n v="1"/>
    <s v="TA"/>
    <n v="6"/>
    <s v="Typ"/>
    <n v="1"/>
    <s v="Gd"/>
    <s v="Attchd"/>
    <n v="1948"/>
    <s v="Unf"/>
    <n v="1"/>
    <n v="330"/>
    <s v="TA"/>
    <s v="TA"/>
    <s v="Y"/>
    <n v="192"/>
    <n v="0"/>
    <n v="0"/>
    <n v="0"/>
    <n v="0"/>
    <n v="0"/>
    <s v="NA"/>
    <s v="NA"/>
    <s v="NA"/>
    <n v="0"/>
    <n v="1"/>
    <n v="2010"/>
    <s v="WD"/>
    <s v="Abnorml"/>
    <n v="97500"/>
  </r>
  <r>
    <n v="660"/>
    <n v="20"/>
    <s v="RL"/>
    <n v="75"/>
    <n v="9937"/>
    <s v="Pave"/>
    <s v="NA"/>
    <s v="Reg"/>
    <s v="Lvl"/>
    <s v="AllPub"/>
    <s v="Corner"/>
    <s v="Gtl"/>
    <x v="15"/>
    <x v="0"/>
    <s v="Norm"/>
    <x v="0"/>
    <x v="1"/>
    <n v="5"/>
    <n v="7"/>
    <x v="39"/>
    <n v="1999"/>
    <s v="Hip"/>
    <s v="CompShg"/>
    <s v="MetalSd"/>
    <s v="MetalSd"/>
    <s v="None"/>
    <n v="0"/>
    <s v="TA"/>
    <s v="Gd"/>
    <s v="PConc"/>
    <s v="TA"/>
    <s v="TA"/>
    <s v="No"/>
    <s v="BLQ"/>
    <n v="637"/>
    <s v="Unf"/>
    <n v="0"/>
    <n v="849"/>
    <n v="1486"/>
    <s v="GasA"/>
    <s v="Ex"/>
    <s v="Y"/>
    <s v="SBrkr"/>
    <n v="1486"/>
    <n v="0"/>
    <n v="0"/>
    <x v="505"/>
    <n v="1"/>
    <n v="0"/>
    <n v="1"/>
    <n v="0"/>
    <n v="3"/>
    <n v="1"/>
    <s v="TA"/>
    <n v="7"/>
    <s v="Typ"/>
    <n v="0"/>
    <s v="NA"/>
    <s v="Detchd"/>
    <n v="1968"/>
    <s v="Fin"/>
    <n v="2"/>
    <n v="480"/>
    <s v="TA"/>
    <s v="TA"/>
    <s v="Y"/>
    <n v="0"/>
    <n v="0"/>
    <n v="0"/>
    <n v="0"/>
    <n v="0"/>
    <n v="0"/>
    <s v="NA"/>
    <s v="MnPrv"/>
    <s v="NA"/>
    <n v="0"/>
    <n v="3"/>
    <n v="2009"/>
    <s v="WD"/>
    <s v="Normal"/>
    <n v="167000"/>
  </r>
  <r>
    <n v="661"/>
    <n v="60"/>
    <s v="RL"/>
    <s v="NA"/>
    <n v="12384"/>
    <s v="Pave"/>
    <s v="NA"/>
    <s v="Reg"/>
    <s v="Lvl"/>
    <s v="AllPub"/>
    <s v="CulDSac"/>
    <s v="Gtl"/>
    <x v="6"/>
    <x v="0"/>
    <s v="Norm"/>
    <x v="0"/>
    <x v="0"/>
    <n v="7"/>
    <n v="7"/>
    <x v="1"/>
    <n v="1976"/>
    <s v="Gable"/>
    <s v="CompShg"/>
    <s v="Plywood"/>
    <s v="Plywood"/>
    <s v="BrkFace"/>
    <n v="233"/>
    <s v="TA"/>
    <s v="TA"/>
    <s v="CBlock"/>
    <s v="Gd"/>
    <s v="TA"/>
    <s v="No"/>
    <s v="Unf"/>
    <n v="0"/>
    <s v="Unf"/>
    <n v="0"/>
    <n v="793"/>
    <n v="793"/>
    <s v="GasA"/>
    <s v="TA"/>
    <s v="Y"/>
    <s v="SBrkr"/>
    <n v="1142"/>
    <n v="793"/>
    <n v="0"/>
    <x v="372"/>
    <n v="0"/>
    <n v="0"/>
    <n v="2"/>
    <n v="1"/>
    <n v="3"/>
    <n v="1"/>
    <s v="TA"/>
    <n v="7"/>
    <s v="Typ"/>
    <n v="1"/>
    <s v="TA"/>
    <s v="Attchd"/>
    <n v="1976"/>
    <s v="RFn"/>
    <n v="2"/>
    <n v="550"/>
    <s v="TA"/>
    <s v="TA"/>
    <s v="Y"/>
    <n v="0"/>
    <n v="113"/>
    <n v="252"/>
    <n v="0"/>
    <n v="0"/>
    <n v="0"/>
    <s v="NA"/>
    <s v="NA"/>
    <s v="NA"/>
    <n v="0"/>
    <n v="11"/>
    <n v="2007"/>
    <s v="WD"/>
    <s v="Normal"/>
    <n v="197900"/>
  </r>
  <r>
    <n v="662"/>
    <n v="60"/>
    <s v="RL"/>
    <n v="52"/>
    <n v="46589"/>
    <s v="Pave"/>
    <s v="NA"/>
    <s v="IR2"/>
    <s v="Lvl"/>
    <s v="AllPub"/>
    <s v="CulDSac"/>
    <s v="Gtl"/>
    <x v="3"/>
    <x v="0"/>
    <s v="Norm"/>
    <x v="0"/>
    <x v="0"/>
    <n v="8"/>
    <n v="7"/>
    <x v="29"/>
    <n v="2005"/>
    <s v="Hip"/>
    <s v="CompShg"/>
    <s v="VinylSd"/>
    <s v="VinylSd"/>
    <s v="BrkFace"/>
    <n v="528"/>
    <s v="Gd"/>
    <s v="TA"/>
    <s v="PConc"/>
    <s v="Gd"/>
    <s v="Gd"/>
    <s v="No"/>
    <s v="GLQ"/>
    <n v="1361"/>
    <s v="Rec"/>
    <n v="180"/>
    <n v="88"/>
    <n v="1629"/>
    <s v="GasA"/>
    <s v="Ex"/>
    <s v="Y"/>
    <s v="SBrkr"/>
    <n v="1686"/>
    <n v="762"/>
    <n v="0"/>
    <x v="506"/>
    <n v="1"/>
    <n v="0"/>
    <n v="2"/>
    <n v="1"/>
    <n v="4"/>
    <n v="1"/>
    <s v="Gd"/>
    <n v="8"/>
    <s v="Typ"/>
    <n v="1"/>
    <s v="TA"/>
    <s v="Attchd"/>
    <n v="1994"/>
    <s v="RFn"/>
    <n v="3"/>
    <n v="711"/>
    <s v="TA"/>
    <s v="TA"/>
    <s v="Y"/>
    <n v="517"/>
    <n v="76"/>
    <n v="0"/>
    <n v="0"/>
    <n v="0"/>
    <n v="0"/>
    <s v="NA"/>
    <s v="NA"/>
    <s v="NA"/>
    <n v="0"/>
    <n v="7"/>
    <n v="2009"/>
    <s v="WD"/>
    <s v="Normal"/>
    <n v="402000"/>
  </r>
  <r>
    <n v="663"/>
    <n v="20"/>
    <s v="RL"/>
    <n v="120"/>
    <n v="13560"/>
    <s v="Pave"/>
    <s v="NA"/>
    <s v="Reg"/>
    <s v="Lvl"/>
    <s v="AllPub"/>
    <s v="Corner"/>
    <s v="Gtl"/>
    <x v="11"/>
    <x v="0"/>
    <s v="Norm"/>
    <x v="0"/>
    <x v="1"/>
    <n v="6"/>
    <n v="3"/>
    <x v="21"/>
    <n v="1968"/>
    <s v="Hip"/>
    <s v="CompShg"/>
    <s v="Wd Sdng"/>
    <s v="Wd Sdng"/>
    <s v="BrkFace"/>
    <n v="216"/>
    <s v="TA"/>
    <s v="TA"/>
    <s v="CBlock"/>
    <s v="Fa"/>
    <s v="Fa"/>
    <s v="No"/>
    <s v="Unf"/>
    <n v="0"/>
    <s v="Unf"/>
    <n v="0"/>
    <n v="1392"/>
    <n v="1392"/>
    <s v="GasA"/>
    <s v="Gd"/>
    <s v="Y"/>
    <s v="SBrkr"/>
    <n v="1392"/>
    <n v="0"/>
    <n v="0"/>
    <x v="189"/>
    <n v="1"/>
    <n v="0"/>
    <n v="1"/>
    <n v="0"/>
    <n v="2"/>
    <n v="1"/>
    <s v="TA"/>
    <n v="5"/>
    <s v="Maj2"/>
    <n v="2"/>
    <s v="TA"/>
    <s v="Attchd"/>
    <n v="1968"/>
    <s v="RFn"/>
    <n v="2"/>
    <n v="576"/>
    <s v="TA"/>
    <s v="TA"/>
    <s v="Y"/>
    <n v="0"/>
    <n v="0"/>
    <n v="240"/>
    <n v="0"/>
    <n v="0"/>
    <n v="0"/>
    <s v="NA"/>
    <s v="NA"/>
    <s v="NA"/>
    <n v="0"/>
    <n v="7"/>
    <n v="2009"/>
    <s v="WD"/>
    <s v="Normal"/>
    <n v="110000"/>
  </r>
  <r>
    <n v="664"/>
    <n v="85"/>
    <s v="RL"/>
    <n v="90"/>
    <n v="10012"/>
    <s v="Pave"/>
    <s v="NA"/>
    <s v="Reg"/>
    <s v="Lvl"/>
    <s v="AllPub"/>
    <s v="Inside"/>
    <s v="Gtl"/>
    <x v="15"/>
    <x v="0"/>
    <s v="Norm"/>
    <x v="0"/>
    <x v="4"/>
    <n v="4"/>
    <n v="5"/>
    <x v="41"/>
    <n v="1972"/>
    <s v="Gable"/>
    <s v="CompShg"/>
    <s v="Plywood"/>
    <s v="Plywood"/>
    <s v="None"/>
    <n v="0"/>
    <s v="TA"/>
    <s v="TA"/>
    <s v="CBlock"/>
    <s v="Gd"/>
    <s v="TA"/>
    <s v="Av"/>
    <s v="BLQ"/>
    <n v="920"/>
    <s v="Rec"/>
    <n v="180"/>
    <n v="38"/>
    <n v="1138"/>
    <s v="GasA"/>
    <s v="TA"/>
    <s v="Y"/>
    <s v="SBrkr"/>
    <n v="1181"/>
    <n v="0"/>
    <n v="0"/>
    <x v="507"/>
    <n v="1"/>
    <n v="0"/>
    <n v="2"/>
    <n v="0"/>
    <n v="3"/>
    <n v="1"/>
    <s v="TA"/>
    <n v="6"/>
    <s v="Typ"/>
    <n v="0"/>
    <s v="NA"/>
    <s v="Detchd"/>
    <n v="1974"/>
    <s v="RFn"/>
    <n v="2"/>
    <n v="588"/>
    <s v="TA"/>
    <s v="TA"/>
    <s v="Y"/>
    <n v="0"/>
    <n v="0"/>
    <n v="180"/>
    <n v="0"/>
    <n v="0"/>
    <n v="0"/>
    <s v="NA"/>
    <s v="MnPrv"/>
    <s v="NA"/>
    <n v="0"/>
    <n v="4"/>
    <n v="2008"/>
    <s v="WD"/>
    <s v="Normal"/>
    <n v="137500"/>
  </r>
  <r>
    <n v="665"/>
    <n v="20"/>
    <s v="RL"/>
    <n v="49"/>
    <n v="20896"/>
    <s v="Pave"/>
    <s v="NA"/>
    <s v="IR2"/>
    <s v="Lvl"/>
    <s v="AllPub"/>
    <s v="CulDSac"/>
    <s v="Gtl"/>
    <x v="5"/>
    <x v="6"/>
    <s v="Norm"/>
    <x v="0"/>
    <x v="1"/>
    <n v="8"/>
    <n v="5"/>
    <x v="11"/>
    <n v="2006"/>
    <s v="Gable"/>
    <s v="CompShg"/>
    <s v="VinylSd"/>
    <s v="VinylSd"/>
    <s v="None"/>
    <n v="0"/>
    <s v="Gd"/>
    <s v="TA"/>
    <s v="PConc"/>
    <s v="Ex"/>
    <s v="TA"/>
    <s v="Mn"/>
    <s v="GLQ"/>
    <n v="1721"/>
    <s v="Unf"/>
    <n v="0"/>
    <n v="356"/>
    <n v="2077"/>
    <s v="GasA"/>
    <s v="Ex"/>
    <s v="Y"/>
    <s v="SBrkr"/>
    <n v="2097"/>
    <n v="0"/>
    <n v="0"/>
    <x v="340"/>
    <n v="1"/>
    <n v="0"/>
    <n v="1"/>
    <n v="1"/>
    <n v="1"/>
    <n v="1"/>
    <s v="Ex"/>
    <n v="8"/>
    <s v="Typ"/>
    <n v="1"/>
    <s v="Ex"/>
    <s v="Attchd"/>
    <n v="2005"/>
    <s v="Fin"/>
    <n v="3"/>
    <n v="1134"/>
    <s v="TA"/>
    <s v="TA"/>
    <s v="Y"/>
    <n v="192"/>
    <n v="267"/>
    <n v="0"/>
    <n v="0"/>
    <n v="0"/>
    <n v="0"/>
    <s v="NA"/>
    <s v="NA"/>
    <s v="NA"/>
    <n v="0"/>
    <n v="1"/>
    <n v="2006"/>
    <s v="New"/>
    <s v="Partial"/>
    <n v="423000"/>
  </r>
  <r>
    <n v="666"/>
    <n v="60"/>
    <s v="RL"/>
    <n v="106"/>
    <n v="11194"/>
    <s v="Pave"/>
    <s v="NA"/>
    <s v="IR1"/>
    <s v="Lvl"/>
    <s v="AllPub"/>
    <s v="Corner"/>
    <s v="Gtl"/>
    <x v="17"/>
    <x v="0"/>
    <s v="Norm"/>
    <x v="0"/>
    <x v="0"/>
    <n v="8"/>
    <n v="5"/>
    <x v="4"/>
    <n v="2000"/>
    <s v="Gable"/>
    <s v="CompShg"/>
    <s v="VinylSd"/>
    <s v="VinylSd"/>
    <s v="BrkFace"/>
    <n v="40"/>
    <s v="Gd"/>
    <s v="TA"/>
    <s v="PConc"/>
    <s v="Gd"/>
    <s v="TA"/>
    <s v="No"/>
    <s v="Unf"/>
    <n v="0"/>
    <s v="Unf"/>
    <n v="0"/>
    <n v="1406"/>
    <n v="1406"/>
    <s v="GasA"/>
    <s v="Ex"/>
    <s v="Y"/>
    <s v="SBrkr"/>
    <n v="1454"/>
    <n v="482"/>
    <n v="0"/>
    <x v="508"/>
    <n v="0"/>
    <n v="0"/>
    <n v="2"/>
    <n v="1"/>
    <n v="3"/>
    <n v="1"/>
    <s v="Gd"/>
    <n v="7"/>
    <s v="Typ"/>
    <n v="1"/>
    <s v="TA"/>
    <s v="Attchd"/>
    <n v="2000"/>
    <s v="RFn"/>
    <n v="2"/>
    <n v="504"/>
    <s v="TA"/>
    <s v="TA"/>
    <s v="Y"/>
    <n v="188"/>
    <n v="124"/>
    <n v="0"/>
    <n v="0"/>
    <n v="0"/>
    <n v="0"/>
    <s v="NA"/>
    <s v="NA"/>
    <s v="NA"/>
    <n v="0"/>
    <n v="11"/>
    <n v="2006"/>
    <s v="WD"/>
    <s v="Normal"/>
    <n v="230500"/>
  </r>
  <r>
    <n v="667"/>
    <n v="60"/>
    <s v="RL"/>
    <s v="NA"/>
    <n v="18450"/>
    <s v="Pave"/>
    <s v="NA"/>
    <s v="IR1"/>
    <s v="Lvl"/>
    <s v="AllPub"/>
    <s v="Inside"/>
    <s v="Gtl"/>
    <x v="11"/>
    <x v="0"/>
    <s v="Norm"/>
    <x v="0"/>
    <x v="0"/>
    <n v="6"/>
    <n v="5"/>
    <x v="10"/>
    <n v="1979"/>
    <s v="Flat"/>
    <s v="Tar&amp;Grv"/>
    <s v="Plywood"/>
    <s v="Plywood"/>
    <s v="BrkCmn"/>
    <n v="113"/>
    <s v="TA"/>
    <s v="Gd"/>
    <s v="CBlock"/>
    <s v="Gd"/>
    <s v="TA"/>
    <s v="No"/>
    <s v="LwQ"/>
    <n v="187"/>
    <s v="Rec"/>
    <n v="723"/>
    <n v="111"/>
    <n v="1021"/>
    <s v="GasA"/>
    <s v="TA"/>
    <s v="Y"/>
    <s v="SBrkr"/>
    <n v="1465"/>
    <n v="915"/>
    <n v="0"/>
    <x v="509"/>
    <n v="0"/>
    <n v="0"/>
    <n v="2"/>
    <n v="1"/>
    <n v="3"/>
    <n v="1"/>
    <s v="TA"/>
    <n v="7"/>
    <s v="Sev"/>
    <n v="1"/>
    <s v="Po"/>
    <s v="CarPort"/>
    <n v="1965"/>
    <s v="Unf"/>
    <n v="2"/>
    <n v="596"/>
    <s v="TA"/>
    <s v="TA"/>
    <s v="Y"/>
    <n v="0"/>
    <n v="265"/>
    <n v="0"/>
    <n v="0"/>
    <n v="0"/>
    <n v="0"/>
    <s v="NA"/>
    <s v="NA"/>
    <s v="NA"/>
    <n v="0"/>
    <n v="8"/>
    <n v="2007"/>
    <s v="WD"/>
    <s v="Abnorml"/>
    <n v="129000"/>
  </r>
  <r>
    <n v="668"/>
    <n v="20"/>
    <s v="RL"/>
    <n v="65"/>
    <n v="8125"/>
    <s v="Pave"/>
    <s v="NA"/>
    <s v="Reg"/>
    <s v="Lvl"/>
    <s v="AllPub"/>
    <s v="Inside"/>
    <s v="Gtl"/>
    <x v="12"/>
    <x v="0"/>
    <s v="Norm"/>
    <x v="0"/>
    <x v="1"/>
    <n v="6"/>
    <n v="5"/>
    <x v="29"/>
    <n v="1998"/>
    <s v="Gable"/>
    <s v="CompShg"/>
    <s v="HdBoard"/>
    <s v="HdBoard"/>
    <s v="BrkFace"/>
    <n v="258"/>
    <s v="TA"/>
    <s v="TA"/>
    <s v="PConc"/>
    <s v="Gd"/>
    <s v="TA"/>
    <s v="No"/>
    <s v="GLQ"/>
    <n v="1138"/>
    <s v="Unf"/>
    <n v="0"/>
    <n v="270"/>
    <n v="1408"/>
    <s v="GasA"/>
    <s v="Ex"/>
    <s v="Y"/>
    <s v="SBrkr"/>
    <n v="1679"/>
    <n v="0"/>
    <n v="0"/>
    <x v="510"/>
    <n v="1"/>
    <n v="0"/>
    <n v="2"/>
    <n v="0"/>
    <n v="3"/>
    <n v="1"/>
    <s v="Gd"/>
    <n v="7"/>
    <s v="Typ"/>
    <n v="1"/>
    <s v="Fa"/>
    <s v="Attchd"/>
    <n v="1994"/>
    <s v="RFn"/>
    <n v="2"/>
    <n v="575"/>
    <s v="TA"/>
    <s v="TA"/>
    <s v="Y"/>
    <n v="224"/>
    <n v="42"/>
    <n v="0"/>
    <n v="0"/>
    <n v="0"/>
    <n v="0"/>
    <s v="NA"/>
    <s v="NA"/>
    <s v="NA"/>
    <n v="0"/>
    <n v="10"/>
    <n v="2008"/>
    <s v="WD"/>
    <s v="Normal"/>
    <n v="193500"/>
  </r>
  <r>
    <n v="669"/>
    <n v="20"/>
    <s v="RL"/>
    <s v="NA"/>
    <n v="14175"/>
    <s v="Pave"/>
    <s v="NA"/>
    <s v="Reg"/>
    <s v="Bnk"/>
    <s v="AllPub"/>
    <s v="Corner"/>
    <s v="Mod"/>
    <x v="9"/>
    <x v="0"/>
    <s v="Norm"/>
    <x v="0"/>
    <x v="1"/>
    <n v="5"/>
    <n v="6"/>
    <x v="46"/>
    <n v="1987"/>
    <s v="Gable"/>
    <s v="CompShg"/>
    <s v="CemntBd"/>
    <s v="Wd Sdng"/>
    <s v="None"/>
    <n v="0"/>
    <s v="TA"/>
    <s v="TA"/>
    <s v="CBlock"/>
    <s v="TA"/>
    <s v="TA"/>
    <s v="No"/>
    <s v="Rec"/>
    <n v="988"/>
    <s v="Unf"/>
    <n v="0"/>
    <n v="200"/>
    <n v="1188"/>
    <s v="GasA"/>
    <s v="Gd"/>
    <s v="Y"/>
    <s v="SBrkr"/>
    <n v="1437"/>
    <n v="0"/>
    <n v="0"/>
    <x v="511"/>
    <n v="1"/>
    <n v="0"/>
    <n v="1"/>
    <n v="1"/>
    <n v="3"/>
    <n v="1"/>
    <s v="TA"/>
    <n v="6"/>
    <s v="Min2"/>
    <n v="1"/>
    <s v="TA"/>
    <s v="Detchd"/>
    <n v="1999"/>
    <s v="Unf"/>
    <n v="2"/>
    <n v="576"/>
    <s v="TA"/>
    <s v="TA"/>
    <s v="Y"/>
    <n v="304"/>
    <n v="0"/>
    <n v="0"/>
    <n v="0"/>
    <n v="0"/>
    <n v="0"/>
    <s v="NA"/>
    <s v="NA"/>
    <s v="NA"/>
    <n v="0"/>
    <n v="11"/>
    <n v="2006"/>
    <s v="WD"/>
    <s v="Normal"/>
    <n v="168000"/>
  </r>
  <r>
    <n v="670"/>
    <n v="30"/>
    <s v="RL"/>
    <n v="80"/>
    <n v="11600"/>
    <s v="Pave"/>
    <s v="NA"/>
    <s v="Reg"/>
    <s v="Lvl"/>
    <s v="AllPub"/>
    <s v="Inside"/>
    <s v="Gtl"/>
    <x v="2"/>
    <x v="0"/>
    <s v="Norm"/>
    <x v="0"/>
    <x v="1"/>
    <n v="4"/>
    <n v="5"/>
    <x v="91"/>
    <n v="1950"/>
    <s v="Gable"/>
    <s v="CompShg"/>
    <s v="MetalSd"/>
    <s v="MetalSd"/>
    <s v="None"/>
    <n v="0"/>
    <s v="TA"/>
    <s v="TA"/>
    <s v="BrkTil"/>
    <s v="Fa"/>
    <s v="TA"/>
    <s v="No"/>
    <s v="Unf"/>
    <n v="0"/>
    <s v="Unf"/>
    <n v="0"/>
    <n v="700"/>
    <n v="700"/>
    <s v="GasA"/>
    <s v="Ex"/>
    <s v="Y"/>
    <s v="SBrkr"/>
    <n v="1180"/>
    <n v="0"/>
    <n v="0"/>
    <x v="512"/>
    <n v="0"/>
    <n v="0"/>
    <n v="1"/>
    <n v="0"/>
    <n v="2"/>
    <n v="1"/>
    <s v="Fa"/>
    <n v="5"/>
    <s v="Typ"/>
    <n v="1"/>
    <s v="Gd"/>
    <s v="Detchd"/>
    <n v="1922"/>
    <s v="Unf"/>
    <n v="1"/>
    <n v="252"/>
    <s v="TA"/>
    <s v="Fa"/>
    <s v="Y"/>
    <n v="0"/>
    <n v="0"/>
    <n v="67"/>
    <n v="0"/>
    <n v="0"/>
    <n v="0"/>
    <s v="NA"/>
    <s v="NA"/>
    <s v="NA"/>
    <n v="0"/>
    <n v="7"/>
    <n v="2006"/>
    <s v="WD"/>
    <s v="Normal"/>
    <n v="137500"/>
  </r>
  <r>
    <n v="671"/>
    <n v="60"/>
    <s v="RL"/>
    <n v="64"/>
    <n v="8633"/>
    <s v="Pave"/>
    <s v="NA"/>
    <s v="Reg"/>
    <s v="Lvl"/>
    <s v="AllPub"/>
    <s v="FR2"/>
    <s v="Gtl"/>
    <x v="0"/>
    <x v="0"/>
    <s v="Norm"/>
    <x v="0"/>
    <x v="0"/>
    <n v="6"/>
    <n v="5"/>
    <x v="11"/>
    <n v="2005"/>
    <s v="Gable"/>
    <s v="CompShg"/>
    <s v="VinylSd"/>
    <s v="VinylSd"/>
    <s v="None"/>
    <n v="0"/>
    <s v="Gd"/>
    <s v="TA"/>
    <s v="PConc"/>
    <s v="Gd"/>
    <s v="TA"/>
    <s v="No"/>
    <s v="GLQ"/>
    <n v="193"/>
    <s v="Unf"/>
    <n v="0"/>
    <n v="545"/>
    <n v="738"/>
    <s v="GasA"/>
    <s v="Ex"/>
    <s v="Y"/>
    <s v="SBrkr"/>
    <n v="738"/>
    <n v="738"/>
    <n v="0"/>
    <x v="513"/>
    <n v="1"/>
    <n v="0"/>
    <n v="2"/>
    <n v="1"/>
    <n v="3"/>
    <n v="1"/>
    <s v="Gd"/>
    <n v="7"/>
    <s v="Typ"/>
    <n v="0"/>
    <s v="NA"/>
    <s v="Attchd"/>
    <n v="2005"/>
    <s v="Fin"/>
    <n v="2"/>
    <n v="540"/>
    <s v="TA"/>
    <s v="TA"/>
    <s v="Y"/>
    <n v="100"/>
    <n v="35"/>
    <n v="0"/>
    <n v="0"/>
    <n v="0"/>
    <n v="0"/>
    <s v="NA"/>
    <s v="NA"/>
    <s v="NA"/>
    <n v="0"/>
    <n v="2"/>
    <n v="2009"/>
    <s v="WD"/>
    <s v="Normal"/>
    <n v="173500"/>
  </r>
  <r>
    <n v="672"/>
    <n v="70"/>
    <s v="RH"/>
    <n v="54"/>
    <n v="6629"/>
    <s v="Pave"/>
    <s v="NA"/>
    <s v="Reg"/>
    <s v="Lvl"/>
    <s v="AllPub"/>
    <s v="Inside"/>
    <s v="Gtl"/>
    <x v="15"/>
    <x v="3"/>
    <s v="Norm"/>
    <x v="0"/>
    <x v="0"/>
    <n v="6"/>
    <n v="6"/>
    <x v="82"/>
    <n v="1950"/>
    <s v="Gambrel"/>
    <s v="CompShg"/>
    <s v="Wd Sdng"/>
    <s v="Wd Sdng"/>
    <s v="None"/>
    <n v="0"/>
    <s v="TA"/>
    <s v="Gd"/>
    <s v="BrkTil"/>
    <s v="TA"/>
    <s v="TA"/>
    <s v="No"/>
    <s v="BLQ"/>
    <n v="551"/>
    <s v="Unf"/>
    <n v="0"/>
    <n v="121"/>
    <n v="672"/>
    <s v="GasA"/>
    <s v="TA"/>
    <s v="N"/>
    <s v="SBrkr"/>
    <n v="697"/>
    <n v="672"/>
    <n v="0"/>
    <x v="514"/>
    <n v="1"/>
    <n v="0"/>
    <n v="2"/>
    <n v="0"/>
    <n v="3"/>
    <n v="1"/>
    <s v="TA"/>
    <n v="6"/>
    <s v="Typ"/>
    <n v="0"/>
    <s v="NA"/>
    <s v="Detchd"/>
    <n v="1930"/>
    <s v="Unf"/>
    <n v="1"/>
    <n v="300"/>
    <s v="TA"/>
    <s v="TA"/>
    <s v="Y"/>
    <n v="147"/>
    <n v="0"/>
    <n v="0"/>
    <n v="0"/>
    <n v="0"/>
    <n v="0"/>
    <s v="NA"/>
    <s v="NA"/>
    <s v="NA"/>
    <n v="0"/>
    <n v="7"/>
    <n v="2009"/>
    <s v="WD"/>
    <s v="Normal"/>
    <n v="103600"/>
  </r>
  <r>
    <n v="673"/>
    <n v="20"/>
    <s v="RL"/>
    <s v="NA"/>
    <n v="11250"/>
    <s v="Pave"/>
    <s v="NA"/>
    <s v="IR1"/>
    <s v="Lvl"/>
    <s v="AllPub"/>
    <s v="Inside"/>
    <s v="Gtl"/>
    <x v="1"/>
    <x v="0"/>
    <s v="Norm"/>
    <x v="0"/>
    <x v="1"/>
    <n v="6"/>
    <n v="6"/>
    <x v="54"/>
    <n v="1977"/>
    <s v="Gable"/>
    <s v="CompShg"/>
    <s v="Plywood"/>
    <s v="Plywood"/>
    <s v="None"/>
    <n v="0"/>
    <s v="Gd"/>
    <s v="TA"/>
    <s v="CBlock"/>
    <s v="Gd"/>
    <s v="TA"/>
    <s v="No"/>
    <s v="ALQ"/>
    <n v="767"/>
    <s v="Unf"/>
    <n v="0"/>
    <n v="441"/>
    <n v="1208"/>
    <s v="GasA"/>
    <s v="TA"/>
    <s v="Y"/>
    <s v="SBrkr"/>
    <n v="1208"/>
    <n v="0"/>
    <n v="0"/>
    <x v="349"/>
    <n v="1"/>
    <n v="0"/>
    <n v="1"/>
    <n v="1"/>
    <n v="3"/>
    <n v="1"/>
    <s v="TA"/>
    <n v="6"/>
    <s v="Typ"/>
    <n v="1"/>
    <s v="TA"/>
    <s v="Attchd"/>
    <n v="1977"/>
    <s v="RFn"/>
    <n v="2"/>
    <n v="546"/>
    <s v="TA"/>
    <s v="TA"/>
    <s v="Y"/>
    <n v="198"/>
    <n v="42"/>
    <n v="0"/>
    <n v="0"/>
    <n v="0"/>
    <n v="0"/>
    <s v="NA"/>
    <s v="NA"/>
    <s v="NA"/>
    <n v="0"/>
    <n v="6"/>
    <n v="2006"/>
    <s v="WD"/>
    <s v="Normal"/>
    <n v="165000"/>
  </r>
  <r>
    <n v="674"/>
    <n v="20"/>
    <s v="RL"/>
    <n v="110"/>
    <n v="14442"/>
    <s v="Pave"/>
    <s v="NA"/>
    <s v="Reg"/>
    <s v="Lvl"/>
    <s v="AllPub"/>
    <s v="Inside"/>
    <s v="Gtl"/>
    <x v="2"/>
    <x v="0"/>
    <s v="Norm"/>
    <x v="0"/>
    <x v="1"/>
    <n v="6"/>
    <n v="7"/>
    <x v="24"/>
    <n v="2004"/>
    <s v="Hip"/>
    <s v="CompShg"/>
    <s v="CemntBd"/>
    <s v="CmentBd"/>
    <s v="BrkFace"/>
    <n v="106"/>
    <s v="TA"/>
    <s v="TA"/>
    <s v="PConc"/>
    <s v="TA"/>
    <s v="TA"/>
    <s v="No"/>
    <s v="GLQ"/>
    <n v="1186"/>
    <s v="Unf"/>
    <n v="0"/>
    <n v="291"/>
    <n v="1477"/>
    <s v="GasA"/>
    <s v="Ex"/>
    <s v="Y"/>
    <s v="SBrkr"/>
    <n v="1839"/>
    <n v="0"/>
    <n v="0"/>
    <x v="500"/>
    <n v="1"/>
    <n v="0"/>
    <n v="2"/>
    <n v="0"/>
    <n v="3"/>
    <n v="1"/>
    <s v="Gd"/>
    <n v="7"/>
    <s v="Typ"/>
    <n v="2"/>
    <s v="TA"/>
    <s v="Attchd"/>
    <n v="1957"/>
    <s v="Fin"/>
    <n v="2"/>
    <n v="416"/>
    <s v="TA"/>
    <s v="TA"/>
    <s v="Y"/>
    <n v="0"/>
    <n v="87"/>
    <n v="0"/>
    <n v="0"/>
    <n v="200"/>
    <n v="0"/>
    <s v="NA"/>
    <s v="NA"/>
    <s v="NA"/>
    <n v="0"/>
    <n v="6"/>
    <n v="2007"/>
    <s v="WD"/>
    <s v="Normal"/>
    <n v="257500"/>
  </r>
  <r>
    <n v="675"/>
    <n v="20"/>
    <s v="RL"/>
    <n v="80"/>
    <n v="9200"/>
    <s v="Pave"/>
    <s v="NA"/>
    <s v="Reg"/>
    <s v="Lvl"/>
    <s v="AllPub"/>
    <s v="Inside"/>
    <s v="Gtl"/>
    <x v="11"/>
    <x v="0"/>
    <s v="Norm"/>
    <x v="0"/>
    <x v="1"/>
    <n v="6"/>
    <n v="6"/>
    <x v="10"/>
    <n v="1965"/>
    <s v="Gable"/>
    <s v="CompShg"/>
    <s v="HdBoard"/>
    <s v="HdBoard"/>
    <s v="None"/>
    <n v="0"/>
    <s v="TA"/>
    <s v="TA"/>
    <s v="CBlock"/>
    <s v="TA"/>
    <s v="TA"/>
    <s v="No"/>
    <s v="Rec"/>
    <n v="892"/>
    <s v="Unf"/>
    <n v="0"/>
    <n v="244"/>
    <n v="1136"/>
    <s v="GasA"/>
    <s v="TA"/>
    <s v="Y"/>
    <s v="SBrkr"/>
    <n v="1136"/>
    <n v="0"/>
    <n v="0"/>
    <x v="515"/>
    <n v="1"/>
    <n v="0"/>
    <n v="1"/>
    <n v="0"/>
    <n v="3"/>
    <n v="1"/>
    <s v="TA"/>
    <n v="5"/>
    <s v="Typ"/>
    <n v="1"/>
    <s v="Gd"/>
    <s v="Attchd"/>
    <n v="1965"/>
    <s v="RFn"/>
    <n v="1"/>
    <n v="384"/>
    <s v="TA"/>
    <s v="TA"/>
    <s v="Y"/>
    <n v="426"/>
    <n v="0"/>
    <n v="0"/>
    <n v="0"/>
    <n v="0"/>
    <n v="0"/>
    <s v="NA"/>
    <s v="NA"/>
    <s v="NA"/>
    <n v="0"/>
    <n v="7"/>
    <n v="2008"/>
    <s v="WD"/>
    <s v="Normal"/>
    <n v="140000"/>
  </r>
  <r>
    <n v="676"/>
    <n v="160"/>
    <s v="RL"/>
    <n v="24"/>
    <n v="2289"/>
    <s v="Pave"/>
    <s v="NA"/>
    <s v="Reg"/>
    <s v="Lvl"/>
    <s v="AllPub"/>
    <s v="Inside"/>
    <s v="Gtl"/>
    <x v="20"/>
    <x v="0"/>
    <s v="Norm"/>
    <x v="4"/>
    <x v="0"/>
    <n v="6"/>
    <n v="6"/>
    <x v="90"/>
    <n v="1978"/>
    <s v="Gable"/>
    <s v="CompShg"/>
    <s v="Plywood"/>
    <s v="Brk Cmn"/>
    <s v="None"/>
    <n v="0"/>
    <s v="TA"/>
    <s v="TA"/>
    <s v="CBlock"/>
    <s v="TA"/>
    <s v="TA"/>
    <s v="No"/>
    <s v="ALQ"/>
    <n v="311"/>
    <s v="Unf"/>
    <n v="0"/>
    <n v="544"/>
    <n v="855"/>
    <s v="GasA"/>
    <s v="TA"/>
    <s v="Y"/>
    <s v="SBrkr"/>
    <n v="855"/>
    <n v="586"/>
    <n v="0"/>
    <x v="516"/>
    <n v="0"/>
    <n v="0"/>
    <n v="2"/>
    <n v="1"/>
    <n v="3"/>
    <n v="1"/>
    <s v="TA"/>
    <n v="7"/>
    <s v="Typ"/>
    <n v="1"/>
    <s v="TA"/>
    <s v="Attchd"/>
    <n v="1978"/>
    <s v="Unf"/>
    <n v="2"/>
    <n v="440"/>
    <s v="TA"/>
    <s v="TA"/>
    <s v="Y"/>
    <n v="28"/>
    <n v="0"/>
    <n v="0"/>
    <n v="0"/>
    <n v="0"/>
    <n v="0"/>
    <s v="NA"/>
    <s v="NA"/>
    <s v="NA"/>
    <n v="0"/>
    <n v="4"/>
    <n v="2009"/>
    <s v="WD"/>
    <s v="Normal"/>
    <n v="148500"/>
  </r>
  <r>
    <n v="677"/>
    <n v="70"/>
    <s v="RM"/>
    <n v="60"/>
    <n v="9600"/>
    <s v="Pave"/>
    <s v="Grvl"/>
    <s v="Reg"/>
    <s v="Lvl"/>
    <s v="AllPub"/>
    <s v="Inside"/>
    <s v="Gtl"/>
    <x v="7"/>
    <x v="0"/>
    <s v="Norm"/>
    <x v="0"/>
    <x v="0"/>
    <n v="4"/>
    <n v="2"/>
    <x v="83"/>
    <n v="1950"/>
    <s v="Gable"/>
    <s v="CompShg"/>
    <s v="AsbShng"/>
    <s v="Stucco"/>
    <s v="None"/>
    <n v="0"/>
    <s v="TA"/>
    <s v="TA"/>
    <s v="BrkTil"/>
    <s v="TA"/>
    <s v="Fa"/>
    <s v="No"/>
    <s v="Unf"/>
    <n v="0"/>
    <s v="Unf"/>
    <n v="0"/>
    <n v="1095"/>
    <n v="1095"/>
    <s v="GasW"/>
    <s v="Fa"/>
    <s v="N"/>
    <s v="SBrkr"/>
    <n v="1095"/>
    <n v="679"/>
    <n v="0"/>
    <x v="8"/>
    <n v="1"/>
    <n v="0"/>
    <n v="2"/>
    <n v="0"/>
    <n v="4"/>
    <n v="2"/>
    <s v="TA"/>
    <n v="8"/>
    <s v="Min2"/>
    <n v="0"/>
    <s v="NA"/>
    <s v="2Types"/>
    <n v="1920"/>
    <s v="Unf"/>
    <n v="3"/>
    <n v="779"/>
    <s v="Fa"/>
    <s v="Fa"/>
    <s v="N"/>
    <n v="0"/>
    <n v="0"/>
    <n v="90"/>
    <n v="0"/>
    <n v="0"/>
    <n v="0"/>
    <s v="NA"/>
    <s v="NA"/>
    <s v="NA"/>
    <n v="0"/>
    <n v="5"/>
    <n v="2006"/>
    <s v="WD"/>
    <s v="Normal"/>
    <n v="87000"/>
  </r>
  <r>
    <n v="678"/>
    <n v="30"/>
    <s v="RL"/>
    <n v="52"/>
    <n v="9022"/>
    <s v="Pave"/>
    <s v="NA"/>
    <s v="Reg"/>
    <s v="Lvl"/>
    <s v="AllPub"/>
    <s v="Inside"/>
    <s v="Gtl"/>
    <x v="7"/>
    <x v="0"/>
    <s v="Norm"/>
    <x v="0"/>
    <x v="1"/>
    <n v="5"/>
    <n v="8"/>
    <x v="67"/>
    <n v="2006"/>
    <s v="Gable"/>
    <s v="CompShg"/>
    <s v="VinylSd"/>
    <s v="VinylSd"/>
    <s v="None"/>
    <n v="0"/>
    <s v="Gd"/>
    <s v="TA"/>
    <s v="BrkTil"/>
    <s v="TA"/>
    <s v="TA"/>
    <s v="No"/>
    <s v="Unf"/>
    <n v="0"/>
    <s v="Unf"/>
    <n v="0"/>
    <n v="768"/>
    <n v="768"/>
    <s v="GasA"/>
    <s v="Ex"/>
    <s v="Y"/>
    <s v="SBrkr"/>
    <n v="792"/>
    <n v="0"/>
    <n v="0"/>
    <x v="517"/>
    <n v="0"/>
    <n v="0"/>
    <n v="1"/>
    <n v="0"/>
    <n v="2"/>
    <n v="1"/>
    <s v="Gd"/>
    <n v="5"/>
    <s v="Typ"/>
    <n v="0"/>
    <s v="NA"/>
    <s v="Detchd"/>
    <n v="1924"/>
    <s v="Unf"/>
    <n v="1"/>
    <n v="240"/>
    <s v="Fa"/>
    <s v="Fa"/>
    <s v="N"/>
    <n v="316"/>
    <n v="0"/>
    <n v="120"/>
    <n v="0"/>
    <n v="0"/>
    <n v="0"/>
    <s v="NA"/>
    <s v="NA"/>
    <s v="NA"/>
    <n v="0"/>
    <n v="5"/>
    <n v="2009"/>
    <s v="WD"/>
    <s v="Normal"/>
    <n v="109500"/>
  </r>
  <r>
    <n v="679"/>
    <n v="20"/>
    <s v="RL"/>
    <n v="80"/>
    <n v="11844"/>
    <s v="Pave"/>
    <s v="NA"/>
    <s v="IR1"/>
    <s v="Lvl"/>
    <s v="AllPub"/>
    <s v="Inside"/>
    <s v="Gtl"/>
    <x v="18"/>
    <x v="0"/>
    <s v="Norm"/>
    <x v="0"/>
    <x v="1"/>
    <n v="8"/>
    <n v="5"/>
    <x v="74"/>
    <n v="2008"/>
    <s v="Hip"/>
    <s v="CompShg"/>
    <s v="VinylSd"/>
    <s v="VinylSd"/>
    <s v="Stone"/>
    <n v="464"/>
    <s v="Gd"/>
    <s v="TA"/>
    <s v="PConc"/>
    <s v="Ex"/>
    <s v="TA"/>
    <s v="Mn"/>
    <s v="Unf"/>
    <n v="0"/>
    <s v="Unf"/>
    <n v="0"/>
    <n v="2046"/>
    <n v="2046"/>
    <s v="GasA"/>
    <s v="Ex"/>
    <s v="Y"/>
    <s v="SBrkr"/>
    <n v="2046"/>
    <n v="0"/>
    <n v="0"/>
    <x v="438"/>
    <n v="0"/>
    <n v="0"/>
    <n v="2"/>
    <n v="1"/>
    <n v="3"/>
    <n v="1"/>
    <s v="Gd"/>
    <n v="7"/>
    <s v="Typ"/>
    <n v="1"/>
    <s v="Gd"/>
    <s v="Attchd"/>
    <n v="2008"/>
    <s v="Fin"/>
    <n v="3"/>
    <n v="834"/>
    <s v="TA"/>
    <s v="TA"/>
    <s v="Y"/>
    <n v="322"/>
    <n v="82"/>
    <n v="0"/>
    <n v="0"/>
    <n v="0"/>
    <n v="0"/>
    <s v="NA"/>
    <s v="NA"/>
    <s v="NA"/>
    <n v="0"/>
    <n v="7"/>
    <n v="2009"/>
    <s v="New"/>
    <s v="Partial"/>
    <n v="372500"/>
  </r>
  <r>
    <n v="680"/>
    <n v="20"/>
    <s v="RL"/>
    <s v="NA"/>
    <n v="9945"/>
    <s v="Pave"/>
    <s v="NA"/>
    <s v="IR1"/>
    <s v="Lvl"/>
    <s v="AllPub"/>
    <s v="Inside"/>
    <s v="Gtl"/>
    <x v="9"/>
    <x v="0"/>
    <s v="Norm"/>
    <x v="0"/>
    <x v="1"/>
    <n v="5"/>
    <n v="5"/>
    <x v="53"/>
    <n v="1961"/>
    <s v="Hip"/>
    <s v="CompShg"/>
    <s v="Wd Sdng"/>
    <s v="Wd Sdng"/>
    <s v="BrkFace"/>
    <n v="57"/>
    <s v="TA"/>
    <s v="TA"/>
    <s v="CBlock"/>
    <s v="TA"/>
    <s v="TA"/>
    <s v="No"/>
    <s v="Rec"/>
    <n v="827"/>
    <s v="Unf"/>
    <n v="0"/>
    <n v="161"/>
    <n v="988"/>
    <s v="GasA"/>
    <s v="TA"/>
    <s v="Y"/>
    <s v="SBrkr"/>
    <n v="988"/>
    <n v="0"/>
    <n v="0"/>
    <x v="72"/>
    <n v="1"/>
    <n v="0"/>
    <n v="1"/>
    <n v="0"/>
    <n v="3"/>
    <n v="1"/>
    <s v="TA"/>
    <n v="5"/>
    <s v="Typ"/>
    <n v="0"/>
    <s v="NA"/>
    <s v="Detchd"/>
    <n v="1963"/>
    <s v="Unf"/>
    <n v="2"/>
    <n v="572"/>
    <s v="TA"/>
    <s v="TA"/>
    <s v="Y"/>
    <n v="0"/>
    <n v="0"/>
    <n v="0"/>
    <n v="0"/>
    <n v="0"/>
    <n v="0"/>
    <s v="NA"/>
    <s v="NA"/>
    <s v="NA"/>
    <n v="0"/>
    <n v="10"/>
    <n v="2007"/>
    <s v="WD"/>
    <s v="Normal"/>
    <n v="128500"/>
  </r>
  <r>
    <n v="681"/>
    <n v="120"/>
    <s v="RL"/>
    <n v="50"/>
    <n v="8012"/>
    <s v="Pave"/>
    <s v="NA"/>
    <s v="Reg"/>
    <s v="Lvl"/>
    <s v="AllPub"/>
    <s v="Inside"/>
    <s v="Gtl"/>
    <x v="12"/>
    <x v="0"/>
    <s v="Norm"/>
    <x v="3"/>
    <x v="1"/>
    <n v="6"/>
    <n v="5"/>
    <x v="84"/>
    <n v="1980"/>
    <s v="Gable"/>
    <s v="CompShg"/>
    <s v="Plywood"/>
    <s v="Plywood"/>
    <s v="None"/>
    <n v="0"/>
    <s v="TA"/>
    <s v="TA"/>
    <s v="CBlock"/>
    <s v="Gd"/>
    <s v="TA"/>
    <s v="No"/>
    <s v="BLQ"/>
    <n v="543"/>
    <s v="BLQ"/>
    <n v="119"/>
    <n v="261"/>
    <n v="923"/>
    <s v="GasA"/>
    <s v="TA"/>
    <s v="Y"/>
    <s v="SBrkr"/>
    <n v="923"/>
    <n v="0"/>
    <n v="0"/>
    <x v="518"/>
    <n v="0"/>
    <n v="0"/>
    <n v="2"/>
    <n v="0"/>
    <n v="2"/>
    <n v="1"/>
    <s v="TA"/>
    <n v="5"/>
    <s v="Typ"/>
    <n v="1"/>
    <s v="TA"/>
    <s v="Attchd"/>
    <n v="1980"/>
    <s v="RFn"/>
    <n v="1"/>
    <n v="264"/>
    <s v="TA"/>
    <s v="TA"/>
    <s v="Y"/>
    <n v="80"/>
    <n v="0"/>
    <n v="0"/>
    <n v="0"/>
    <n v="0"/>
    <n v="0"/>
    <s v="NA"/>
    <s v="NA"/>
    <s v="NA"/>
    <n v="0"/>
    <n v="5"/>
    <n v="2010"/>
    <s v="WD"/>
    <s v="Normal"/>
    <n v="143000"/>
  </r>
  <r>
    <n v="682"/>
    <n v="50"/>
    <s v="RH"/>
    <n v="55"/>
    <n v="4500"/>
    <s v="Pave"/>
    <s v="Pave"/>
    <s v="IR2"/>
    <s v="Bnk"/>
    <s v="AllPub"/>
    <s v="Inside"/>
    <s v="Gtl"/>
    <x v="23"/>
    <x v="0"/>
    <s v="Norm"/>
    <x v="0"/>
    <x v="2"/>
    <n v="5"/>
    <n v="5"/>
    <x v="78"/>
    <n v="2000"/>
    <s v="Gable"/>
    <s v="CompShg"/>
    <s v="VinylSd"/>
    <s v="Stucco"/>
    <s v="None"/>
    <n v="0"/>
    <s v="TA"/>
    <s v="TA"/>
    <s v="BrkTil"/>
    <s v="TA"/>
    <s v="TA"/>
    <s v="No"/>
    <s v="Rec"/>
    <n v="182"/>
    <s v="Unf"/>
    <n v="0"/>
    <n v="611"/>
    <n v="793"/>
    <s v="GasA"/>
    <s v="Ex"/>
    <s v="Y"/>
    <s v="SBrkr"/>
    <n v="848"/>
    <n v="672"/>
    <n v="0"/>
    <x v="484"/>
    <n v="0"/>
    <n v="0"/>
    <n v="1"/>
    <n v="0"/>
    <n v="3"/>
    <n v="1"/>
    <s v="TA"/>
    <n v="6"/>
    <s v="Typ"/>
    <n v="0"/>
    <s v="NA"/>
    <s v="Detchd"/>
    <n v="1968"/>
    <s v="Unf"/>
    <n v="1"/>
    <n v="281"/>
    <s v="TA"/>
    <s v="TA"/>
    <s v="Y"/>
    <n v="0"/>
    <n v="0"/>
    <n v="56"/>
    <n v="0"/>
    <n v="0"/>
    <n v="0"/>
    <s v="NA"/>
    <s v="NA"/>
    <s v="NA"/>
    <n v="0"/>
    <n v="7"/>
    <n v="2009"/>
    <s v="WD"/>
    <s v="Abnorml"/>
    <n v="159434"/>
  </r>
  <r>
    <n v="683"/>
    <n v="120"/>
    <s v="RL"/>
    <s v="NA"/>
    <n v="2887"/>
    <s v="Pave"/>
    <s v="NA"/>
    <s v="Reg"/>
    <s v="HLS"/>
    <s v="AllPub"/>
    <s v="Inside"/>
    <s v="Gtl"/>
    <x v="19"/>
    <x v="0"/>
    <s v="Norm"/>
    <x v="0"/>
    <x v="1"/>
    <n v="6"/>
    <n v="5"/>
    <x v="92"/>
    <n v="1997"/>
    <s v="Gable"/>
    <s v="CompShg"/>
    <s v="Wd Sdng"/>
    <s v="Wd Sdng"/>
    <s v="None"/>
    <n v="0"/>
    <s v="TA"/>
    <s v="TA"/>
    <s v="PConc"/>
    <s v="Gd"/>
    <s v="TA"/>
    <s v="Mn"/>
    <s v="GLQ"/>
    <n v="1003"/>
    <s v="Unf"/>
    <n v="0"/>
    <n v="288"/>
    <n v="1291"/>
    <s v="GasA"/>
    <s v="Ex"/>
    <s v="Y"/>
    <s v="SBrkr"/>
    <n v="1291"/>
    <n v="0"/>
    <n v="0"/>
    <x v="519"/>
    <n v="1"/>
    <n v="0"/>
    <n v="1"/>
    <n v="0"/>
    <n v="2"/>
    <n v="1"/>
    <s v="Gd"/>
    <n v="6"/>
    <s v="Typ"/>
    <n v="1"/>
    <s v="Gd"/>
    <s v="Attchd"/>
    <n v="1996"/>
    <s v="Unf"/>
    <n v="2"/>
    <n v="431"/>
    <s v="TA"/>
    <s v="TA"/>
    <s v="Y"/>
    <n v="307"/>
    <n v="0"/>
    <n v="0"/>
    <n v="0"/>
    <n v="0"/>
    <n v="0"/>
    <s v="NA"/>
    <s v="NA"/>
    <s v="NA"/>
    <n v="0"/>
    <n v="11"/>
    <n v="2008"/>
    <s v="WD"/>
    <s v="Normal"/>
    <n v="173000"/>
  </r>
  <r>
    <n v="684"/>
    <n v="20"/>
    <s v="RL"/>
    <n v="90"/>
    <n v="11248"/>
    <s v="Pave"/>
    <s v="NA"/>
    <s v="IR1"/>
    <s v="Lvl"/>
    <s v="AllPub"/>
    <s v="Corner"/>
    <s v="Gtl"/>
    <x v="0"/>
    <x v="0"/>
    <s v="Norm"/>
    <x v="0"/>
    <x v="1"/>
    <n v="9"/>
    <n v="5"/>
    <x v="20"/>
    <n v="2002"/>
    <s v="Hip"/>
    <s v="CompShg"/>
    <s v="VinylSd"/>
    <s v="VinylSd"/>
    <s v="Stone"/>
    <n v="215"/>
    <s v="Gd"/>
    <s v="TA"/>
    <s v="PConc"/>
    <s v="Gd"/>
    <s v="TA"/>
    <s v="Av"/>
    <s v="GLQ"/>
    <n v="1059"/>
    <s v="Unf"/>
    <n v="0"/>
    <n v="567"/>
    <n v="1626"/>
    <s v="GasA"/>
    <s v="Ex"/>
    <s v="Y"/>
    <s v="SBrkr"/>
    <n v="1668"/>
    <n v="0"/>
    <n v="0"/>
    <x v="216"/>
    <n v="1"/>
    <n v="0"/>
    <n v="2"/>
    <n v="0"/>
    <n v="3"/>
    <n v="1"/>
    <s v="Gd"/>
    <n v="7"/>
    <s v="Typ"/>
    <n v="1"/>
    <s v="TA"/>
    <s v="Attchd"/>
    <n v="2002"/>
    <s v="Fin"/>
    <n v="3"/>
    <n v="702"/>
    <s v="TA"/>
    <s v="TA"/>
    <s v="Y"/>
    <n v="257"/>
    <n v="45"/>
    <n v="0"/>
    <n v="0"/>
    <n v="0"/>
    <n v="0"/>
    <s v="NA"/>
    <s v="NA"/>
    <s v="NA"/>
    <n v="0"/>
    <n v="7"/>
    <n v="2007"/>
    <s v="WD"/>
    <s v="Normal"/>
    <n v="285000"/>
  </r>
  <r>
    <n v="685"/>
    <n v="60"/>
    <s v="RL"/>
    <n v="58"/>
    <n v="16770"/>
    <s v="Pave"/>
    <s v="NA"/>
    <s v="IR2"/>
    <s v="Lvl"/>
    <s v="AllPub"/>
    <s v="CulDSac"/>
    <s v="Gtl"/>
    <x v="3"/>
    <x v="0"/>
    <s v="Norm"/>
    <x v="0"/>
    <x v="0"/>
    <n v="7"/>
    <n v="5"/>
    <x v="45"/>
    <n v="1998"/>
    <s v="Gable"/>
    <s v="CompShg"/>
    <s v="VinylSd"/>
    <s v="VinylSd"/>
    <s v="BrkFace"/>
    <n v="30"/>
    <s v="Gd"/>
    <s v="TA"/>
    <s v="PConc"/>
    <s v="Gd"/>
    <s v="TA"/>
    <s v="No"/>
    <s v="Unf"/>
    <n v="0"/>
    <s v="Unf"/>
    <n v="0"/>
    <n v="1195"/>
    <n v="1195"/>
    <s v="GasA"/>
    <s v="Gd"/>
    <s v="Y"/>
    <s v="SBrkr"/>
    <n v="1195"/>
    <n v="644"/>
    <n v="0"/>
    <x v="500"/>
    <n v="0"/>
    <n v="0"/>
    <n v="2"/>
    <n v="1"/>
    <n v="4"/>
    <n v="1"/>
    <s v="TA"/>
    <n v="7"/>
    <s v="Typ"/>
    <n v="0"/>
    <s v="NA"/>
    <s v="Attchd"/>
    <n v="1998"/>
    <s v="Fin"/>
    <n v="2"/>
    <n v="486"/>
    <s v="TA"/>
    <s v="TA"/>
    <s v="Y"/>
    <n v="0"/>
    <n v="81"/>
    <n v="0"/>
    <n v="0"/>
    <n v="0"/>
    <n v="0"/>
    <s v="NA"/>
    <s v="NA"/>
    <s v="NA"/>
    <n v="0"/>
    <n v="6"/>
    <n v="2010"/>
    <s v="WD"/>
    <s v="Normal"/>
    <n v="221000"/>
  </r>
  <r>
    <n v="686"/>
    <n v="160"/>
    <s v="RL"/>
    <s v="NA"/>
    <n v="5062"/>
    <s v="Pave"/>
    <s v="NA"/>
    <s v="IR1"/>
    <s v="Lvl"/>
    <s v="AllPub"/>
    <s v="CulDSac"/>
    <s v="Gtl"/>
    <x v="18"/>
    <x v="0"/>
    <s v="Norm"/>
    <x v="3"/>
    <x v="0"/>
    <n v="7"/>
    <n v="5"/>
    <x v="68"/>
    <n v="1984"/>
    <s v="Gable"/>
    <s v="CompShg"/>
    <s v="HdBoard"/>
    <s v="HdBoard"/>
    <s v="None"/>
    <n v="0"/>
    <s v="Gd"/>
    <s v="TA"/>
    <s v="CBlock"/>
    <s v="Gd"/>
    <s v="TA"/>
    <s v="Mn"/>
    <s v="GLQ"/>
    <n v="828"/>
    <s v="LwQ"/>
    <n v="182"/>
    <n v="180"/>
    <n v="1190"/>
    <s v="GasA"/>
    <s v="Gd"/>
    <s v="Y"/>
    <s v="SBrkr"/>
    <n v="1190"/>
    <n v="900"/>
    <n v="0"/>
    <x v="7"/>
    <n v="1"/>
    <n v="0"/>
    <n v="2"/>
    <n v="0"/>
    <n v="3"/>
    <n v="1"/>
    <s v="Gd"/>
    <n v="6"/>
    <s v="Min1"/>
    <n v="1"/>
    <s v="TA"/>
    <s v="Attchd"/>
    <n v="1984"/>
    <s v="Fin"/>
    <n v="2"/>
    <n v="577"/>
    <s v="TA"/>
    <s v="TA"/>
    <s v="Y"/>
    <n v="219"/>
    <n v="0"/>
    <n v="0"/>
    <n v="0"/>
    <n v="0"/>
    <n v="0"/>
    <s v="NA"/>
    <s v="NA"/>
    <s v="NA"/>
    <n v="0"/>
    <n v="9"/>
    <n v="2007"/>
    <s v="WD"/>
    <s v="Normal"/>
    <n v="207500"/>
  </r>
  <r>
    <n v="687"/>
    <n v="60"/>
    <s v="FV"/>
    <n v="84"/>
    <n v="10207"/>
    <s v="Pave"/>
    <s v="NA"/>
    <s v="Reg"/>
    <s v="Lvl"/>
    <s v="AllPub"/>
    <s v="Inside"/>
    <s v="Gtl"/>
    <x v="5"/>
    <x v="0"/>
    <s v="Norm"/>
    <x v="0"/>
    <x v="0"/>
    <n v="7"/>
    <n v="6"/>
    <x v="22"/>
    <n v="2007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74"/>
    <n v="874"/>
    <s v="GasA"/>
    <s v="Ex"/>
    <s v="Y"/>
    <s v="SBrkr"/>
    <n v="874"/>
    <n v="887"/>
    <n v="0"/>
    <x v="520"/>
    <n v="0"/>
    <n v="0"/>
    <n v="3"/>
    <n v="0"/>
    <n v="3"/>
    <n v="1"/>
    <s v="Gd"/>
    <n v="7"/>
    <s v="Typ"/>
    <n v="0"/>
    <s v="NA"/>
    <s v="Attchd"/>
    <n v="2007"/>
    <s v="Fin"/>
    <n v="2"/>
    <n v="578"/>
    <s v="TA"/>
    <s v="TA"/>
    <s v="Y"/>
    <n v="144"/>
    <n v="105"/>
    <n v="0"/>
    <n v="0"/>
    <n v="0"/>
    <n v="0"/>
    <s v="NA"/>
    <s v="NA"/>
    <s v="NA"/>
    <n v="0"/>
    <n v="8"/>
    <n v="2007"/>
    <s v="New"/>
    <s v="Partial"/>
    <n v="227875"/>
  </r>
  <r>
    <n v="688"/>
    <n v="160"/>
    <s v="FV"/>
    <s v="NA"/>
    <n v="5105"/>
    <s v="Pave"/>
    <s v="NA"/>
    <s v="IR2"/>
    <s v="Lvl"/>
    <s v="AllPub"/>
    <s v="FR2"/>
    <s v="Gtl"/>
    <x v="5"/>
    <x v="0"/>
    <s v="Norm"/>
    <x v="3"/>
    <x v="0"/>
    <n v="7"/>
    <n v="5"/>
    <x v="6"/>
    <n v="2004"/>
    <s v="Gable"/>
    <s v="CompShg"/>
    <s v="MetalSd"/>
    <s v="MetalSd"/>
    <s v="None"/>
    <n v="0"/>
    <s v="Gd"/>
    <s v="TA"/>
    <s v="PConc"/>
    <s v="Gd"/>
    <s v="TA"/>
    <s v="No"/>
    <s v="GLQ"/>
    <n v="239"/>
    <s v="Unf"/>
    <n v="0"/>
    <n v="312"/>
    <n v="551"/>
    <s v="GasA"/>
    <s v="Ex"/>
    <s v="Y"/>
    <s v="SBrkr"/>
    <n v="551"/>
    <n v="551"/>
    <n v="0"/>
    <x v="521"/>
    <n v="0"/>
    <n v="0"/>
    <n v="2"/>
    <n v="1"/>
    <n v="2"/>
    <n v="1"/>
    <s v="Gd"/>
    <n v="4"/>
    <s v="Typ"/>
    <n v="0"/>
    <s v="NA"/>
    <s v="Detchd"/>
    <n v="2004"/>
    <s v="Unf"/>
    <n v="2"/>
    <n v="480"/>
    <s v="TA"/>
    <s v="TA"/>
    <s v="Y"/>
    <n v="0"/>
    <n v="60"/>
    <n v="0"/>
    <n v="0"/>
    <n v="0"/>
    <n v="0"/>
    <s v="NA"/>
    <s v="NA"/>
    <s v="NA"/>
    <n v="0"/>
    <n v="3"/>
    <n v="2007"/>
    <s v="WD"/>
    <s v="Normal"/>
    <n v="148800"/>
  </r>
  <r>
    <n v="689"/>
    <n v="20"/>
    <s v="RL"/>
    <n v="60"/>
    <n v="8089"/>
    <s v="Pave"/>
    <s v="NA"/>
    <s v="Reg"/>
    <s v="HLS"/>
    <s v="AllPub"/>
    <s v="Inside"/>
    <s v="Gtl"/>
    <x v="18"/>
    <x v="0"/>
    <s v="Norm"/>
    <x v="0"/>
    <x v="1"/>
    <n v="8"/>
    <n v="6"/>
    <x v="22"/>
    <n v="2007"/>
    <s v="Gable"/>
    <s v="CompShg"/>
    <s v="MetalSd"/>
    <s v="MetalSd"/>
    <s v="BrkFace"/>
    <n v="0"/>
    <s v="Gd"/>
    <s v="TA"/>
    <s v="PConc"/>
    <s v="Gd"/>
    <s v="TA"/>
    <s v="Av"/>
    <s v="GLQ"/>
    <n v="945"/>
    <s v="Unf"/>
    <n v="0"/>
    <n v="474"/>
    <n v="1419"/>
    <s v="GasA"/>
    <s v="Ex"/>
    <s v="Y"/>
    <s v="SBrkr"/>
    <n v="1419"/>
    <n v="0"/>
    <n v="0"/>
    <x v="522"/>
    <n v="1"/>
    <n v="0"/>
    <n v="2"/>
    <n v="0"/>
    <n v="2"/>
    <n v="1"/>
    <s v="Gd"/>
    <n v="7"/>
    <s v="Typ"/>
    <n v="1"/>
    <s v="Gd"/>
    <s v="Attchd"/>
    <n v="2007"/>
    <s v="RFn"/>
    <n v="2"/>
    <n v="567"/>
    <s v="TA"/>
    <s v="TA"/>
    <s v="Y"/>
    <n v="140"/>
    <n v="0"/>
    <n v="0"/>
    <n v="0"/>
    <n v="0"/>
    <n v="0"/>
    <s v="NA"/>
    <s v="NA"/>
    <s v="NA"/>
    <n v="0"/>
    <n v="10"/>
    <n v="2007"/>
    <s v="New"/>
    <s v="Partial"/>
    <n v="392000"/>
  </r>
  <r>
    <n v="690"/>
    <n v="120"/>
    <s v="RL"/>
    <n v="61"/>
    <n v="7577"/>
    <s v="Pave"/>
    <s v="NA"/>
    <s v="IR1"/>
    <s v="Lvl"/>
    <s v="AllPub"/>
    <s v="Corner"/>
    <s v="Gtl"/>
    <x v="10"/>
    <x v="0"/>
    <s v="Norm"/>
    <x v="3"/>
    <x v="1"/>
    <n v="6"/>
    <n v="5"/>
    <x v="11"/>
    <n v="2006"/>
    <s v="Gable"/>
    <s v="CompShg"/>
    <s v="VinylSd"/>
    <s v="VinylSd"/>
    <s v="Stone"/>
    <n v="256"/>
    <s v="Gd"/>
    <s v="TA"/>
    <s v="PConc"/>
    <s v="Gd"/>
    <s v="TA"/>
    <s v="Av"/>
    <s v="ALQ"/>
    <n v="20"/>
    <s v="Unf"/>
    <n v="0"/>
    <n v="1342"/>
    <n v="1362"/>
    <s v="GasA"/>
    <s v="Ex"/>
    <s v="Y"/>
    <s v="SBrkr"/>
    <n v="1362"/>
    <n v="0"/>
    <n v="0"/>
    <x v="5"/>
    <n v="0"/>
    <n v="0"/>
    <n v="2"/>
    <n v="0"/>
    <n v="2"/>
    <n v="1"/>
    <s v="Gd"/>
    <n v="6"/>
    <s v="Typ"/>
    <n v="1"/>
    <s v="Gd"/>
    <s v="Attchd"/>
    <n v="2005"/>
    <s v="RFn"/>
    <n v="2"/>
    <n v="460"/>
    <s v="TA"/>
    <s v="TA"/>
    <s v="Y"/>
    <n v="192"/>
    <n v="28"/>
    <n v="0"/>
    <n v="0"/>
    <n v="0"/>
    <n v="0"/>
    <s v="NA"/>
    <s v="NA"/>
    <s v="NA"/>
    <n v="0"/>
    <n v="6"/>
    <n v="2007"/>
    <s v="WD"/>
    <s v="Normal"/>
    <n v="194700"/>
  </r>
  <r>
    <n v="691"/>
    <n v="120"/>
    <s v="RM"/>
    <s v="NA"/>
    <n v="4426"/>
    <s v="Pave"/>
    <s v="NA"/>
    <s v="Reg"/>
    <s v="Lvl"/>
    <s v="AllPub"/>
    <s v="Inside"/>
    <s v="Gtl"/>
    <x v="0"/>
    <x v="0"/>
    <s v="Norm"/>
    <x v="3"/>
    <x v="1"/>
    <n v="6"/>
    <n v="5"/>
    <x v="6"/>
    <n v="2004"/>
    <s v="Gable"/>
    <s v="CompShg"/>
    <s v="VinylSd"/>
    <s v="VinylSd"/>
    <s v="BrkFace"/>
    <n v="147"/>
    <s v="Gd"/>
    <s v="TA"/>
    <s v="PConc"/>
    <s v="Gd"/>
    <s v="TA"/>
    <s v="Gd"/>
    <s v="GLQ"/>
    <n v="697"/>
    <s v="Unf"/>
    <n v="0"/>
    <n v="151"/>
    <n v="848"/>
    <s v="GasA"/>
    <s v="Ex"/>
    <s v="Y"/>
    <s v="SBrkr"/>
    <n v="848"/>
    <n v="0"/>
    <n v="0"/>
    <x v="182"/>
    <n v="1"/>
    <n v="0"/>
    <n v="1"/>
    <n v="0"/>
    <n v="1"/>
    <n v="1"/>
    <s v="Gd"/>
    <n v="3"/>
    <s v="Typ"/>
    <n v="1"/>
    <s v="TA"/>
    <s v="Attchd"/>
    <n v="2004"/>
    <s v="RFn"/>
    <n v="2"/>
    <n v="420"/>
    <s v="TA"/>
    <s v="TA"/>
    <s v="Y"/>
    <n v="149"/>
    <n v="0"/>
    <n v="0"/>
    <n v="0"/>
    <n v="0"/>
    <n v="0"/>
    <s v="NA"/>
    <s v="NA"/>
    <s v="NA"/>
    <n v="0"/>
    <n v="5"/>
    <n v="2008"/>
    <s v="WD"/>
    <s v="Normal"/>
    <n v="141000"/>
  </r>
  <r>
    <n v="692"/>
    <n v="60"/>
    <s v="RL"/>
    <n v="104"/>
    <n v="21535"/>
    <s v="Pave"/>
    <s v="NA"/>
    <s v="IR1"/>
    <s v="Lvl"/>
    <s v="AllPub"/>
    <s v="Corner"/>
    <s v="Gtl"/>
    <x v="3"/>
    <x v="0"/>
    <s v="Norm"/>
    <x v="0"/>
    <x v="0"/>
    <n v="10"/>
    <n v="6"/>
    <x v="29"/>
    <n v="1995"/>
    <s v="Gable"/>
    <s v="WdShngl"/>
    <s v="HdBoard"/>
    <s v="HdBoard"/>
    <s v="BrkFace"/>
    <n v="1170"/>
    <s v="Ex"/>
    <s v="TA"/>
    <s v="PConc"/>
    <s v="Ex"/>
    <s v="TA"/>
    <s v="Gd"/>
    <s v="GLQ"/>
    <n v="1455"/>
    <s v="Unf"/>
    <n v="0"/>
    <n v="989"/>
    <n v="2444"/>
    <s v="GasA"/>
    <s v="Ex"/>
    <s v="Y"/>
    <s v="SBrkr"/>
    <n v="2444"/>
    <n v="1872"/>
    <n v="0"/>
    <x v="523"/>
    <n v="0"/>
    <n v="1"/>
    <n v="3"/>
    <n v="1"/>
    <n v="4"/>
    <n v="1"/>
    <s v="Ex"/>
    <n v="10"/>
    <s v="Typ"/>
    <n v="2"/>
    <s v="Ex"/>
    <s v="Attchd"/>
    <n v="1994"/>
    <s v="Fin"/>
    <n v="3"/>
    <n v="832"/>
    <s v="TA"/>
    <s v="TA"/>
    <s v="Y"/>
    <n v="382"/>
    <n v="50"/>
    <n v="0"/>
    <n v="0"/>
    <n v="0"/>
    <n v="0"/>
    <s v="NA"/>
    <s v="NA"/>
    <s v="NA"/>
    <n v="0"/>
    <n v="1"/>
    <n v="2007"/>
    <s v="WD"/>
    <s v="Normal"/>
    <n v="755000"/>
  </r>
  <r>
    <n v="693"/>
    <n v="60"/>
    <s v="RL"/>
    <n v="42"/>
    <n v="26178"/>
    <s v="Pave"/>
    <s v="NA"/>
    <s v="IR1"/>
    <s v="Lvl"/>
    <s v="AllPub"/>
    <s v="Inside"/>
    <s v="Mod"/>
    <x v="16"/>
    <x v="0"/>
    <s v="Norm"/>
    <x v="0"/>
    <x v="0"/>
    <n v="7"/>
    <n v="5"/>
    <x v="85"/>
    <n v="1990"/>
    <s v="Hip"/>
    <s v="CompShg"/>
    <s v="MetalSd"/>
    <s v="MetalSd"/>
    <s v="BrkFace"/>
    <n v="293"/>
    <s v="Gd"/>
    <s v="TA"/>
    <s v="PConc"/>
    <s v="Gd"/>
    <s v="TA"/>
    <s v="Gd"/>
    <s v="GLQ"/>
    <n v="965"/>
    <s v="Unf"/>
    <n v="0"/>
    <n v="245"/>
    <n v="1210"/>
    <s v="GasA"/>
    <s v="Ex"/>
    <s v="Y"/>
    <s v="SBrkr"/>
    <n v="1238"/>
    <n v="1281"/>
    <n v="0"/>
    <x v="524"/>
    <n v="1"/>
    <n v="0"/>
    <n v="2"/>
    <n v="1"/>
    <n v="4"/>
    <n v="1"/>
    <s v="Gd"/>
    <n v="9"/>
    <s v="Typ"/>
    <n v="2"/>
    <s v="Gd"/>
    <s v="Attchd"/>
    <n v="1989"/>
    <s v="RFn"/>
    <n v="2"/>
    <n v="628"/>
    <s v="TA"/>
    <s v="TA"/>
    <s v="Y"/>
    <n v="320"/>
    <n v="27"/>
    <n v="0"/>
    <n v="0"/>
    <n v="0"/>
    <n v="0"/>
    <s v="NA"/>
    <s v="NA"/>
    <s v="NA"/>
    <n v="0"/>
    <n v="4"/>
    <n v="2006"/>
    <s v="WD"/>
    <s v="Normal"/>
    <n v="335000"/>
  </r>
  <r>
    <n v="694"/>
    <n v="30"/>
    <s v="RL"/>
    <n v="60"/>
    <n v="5400"/>
    <s v="Pave"/>
    <s v="NA"/>
    <s v="Reg"/>
    <s v="Lvl"/>
    <s v="AllPub"/>
    <s v="Corner"/>
    <s v="Sev"/>
    <x v="7"/>
    <x v="0"/>
    <s v="Norm"/>
    <x v="0"/>
    <x v="1"/>
    <n v="5"/>
    <n v="6"/>
    <x v="42"/>
    <n v="1968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1073"/>
    <n v="1073"/>
    <s v="GasA"/>
    <s v="Ex"/>
    <s v="Y"/>
    <s v="SBrkr"/>
    <n v="1073"/>
    <n v="0"/>
    <n v="0"/>
    <x v="390"/>
    <n v="0"/>
    <n v="0"/>
    <n v="1"/>
    <n v="0"/>
    <n v="2"/>
    <n v="1"/>
    <s v="TA"/>
    <n v="4"/>
    <s v="Typ"/>
    <n v="0"/>
    <s v="NA"/>
    <s v="Detchd"/>
    <n v="1968"/>
    <s v="Unf"/>
    <n v="1"/>
    <n v="326"/>
    <s v="TA"/>
    <s v="TA"/>
    <s v="Y"/>
    <n v="0"/>
    <n v="0"/>
    <n v="112"/>
    <n v="0"/>
    <n v="0"/>
    <n v="0"/>
    <s v="NA"/>
    <s v="NA"/>
    <s v="NA"/>
    <n v="0"/>
    <n v="12"/>
    <n v="2006"/>
    <s v="WD"/>
    <s v="Abnorml"/>
    <n v="108480"/>
  </r>
  <r>
    <n v="695"/>
    <n v="50"/>
    <s v="RM"/>
    <n v="51"/>
    <n v="6120"/>
    <s v="Pave"/>
    <s v="NA"/>
    <s v="Reg"/>
    <s v="Lvl"/>
    <s v="AllPub"/>
    <s v="Corner"/>
    <s v="Gtl"/>
    <x v="8"/>
    <x v="0"/>
    <s v="Norm"/>
    <x v="0"/>
    <x v="2"/>
    <n v="5"/>
    <n v="6"/>
    <x v="65"/>
    <n v="1950"/>
    <s v="Gable"/>
    <s v="CompShg"/>
    <s v="Wd Sdng"/>
    <s v="Wd Sdng"/>
    <s v="None"/>
    <n v="0"/>
    <s v="TA"/>
    <s v="Fa"/>
    <s v="BrkTil"/>
    <s v="TA"/>
    <s v="TA"/>
    <s v="No"/>
    <s v="Unf"/>
    <n v="0"/>
    <s v="Unf"/>
    <n v="0"/>
    <n v="927"/>
    <n v="927"/>
    <s v="GasA"/>
    <s v="TA"/>
    <s v="Y"/>
    <s v="SBrkr"/>
    <n v="1067"/>
    <n v="472"/>
    <n v="0"/>
    <x v="525"/>
    <n v="0"/>
    <n v="0"/>
    <n v="1"/>
    <n v="1"/>
    <n v="3"/>
    <n v="1"/>
    <s v="TA"/>
    <n v="5"/>
    <s v="Typ"/>
    <n v="0"/>
    <s v="NA"/>
    <s v="Detchd"/>
    <n v="1995"/>
    <s v="Unf"/>
    <n v="2"/>
    <n v="576"/>
    <s v="TA"/>
    <s v="TA"/>
    <s v="Y"/>
    <n v="112"/>
    <n v="0"/>
    <n v="0"/>
    <n v="0"/>
    <n v="0"/>
    <n v="0"/>
    <s v="NA"/>
    <s v="MnPrv"/>
    <s v="NA"/>
    <n v="0"/>
    <n v="4"/>
    <n v="2009"/>
    <s v="WD"/>
    <s v="Normal"/>
    <n v="141500"/>
  </r>
  <r>
    <n v="696"/>
    <n v="20"/>
    <s v="RL"/>
    <n v="54"/>
    <n v="13811"/>
    <s v="Pave"/>
    <s v="NA"/>
    <s v="IR1"/>
    <s v="Lvl"/>
    <s v="AllPub"/>
    <s v="Inside"/>
    <s v="Gtl"/>
    <x v="16"/>
    <x v="0"/>
    <s v="Norm"/>
    <x v="0"/>
    <x v="1"/>
    <n v="6"/>
    <n v="6"/>
    <x v="72"/>
    <n v="1987"/>
    <s v="Gable"/>
    <s v="CompShg"/>
    <s v="HdBoard"/>
    <s v="HdBoard"/>
    <s v="BrkFace"/>
    <n v="72"/>
    <s v="TA"/>
    <s v="TA"/>
    <s v="CBlock"/>
    <s v="Gd"/>
    <s v="Gd"/>
    <s v="No"/>
    <s v="GLQ"/>
    <n v="980"/>
    <s v="LwQ"/>
    <n v="40"/>
    <n v="92"/>
    <n v="1112"/>
    <s v="GasA"/>
    <s v="Gd"/>
    <s v="Y"/>
    <s v="SBrkr"/>
    <n v="1137"/>
    <n v="0"/>
    <n v="0"/>
    <x v="526"/>
    <n v="1"/>
    <n v="0"/>
    <n v="2"/>
    <n v="0"/>
    <n v="2"/>
    <n v="1"/>
    <s v="Gd"/>
    <n v="5"/>
    <s v="Typ"/>
    <n v="1"/>
    <s v="TA"/>
    <s v="Attchd"/>
    <n v="1987"/>
    <s v="Unf"/>
    <n v="2"/>
    <n v="551"/>
    <s v="TA"/>
    <s v="TA"/>
    <s v="Y"/>
    <n v="125"/>
    <n v="0"/>
    <n v="0"/>
    <n v="0"/>
    <n v="0"/>
    <n v="0"/>
    <s v="NA"/>
    <s v="NA"/>
    <s v="NA"/>
    <n v="0"/>
    <n v="7"/>
    <n v="2006"/>
    <s v="WD"/>
    <s v="Normal"/>
    <n v="176000"/>
  </r>
  <r>
    <n v="697"/>
    <n v="30"/>
    <s v="RM"/>
    <n v="50"/>
    <n v="6000"/>
    <s v="Pave"/>
    <s v="NA"/>
    <s v="Reg"/>
    <s v="Lvl"/>
    <s v="AllPub"/>
    <s v="Inside"/>
    <s v="Gtl"/>
    <x v="8"/>
    <x v="0"/>
    <s v="Norm"/>
    <x v="0"/>
    <x v="1"/>
    <n v="5"/>
    <n v="7"/>
    <x v="42"/>
    <n v="1950"/>
    <s v="Gable"/>
    <s v="CompShg"/>
    <s v="Wd Sdng"/>
    <s v="Wd Shng"/>
    <s v="None"/>
    <n v="0"/>
    <s v="TA"/>
    <s v="TA"/>
    <s v="CBlock"/>
    <s v="TA"/>
    <s v="TA"/>
    <s v="No"/>
    <s v="LwQ"/>
    <n v="616"/>
    <s v="Unf"/>
    <n v="0"/>
    <n v="0"/>
    <n v="616"/>
    <s v="GasA"/>
    <s v="Gd"/>
    <s v="Y"/>
    <s v="SBrkr"/>
    <n v="616"/>
    <n v="0"/>
    <n v="0"/>
    <x v="527"/>
    <n v="0"/>
    <n v="0"/>
    <n v="1"/>
    <n v="0"/>
    <n v="2"/>
    <n v="1"/>
    <s v="TA"/>
    <n v="4"/>
    <s v="Typ"/>
    <n v="0"/>
    <s v="NA"/>
    <s v="Detchd"/>
    <n v="1921"/>
    <s v="Unf"/>
    <n v="1"/>
    <n v="205"/>
    <s v="TA"/>
    <s v="TA"/>
    <s v="Y"/>
    <n v="0"/>
    <n v="0"/>
    <n v="129"/>
    <n v="0"/>
    <n v="0"/>
    <n v="0"/>
    <s v="NA"/>
    <s v="NA"/>
    <s v="NA"/>
    <n v="0"/>
    <n v="6"/>
    <n v="2006"/>
    <s v="WD"/>
    <s v="Normal"/>
    <n v="89000"/>
  </r>
  <r>
    <n v="698"/>
    <n v="20"/>
    <s v="RL"/>
    <n v="57"/>
    <n v="6420"/>
    <s v="Pave"/>
    <s v="NA"/>
    <s v="IR1"/>
    <s v="Lvl"/>
    <s v="AllPub"/>
    <s v="Inside"/>
    <s v="Gtl"/>
    <x v="15"/>
    <x v="0"/>
    <s v="Norm"/>
    <x v="0"/>
    <x v="1"/>
    <n v="5"/>
    <n v="7"/>
    <x v="64"/>
    <n v="1952"/>
    <s v="Gable"/>
    <s v="CompShg"/>
    <s v="Wd Sdng"/>
    <s v="Wd Sdng"/>
    <s v="None"/>
    <n v="0"/>
    <s v="TA"/>
    <s v="TA"/>
    <s v="PConc"/>
    <s v="Ex"/>
    <s v="Gd"/>
    <s v="Mn"/>
    <s v="LwQ"/>
    <n v="210"/>
    <s v="ALQ"/>
    <n v="551"/>
    <n v="219"/>
    <n v="980"/>
    <s v="GasA"/>
    <s v="Fa"/>
    <s v="Y"/>
    <s v="FuseA"/>
    <n v="1148"/>
    <n v="0"/>
    <n v="0"/>
    <x v="528"/>
    <n v="0"/>
    <n v="1"/>
    <n v="1"/>
    <n v="0"/>
    <n v="2"/>
    <n v="1"/>
    <s v="TA"/>
    <n v="6"/>
    <s v="Typ"/>
    <n v="0"/>
    <s v="NA"/>
    <s v="Detchd"/>
    <n v="1952"/>
    <s v="Unf"/>
    <n v="1"/>
    <n v="308"/>
    <s v="TA"/>
    <s v="TA"/>
    <s v="Y"/>
    <n v="0"/>
    <n v="0"/>
    <n v="0"/>
    <n v="0"/>
    <n v="0"/>
    <n v="0"/>
    <s v="NA"/>
    <s v="NA"/>
    <s v="NA"/>
    <n v="0"/>
    <n v="9"/>
    <n v="2006"/>
    <s v="WD"/>
    <s v="Normal"/>
    <n v="123500"/>
  </r>
  <r>
    <n v="699"/>
    <n v="20"/>
    <s v="RL"/>
    <n v="65"/>
    <n v="8450"/>
    <s v="Pave"/>
    <s v="NA"/>
    <s v="Reg"/>
    <s v="Lvl"/>
    <s v="AllPub"/>
    <s v="Inside"/>
    <s v="Gtl"/>
    <x v="9"/>
    <x v="4"/>
    <s v="Norm"/>
    <x v="0"/>
    <x v="1"/>
    <n v="5"/>
    <n v="8"/>
    <x v="10"/>
    <n v="2009"/>
    <s v="Gable"/>
    <s v="CompShg"/>
    <s v="MetalSd"/>
    <s v="MetalSd"/>
    <s v="None"/>
    <n v="0"/>
    <s v="TA"/>
    <s v="Gd"/>
    <s v="CBlock"/>
    <s v="TA"/>
    <s v="TA"/>
    <s v="No"/>
    <s v="GLQ"/>
    <n v="553"/>
    <s v="BLQ"/>
    <n v="117"/>
    <n v="224"/>
    <n v="894"/>
    <s v="GasA"/>
    <s v="Ex"/>
    <s v="Y"/>
    <s v="SBrkr"/>
    <n v="894"/>
    <n v="0"/>
    <n v="0"/>
    <x v="204"/>
    <n v="1"/>
    <n v="0"/>
    <n v="1"/>
    <n v="0"/>
    <n v="3"/>
    <n v="1"/>
    <s v="TA"/>
    <n v="5"/>
    <s v="Typ"/>
    <n v="1"/>
    <s v="Gd"/>
    <s v="Detchd"/>
    <n v="1973"/>
    <s v="Unf"/>
    <n v="1"/>
    <n v="336"/>
    <s v="TA"/>
    <s v="TA"/>
    <s v="Y"/>
    <n v="416"/>
    <n v="144"/>
    <n v="0"/>
    <n v="0"/>
    <n v="0"/>
    <n v="0"/>
    <s v="NA"/>
    <s v="MnPrv"/>
    <s v="NA"/>
    <n v="0"/>
    <n v="4"/>
    <n v="2010"/>
    <s v="WD"/>
    <s v="Normal"/>
    <n v="138500"/>
  </r>
  <r>
    <n v="700"/>
    <n v="120"/>
    <s v="FV"/>
    <n v="59"/>
    <n v="4282"/>
    <s v="Pave"/>
    <s v="Pave"/>
    <s v="IR2"/>
    <s v="Lvl"/>
    <s v="AllPub"/>
    <s v="Inside"/>
    <s v="Gtl"/>
    <x v="5"/>
    <x v="0"/>
    <s v="Norm"/>
    <x v="3"/>
    <x v="1"/>
    <n v="7"/>
    <n v="5"/>
    <x v="6"/>
    <n v="2004"/>
    <s v="Gable"/>
    <s v="CompShg"/>
    <s v="MetalSd"/>
    <s v="MetalSd"/>
    <s v="None"/>
    <n v="0"/>
    <s v="Gd"/>
    <s v="TA"/>
    <s v="PConc"/>
    <s v="Gd"/>
    <s v="TA"/>
    <s v="Mn"/>
    <s v="GLQ"/>
    <n v="16"/>
    <s v="Unf"/>
    <n v="0"/>
    <n v="1375"/>
    <n v="1391"/>
    <s v="GasA"/>
    <s v="Ex"/>
    <s v="Y"/>
    <s v="SBrkr"/>
    <n v="1391"/>
    <n v="0"/>
    <n v="0"/>
    <x v="529"/>
    <n v="0"/>
    <n v="0"/>
    <n v="2"/>
    <n v="0"/>
    <n v="2"/>
    <n v="1"/>
    <s v="Gd"/>
    <n v="5"/>
    <s v="Typ"/>
    <n v="0"/>
    <s v="NA"/>
    <s v="Attchd"/>
    <n v="2004"/>
    <s v="RFn"/>
    <n v="2"/>
    <n v="530"/>
    <s v="TA"/>
    <s v="TA"/>
    <s v="Y"/>
    <n v="156"/>
    <n v="158"/>
    <n v="0"/>
    <n v="0"/>
    <n v="0"/>
    <n v="0"/>
    <s v="NA"/>
    <s v="NA"/>
    <s v="NA"/>
    <n v="0"/>
    <n v="7"/>
    <n v="2008"/>
    <s v="WD"/>
    <s v="Normal"/>
    <n v="196000"/>
  </r>
  <r>
    <n v="701"/>
    <n v="20"/>
    <s v="RL"/>
    <n v="85"/>
    <n v="14331"/>
    <s v="Pave"/>
    <s v="NA"/>
    <s v="Reg"/>
    <s v="Lvl"/>
    <s v="AllPub"/>
    <s v="Inside"/>
    <s v="Gtl"/>
    <x v="16"/>
    <x v="0"/>
    <s v="Norm"/>
    <x v="0"/>
    <x v="1"/>
    <n v="8"/>
    <n v="5"/>
    <x v="20"/>
    <n v="2002"/>
    <s v="Hip"/>
    <s v="CompShg"/>
    <s v="VinylSd"/>
    <s v="VinylSd"/>
    <s v="BrkFace"/>
    <n v="630"/>
    <s v="Gd"/>
    <s v="TA"/>
    <s v="PConc"/>
    <s v="Ex"/>
    <s v="TA"/>
    <s v="Gd"/>
    <s v="GLQ"/>
    <n v="1274"/>
    <s v="Unf"/>
    <n v="0"/>
    <n v="526"/>
    <n v="1800"/>
    <s v="GasA"/>
    <s v="Ex"/>
    <s v="Y"/>
    <s v="SBrkr"/>
    <n v="1800"/>
    <n v="0"/>
    <n v="0"/>
    <x v="314"/>
    <n v="1"/>
    <n v="0"/>
    <n v="2"/>
    <n v="0"/>
    <n v="3"/>
    <n v="1"/>
    <s v="Gd"/>
    <n v="7"/>
    <s v="Typ"/>
    <n v="1"/>
    <s v="Gd"/>
    <s v="Attchd"/>
    <n v="2002"/>
    <s v="Fin"/>
    <n v="3"/>
    <n v="765"/>
    <s v="TA"/>
    <s v="TA"/>
    <s v="Y"/>
    <n v="270"/>
    <n v="78"/>
    <n v="0"/>
    <n v="0"/>
    <n v="0"/>
    <n v="0"/>
    <s v="NA"/>
    <s v="NA"/>
    <s v="NA"/>
    <n v="0"/>
    <n v="5"/>
    <n v="2006"/>
    <s v="WD"/>
    <s v="Normal"/>
    <n v="312500"/>
  </r>
  <r>
    <n v="702"/>
    <n v="20"/>
    <s v="RL"/>
    <n v="80"/>
    <n v="9600"/>
    <s v="Pave"/>
    <s v="NA"/>
    <s v="Reg"/>
    <s v="Lvl"/>
    <s v="AllPub"/>
    <s v="Inside"/>
    <s v="Gtl"/>
    <x v="6"/>
    <x v="0"/>
    <s v="Norm"/>
    <x v="0"/>
    <x v="1"/>
    <n v="7"/>
    <n v="5"/>
    <x v="60"/>
    <n v="1969"/>
    <s v="Hip"/>
    <s v="CompShg"/>
    <s v="HdBoard"/>
    <s v="HdBoard"/>
    <s v="BrkFace"/>
    <n v="168"/>
    <s v="TA"/>
    <s v="TA"/>
    <s v="CBlock"/>
    <s v="TA"/>
    <s v="TA"/>
    <s v="No"/>
    <s v="Unf"/>
    <n v="0"/>
    <s v="Unf"/>
    <n v="0"/>
    <n v="1164"/>
    <n v="1164"/>
    <s v="GasA"/>
    <s v="TA"/>
    <s v="Y"/>
    <s v="SBrkr"/>
    <n v="1164"/>
    <n v="0"/>
    <n v="0"/>
    <x v="530"/>
    <n v="0"/>
    <n v="0"/>
    <n v="1"/>
    <n v="1"/>
    <n v="3"/>
    <n v="1"/>
    <s v="TA"/>
    <n v="6"/>
    <s v="Typ"/>
    <n v="0"/>
    <s v="NA"/>
    <s v="Attchd"/>
    <n v="1969"/>
    <s v="Unf"/>
    <n v="2"/>
    <n v="528"/>
    <s v="TA"/>
    <s v="TA"/>
    <s v="Y"/>
    <n v="0"/>
    <n v="0"/>
    <n v="0"/>
    <n v="0"/>
    <n v="0"/>
    <n v="0"/>
    <s v="NA"/>
    <s v="NA"/>
    <s v="NA"/>
    <n v="0"/>
    <n v="7"/>
    <n v="2006"/>
    <s v="COD"/>
    <s v="Normal"/>
    <n v="140000"/>
  </r>
  <r>
    <n v="703"/>
    <n v="60"/>
    <s v="RL"/>
    <n v="82"/>
    <n v="12438"/>
    <s v="Pave"/>
    <s v="NA"/>
    <s v="IR1"/>
    <s v="Lvl"/>
    <s v="AllPub"/>
    <s v="Inside"/>
    <s v="Gtl"/>
    <x v="18"/>
    <x v="0"/>
    <s v="Norm"/>
    <x v="0"/>
    <x v="0"/>
    <n v="8"/>
    <n v="5"/>
    <x v="13"/>
    <n v="2006"/>
    <s v="Hip"/>
    <s v="CompShg"/>
    <s v="VinylSd"/>
    <s v="VinylSd"/>
    <s v="BrkFace"/>
    <n v="466"/>
    <s v="Ex"/>
    <s v="TA"/>
    <s v="PConc"/>
    <s v="Ex"/>
    <s v="Gd"/>
    <s v="No"/>
    <s v="Unf"/>
    <n v="0"/>
    <s v="Unf"/>
    <n v="0"/>
    <n v="1234"/>
    <n v="1234"/>
    <s v="GasA"/>
    <s v="Ex"/>
    <s v="Y"/>
    <s v="SBrkr"/>
    <n v="1264"/>
    <n v="1312"/>
    <n v="0"/>
    <x v="531"/>
    <n v="0"/>
    <n v="0"/>
    <n v="2"/>
    <n v="1"/>
    <n v="4"/>
    <n v="1"/>
    <s v="Ex"/>
    <n v="10"/>
    <s v="Typ"/>
    <n v="1"/>
    <s v="Gd"/>
    <s v="BuiltIn"/>
    <n v="2006"/>
    <s v="Fin"/>
    <n v="3"/>
    <n v="666"/>
    <s v="TA"/>
    <s v="TA"/>
    <s v="Y"/>
    <n v="324"/>
    <n v="100"/>
    <n v="0"/>
    <n v="0"/>
    <n v="0"/>
    <n v="0"/>
    <s v="NA"/>
    <s v="NA"/>
    <s v="NA"/>
    <n v="0"/>
    <n v="7"/>
    <n v="2006"/>
    <s v="New"/>
    <s v="Partial"/>
    <n v="361919"/>
  </r>
  <r>
    <n v="704"/>
    <n v="190"/>
    <s v="RM"/>
    <n v="76"/>
    <n v="7630"/>
    <s v="Pave"/>
    <s v="NA"/>
    <s v="Reg"/>
    <s v="Lvl"/>
    <s v="AllPub"/>
    <s v="Inside"/>
    <s v="Gtl"/>
    <x v="7"/>
    <x v="1"/>
    <s v="Norm"/>
    <x v="1"/>
    <x v="0"/>
    <n v="5"/>
    <n v="9"/>
    <x v="83"/>
    <n v="1996"/>
    <s v="Gable"/>
    <s v="CompShg"/>
    <s v="Wd Sdng"/>
    <s v="Wd Sdng"/>
    <s v="None"/>
    <n v="0"/>
    <s v="TA"/>
    <s v="Gd"/>
    <s v="BrkTil"/>
    <s v="Gd"/>
    <s v="TA"/>
    <s v="No"/>
    <s v="Unf"/>
    <n v="0"/>
    <s v="Unf"/>
    <n v="0"/>
    <n v="360"/>
    <n v="360"/>
    <s v="GasA"/>
    <s v="Gd"/>
    <s v="Y"/>
    <s v="SBrkr"/>
    <n v="1032"/>
    <n v="780"/>
    <n v="0"/>
    <x v="328"/>
    <n v="0"/>
    <n v="0"/>
    <n v="2"/>
    <n v="0"/>
    <n v="4"/>
    <n v="2"/>
    <s v="Gd"/>
    <n v="8"/>
    <s v="Typ"/>
    <n v="1"/>
    <s v="Po"/>
    <s v="Detchd"/>
    <n v="1999"/>
    <s v="Unf"/>
    <n v="2"/>
    <n v="672"/>
    <s v="TA"/>
    <s v="TA"/>
    <s v="N"/>
    <n v="344"/>
    <n v="0"/>
    <n v="40"/>
    <n v="0"/>
    <n v="0"/>
    <n v="0"/>
    <s v="NA"/>
    <s v="MnPrv"/>
    <s v="NA"/>
    <n v="0"/>
    <n v="5"/>
    <n v="2010"/>
    <s v="WD"/>
    <s v="Normal"/>
    <n v="140000"/>
  </r>
  <r>
    <n v="705"/>
    <n v="20"/>
    <s v="RL"/>
    <n v="70"/>
    <n v="8400"/>
    <s v="Pave"/>
    <s v="NA"/>
    <s v="Reg"/>
    <s v="Lvl"/>
    <s v="AllPub"/>
    <s v="Inside"/>
    <s v="Gtl"/>
    <x v="0"/>
    <x v="0"/>
    <s v="Norm"/>
    <x v="0"/>
    <x v="1"/>
    <n v="7"/>
    <n v="5"/>
    <x v="6"/>
    <n v="2005"/>
    <s v="Gable"/>
    <s v="CompShg"/>
    <s v="VinylSd"/>
    <s v="VinylSd"/>
    <s v="BrkFace"/>
    <n v="109"/>
    <s v="Gd"/>
    <s v="TA"/>
    <s v="PConc"/>
    <s v="Gd"/>
    <s v="TA"/>
    <s v="Av"/>
    <s v="GLQ"/>
    <n v="712"/>
    <s v="Unf"/>
    <n v="0"/>
    <n v="761"/>
    <n v="1473"/>
    <s v="GasA"/>
    <s v="Ex"/>
    <s v="Y"/>
    <s v="SBrkr"/>
    <n v="1484"/>
    <n v="0"/>
    <n v="0"/>
    <x v="391"/>
    <n v="1"/>
    <n v="0"/>
    <n v="2"/>
    <n v="0"/>
    <n v="3"/>
    <n v="1"/>
    <s v="Gd"/>
    <n v="7"/>
    <s v="Typ"/>
    <n v="0"/>
    <s v="NA"/>
    <s v="Attchd"/>
    <n v="2004"/>
    <s v="RFn"/>
    <n v="2"/>
    <n v="606"/>
    <s v="TA"/>
    <s v="TA"/>
    <s v="Y"/>
    <n v="0"/>
    <n v="35"/>
    <n v="0"/>
    <n v="144"/>
    <n v="0"/>
    <n v="0"/>
    <s v="NA"/>
    <s v="NA"/>
    <s v="NA"/>
    <n v="0"/>
    <n v="5"/>
    <n v="2010"/>
    <s v="WD"/>
    <s v="Normal"/>
    <n v="213000"/>
  </r>
  <r>
    <n v="706"/>
    <n v="190"/>
    <s v="RM"/>
    <n v="70"/>
    <n v="5600"/>
    <s v="Pave"/>
    <s v="NA"/>
    <s v="Reg"/>
    <s v="Lvl"/>
    <s v="AllPub"/>
    <s v="Inside"/>
    <s v="Gtl"/>
    <x v="13"/>
    <x v="0"/>
    <s v="Norm"/>
    <x v="1"/>
    <x v="0"/>
    <n v="4"/>
    <n v="5"/>
    <x v="19"/>
    <n v="1950"/>
    <s v="Hip"/>
    <s v="CompShg"/>
    <s v="VinylSd"/>
    <s v="Wd Shng"/>
    <s v="None"/>
    <n v="0"/>
    <s v="Fa"/>
    <s v="Fa"/>
    <s v="Slab"/>
    <s v="NA"/>
    <s v="NA"/>
    <s v="NA"/>
    <s v="NA"/>
    <n v="0"/>
    <s v="NA"/>
    <n v="0"/>
    <n v="0"/>
    <n v="0"/>
    <s v="GasA"/>
    <s v="Fa"/>
    <s v="N"/>
    <s v="SBrkr"/>
    <n v="372"/>
    <n v="720"/>
    <n v="0"/>
    <x v="110"/>
    <n v="0"/>
    <n v="0"/>
    <n v="2"/>
    <n v="0"/>
    <n v="3"/>
    <n v="2"/>
    <s v="Fa"/>
    <n v="7"/>
    <s v="Mod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Othr"/>
    <n v="3500"/>
    <n v="7"/>
    <n v="2010"/>
    <s v="WD"/>
    <s v="Normal"/>
    <n v="55000"/>
  </r>
  <r>
    <n v="707"/>
    <n v="20"/>
    <s v="RL"/>
    <s v="NA"/>
    <n v="115149"/>
    <s v="Pave"/>
    <s v="NA"/>
    <s v="IR2"/>
    <s v="Low"/>
    <s v="AllPub"/>
    <s v="CulDSac"/>
    <s v="Sev"/>
    <x v="19"/>
    <x v="0"/>
    <s v="Norm"/>
    <x v="0"/>
    <x v="1"/>
    <n v="7"/>
    <n v="5"/>
    <x v="63"/>
    <n v="2002"/>
    <s v="Gable"/>
    <s v="CompShg"/>
    <s v="Plywood"/>
    <s v="Plywood"/>
    <s v="Stone"/>
    <n v="351"/>
    <s v="TA"/>
    <s v="TA"/>
    <s v="CBlock"/>
    <s v="Gd"/>
    <s v="TA"/>
    <s v="Gd"/>
    <s v="GLQ"/>
    <n v="1219"/>
    <s v="Unf"/>
    <n v="0"/>
    <n v="424"/>
    <n v="1643"/>
    <s v="GasA"/>
    <s v="TA"/>
    <s v="Y"/>
    <s v="SBrkr"/>
    <n v="1824"/>
    <n v="0"/>
    <n v="0"/>
    <x v="532"/>
    <n v="1"/>
    <n v="0"/>
    <n v="2"/>
    <n v="0"/>
    <n v="2"/>
    <n v="1"/>
    <s v="Gd"/>
    <n v="5"/>
    <s v="Typ"/>
    <n v="2"/>
    <s v="TA"/>
    <s v="Attchd"/>
    <n v="1971"/>
    <s v="Unf"/>
    <n v="2"/>
    <n v="739"/>
    <s v="TA"/>
    <s v="TA"/>
    <s v="Y"/>
    <n v="380"/>
    <n v="48"/>
    <n v="0"/>
    <n v="0"/>
    <n v="0"/>
    <n v="0"/>
    <s v="NA"/>
    <s v="NA"/>
    <s v="NA"/>
    <n v="0"/>
    <n v="6"/>
    <n v="2007"/>
    <s v="WD"/>
    <s v="Normal"/>
    <n v="302000"/>
  </r>
  <r>
    <n v="708"/>
    <n v="120"/>
    <s v="RL"/>
    <n v="48"/>
    <n v="6240"/>
    <s v="Pave"/>
    <s v="NA"/>
    <s v="Reg"/>
    <s v="Lvl"/>
    <s v="AllPub"/>
    <s v="Inside"/>
    <s v="Gtl"/>
    <x v="10"/>
    <x v="0"/>
    <s v="Norm"/>
    <x v="3"/>
    <x v="1"/>
    <n v="8"/>
    <n v="5"/>
    <x v="13"/>
    <n v="2006"/>
    <s v="Hip"/>
    <s v="CompShg"/>
    <s v="MetalSd"/>
    <s v="MetalSd"/>
    <s v="BrkFace"/>
    <n v="176"/>
    <s v="Gd"/>
    <s v="TA"/>
    <s v="PConc"/>
    <s v="Gd"/>
    <s v="TA"/>
    <s v="No"/>
    <s v="GLQ"/>
    <n v="863"/>
    <s v="Unf"/>
    <n v="0"/>
    <n v="461"/>
    <n v="1324"/>
    <s v="GasA"/>
    <s v="Ex"/>
    <s v="Y"/>
    <s v="SBrkr"/>
    <n v="1324"/>
    <n v="0"/>
    <n v="0"/>
    <x v="38"/>
    <n v="1"/>
    <n v="0"/>
    <n v="2"/>
    <n v="0"/>
    <n v="2"/>
    <n v="1"/>
    <s v="Gd"/>
    <n v="6"/>
    <s v="Typ"/>
    <n v="1"/>
    <s v="Gd"/>
    <s v="Attchd"/>
    <n v="2006"/>
    <s v="Fin"/>
    <n v="2"/>
    <n v="550"/>
    <s v="TA"/>
    <s v="TA"/>
    <s v="Y"/>
    <n v="192"/>
    <n v="38"/>
    <n v="0"/>
    <n v="0"/>
    <n v="0"/>
    <n v="0"/>
    <s v="NA"/>
    <s v="NA"/>
    <s v="NA"/>
    <n v="0"/>
    <n v="12"/>
    <n v="2009"/>
    <s v="WD"/>
    <s v="Normal"/>
    <n v="254000"/>
  </r>
  <r>
    <n v="709"/>
    <n v="60"/>
    <s v="RL"/>
    <n v="65"/>
    <n v="9018"/>
    <s v="Pave"/>
    <s v="NA"/>
    <s v="IR1"/>
    <s v="Lvl"/>
    <s v="AllPub"/>
    <s v="Inside"/>
    <s v="Gtl"/>
    <x v="17"/>
    <x v="0"/>
    <s v="Norm"/>
    <x v="0"/>
    <x v="0"/>
    <n v="7"/>
    <n v="5"/>
    <x v="22"/>
    <n v="2007"/>
    <s v="Hip"/>
    <s v="CompShg"/>
    <s v="VinylSd"/>
    <s v="VinylSd"/>
    <s v="None"/>
    <n v="0"/>
    <s v="Gd"/>
    <s v="TA"/>
    <s v="PConc"/>
    <s v="Gd"/>
    <s v="TA"/>
    <s v="Av"/>
    <s v="Unf"/>
    <n v="0"/>
    <s v="Unf"/>
    <n v="0"/>
    <n v="728"/>
    <n v="728"/>
    <s v="GasA"/>
    <s v="Ex"/>
    <s v="Y"/>
    <s v="SBrkr"/>
    <n v="728"/>
    <n v="728"/>
    <n v="0"/>
    <x v="113"/>
    <n v="0"/>
    <n v="0"/>
    <n v="2"/>
    <n v="1"/>
    <n v="3"/>
    <n v="1"/>
    <s v="Gd"/>
    <n v="8"/>
    <s v="Typ"/>
    <n v="1"/>
    <s v="Gd"/>
    <s v="Attchd"/>
    <n v="2007"/>
    <s v="Fin"/>
    <n v="2"/>
    <n v="400"/>
    <s v="TA"/>
    <s v="TA"/>
    <s v="Y"/>
    <n v="100"/>
    <n v="24"/>
    <n v="0"/>
    <n v="0"/>
    <n v="0"/>
    <n v="0"/>
    <s v="NA"/>
    <s v="NA"/>
    <s v="NA"/>
    <n v="0"/>
    <n v="7"/>
    <n v="2007"/>
    <s v="New"/>
    <s v="Partial"/>
    <n v="179540"/>
  </r>
  <r>
    <n v="710"/>
    <n v="20"/>
    <s v="RL"/>
    <s v="NA"/>
    <n v="7162"/>
    <s v="Pave"/>
    <s v="NA"/>
    <s v="IR1"/>
    <s v="Lvl"/>
    <s v="AllPub"/>
    <s v="Inside"/>
    <s v="Gtl"/>
    <x v="9"/>
    <x v="0"/>
    <s v="Norm"/>
    <x v="0"/>
    <x v="1"/>
    <n v="5"/>
    <n v="7"/>
    <x v="27"/>
    <n v="1966"/>
    <s v="Gable"/>
    <s v="CompShg"/>
    <s v="HdBoard"/>
    <s v="HdBoard"/>
    <s v="BrkCmn"/>
    <n v="41"/>
    <s v="TA"/>
    <s v="TA"/>
    <s v="PConc"/>
    <s v="TA"/>
    <s v="TA"/>
    <s v="No"/>
    <s v="Unf"/>
    <n v="0"/>
    <s v="Unf"/>
    <n v="0"/>
    <n v="876"/>
    <n v="876"/>
    <s v="GasA"/>
    <s v="TA"/>
    <s v="Y"/>
    <s v="SBrkr"/>
    <n v="904"/>
    <n v="0"/>
    <n v="0"/>
    <x v="310"/>
    <n v="0"/>
    <n v="0"/>
    <n v="1"/>
    <n v="0"/>
    <n v="3"/>
    <n v="1"/>
    <s v="TA"/>
    <n v="6"/>
    <s v="Typ"/>
    <n v="0"/>
    <s v="NA"/>
    <s v="Attchd"/>
    <n v="1966"/>
    <s v="Unf"/>
    <n v="1"/>
    <n v="408"/>
    <s v="TA"/>
    <s v="TA"/>
    <s v="Y"/>
    <n v="0"/>
    <n v="0"/>
    <n v="0"/>
    <n v="0"/>
    <n v="0"/>
    <n v="0"/>
    <s v="NA"/>
    <s v="MnPrv"/>
    <s v="NA"/>
    <n v="0"/>
    <n v="12"/>
    <n v="2008"/>
    <s v="WD"/>
    <s v="Abnorml"/>
    <n v="109900"/>
  </r>
  <r>
    <n v="711"/>
    <n v="30"/>
    <s v="RL"/>
    <n v="56"/>
    <n v="4130"/>
    <s v="Pave"/>
    <s v="NA"/>
    <s v="IR1"/>
    <s v="Lvl"/>
    <s v="AllPub"/>
    <s v="Inside"/>
    <s v="Gtl"/>
    <x v="8"/>
    <x v="0"/>
    <s v="Norm"/>
    <x v="0"/>
    <x v="1"/>
    <n v="3"/>
    <n v="6"/>
    <x v="61"/>
    <n v="2003"/>
    <s v="Gable"/>
    <s v="CompShg"/>
    <s v="VinylSd"/>
    <s v="VinylSd"/>
    <s v="None"/>
    <n v="0"/>
    <s v="Gd"/>
    <s v="TA"/>
    <s v="CBlock"/>
    <s v="TA"/>
    <s v="TA"/>
    <s v="No"/>
    <s v="Unf"/>
    <n v="0"/>
    <s v="Unf"/>
    <n v="0"/>
    <n v="270"/>
    <n v="270"/>
    <s v="GasA"/>
    <s v="Gd"/>
    <s v="Y"/>
    <s v="SBrkr"/>
    <n v="729"/>
    <n v="0"/>
    <n v="0"/>
    <x v="533"/>
    <n v="0"/>
    <n v="0"/>
    <n v="1"/>
    <n v="0"/>
    <n v="2"/>
    <n v="1"/>
    <s v="TA"/>
    <n v="5"/>
    <s v="Maj2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7"/>
    <n v="2008"/>
    <s v="WD"/>
    <s v="Normal"/>
    <n v="52000"/>
  </r>
  <r>
    <n v="712"/>
    <n v="50"/>
    <s v="C (all)"/>
    <n v="66"/>
    <n v="8712"/>
    <s v="Pave"/>
    <s v="Pave"/>
    <s v="Reg"/>
    <s v="HLS"/>
    <s v="AllPub"/>
    <s v="Inside"/>
    <s v="Mod"/>
    <x v="13"/>
    <x v="0"/>
    <s v="Norm"/>
    <x v="0"/>
    <x v="2"/>
    <n v="4"/>
    <n v="7"/>
    <x v="83"/>
    <n v="1950"/>
    <s v="Gable"/>
    <s v="CompShg"/>
    <s v="MetalSd"/>
    <s v="MetalSd"/>
    <s v="None"/>
    <n v="0"/>
    <s v="TA"/>
    <s v="TA"/>
    <s v="Stone"/>
    <s v="TA"/>
    <s v="TA"/>
    <s v="Mn"/>
    <s v="Unf"/>
    <n v="0"/>
    <s v="Unf"/>
    <n v="0"/>
    <n v="859"/>
    <n v="859"/>
    <s v="GasA"/>
    <s v="Gd"/>
    <s v="Y"/>
    <s v="SBrkr"/>
    <n v="859"/>
    <n v="319"/>
    <n v="0"/>
    <x v="534"/>
    <n v="0"/>
    <n v="0"/>
    <n v="1"/>
    <n v="0"/>
    <n v="2"/>
    <n v="1"/>
    <s v="TA"/>
    <n v="7"/>
    <s v="Typ"/>
    <n v="0"/>
    <s v="NA"/>
    <s v="Detchd"/>
    <n v="1964"/>
    <s v="RFn"/>
    <n v="1"/>
    <n v="384"/>
    <s v="TA"/>
    <s v="TA"/>
    <s v="N"/>
    <n v="68"/>
    <n v="0"/>
    <n v="98"/>
    <n v="0"/>
    <n v="0"/>
    <n v="0"/>
    <s v="NA"/>
    <s v="NA"/>
    <s v="NA"/>
    <n v="0"/>
    <n v="1"/>
    <n v="2010"/>
    <s v="WD"/>
    <s v="Abnorml"/>
    <n v="102776"/>
  </r>
  <r>
    <n v="713"/>
    <n v="120"/>
    <s v="RL"/>
    <n v="40"/>
    <n v="4671"/>
    <s v="Pave"/>
    <s v="NA"/>
    <s v="IR1"/>
    <s v="HLS"/>
    <s v="AllPub"/>
    <s v="Inside"/>
    <s v="Gtl"/>
    <x v="18"/>
    <x v="0"/>
    <s v="Norm"/>
    <x v="3"/>
    <x v="1"/>
    <n v="8"/>
    <n v="5"/>
    <x v="62"/>
    <n v="1989"/>
    <s v="Gable"/>
    <s v="CompShg"/>
    <s v="HdBoard"/>
    <s v="HdBoard"/>
    <s v="None"/>
    <n v="0"/>
    <s v="Gd"/>
    <s v="TA"/>
    <s v="PConc"/>
    <s v="Gd"/>
    <s v="TA"/>
    <s v="Mn"/>
    <s v="GLQ"/>
    <n v="767"/>
    <s v="Unf"/>
    <n v="0"/>
    <n v="461"/>
    <n v="1228"/>
    <s v="GasA"/>
    <s v="Gd"/>
    <s v="Y"/>
    <s v="SBrkr"/>
    <n v="1228"/>
    <n v="0"/>
    <n v="0"/>
    <x v="29"/>
    <n v="1"/>
    <n v="0"/>
    <n v="2"/>
    <n v="0"/>
    <n v="2"/>
    <n v="1"/>
    <s v="Gd"/>
    <n v="5"/>
    <s v="Typ"/>
    <n v="1"/>
    <s v="Gd"/>
    <s v="Attchd"/>
    <n v="1988"/>
    <s v="Fin"/>
    <n v="2"/>
    <n v="472"/>
    <s v="TA"/>
    <s v="TA"/>
    <s v="Y"/>
    <n v="168"/>
    <n v="120"/>
    <n v="0"/>
    <n v="0"/>
    <n v="0"/>
    <n v="0"/>
    <s v="NA"/>
    <s v="NA"/>
    <s v="NA"/>
    <n v="0"/>
    <n v="10"/>
    <n v="2008"/>
    <s v="WD"/>
    <s v="Normal"/>
    <n v="189000"/>
  </r>
  <r>
    <n v="714"/>
    <n v="190"/>
    <s v="RL"/>
    <n v="60"/>
    <n v="9873"/>
    <s v="Pave"/>
    <s v="NA"/>
    <s v="Reg"/>
    <s v="Lvl"/>
    <s v="AllPub"/>
    <s v="Inside"/>
    <s v="Gtl"/>
    <x v="8"/>
    <x v="6"/>
    <s v="Norm"/>
    <x v="1"/>
    <x v="1"/>
    <n v="4"/>
    <n v="5"/>
    <x v="16"/>
    <n v="1970"/>
    <s v="Gable"/>
    <s v="CompShg"/>
    <s v="HdBoard"/>
    <s v="HdBoard"/>
    <s v="BrkFace"/>
    <n v="160"/>
    <s v="TA"/>
    <s v="TA"/>
    <s v="CBlock"/>
    <s v="TA"/>
    <s v="TA"/>
    <s v="Av"/>
    <s v="ALQ"/>
    <n v="789"/>
    <s v="Unf"/>
    <n v="0"/>
    <n v="171"/>
    <n v="960"/>
    <s v="GasW"/>
    <s v="TA"/>
    <s v="N"/>
    <s v="SBrkr"/>
    <n v="960"/>
    <n v="0"/>
    <n v="0"/>
    <x v="91"/>
    <n v="1"/>
    <n v="0"/>
    <n v="1"/>
    <n v="0"/>
    <n v="3"/>
    <n v="1"/>
    <s v="TA"/>
    <n v="6"/>
    <s v="Typ"/>
    <n v="0"/>
    <s v="NA"/>
    <s v="Detchd"/>
    <n v="1970"/>
    <s v="Unf"/>
    <n v="2"/>
    <n v="576"/>
    <s v="TA"/>
    <s v="TA"/>
    <s v="Y"/>
    <n v="0"/>
    <n v="288"/>
    <n v="0"/>
    <n v="0"/>
    <n v="0"/>
    <n v="0"/>
    <s v="NA"/>
    <s v="NA"/>
    <s v="NA"/>
    <n v="0"/>
    <n v="5"/>
    <n v="2006"/>
    <s v="WD"/>
    <s v="Normal"/>
    <n v="129000"/>
  </r>
  <r>
    <n v="715"/>
    <n v="60"/>
    <s v="RL"/>
    <s v="NA"/>
    <n v="13517"/>
    <s v="Pave"/>
    <s v="NA"/>
    <s v="IR1"/>
    <s v="Lvl"/>
    <s v="AllPub"/>
    <s v="CulDSac"/>
    <s v="Gtl"/>
    <x v="9"/>
    <x v="4"/>
    <s v="Norm"/>
    <x v="0"/>
    <x v="0"/>
    <n v="6"/>
    <n v="8"/>
    <x v="1"/>
    <n v="2005"/>
    <s v="Gable"/>
    <s v="CompShg"/>
    <s v="HdBoard"/>
    <s v="Plywood"/>
    <s v="BrkFace"/>
    <n v="289"/>
    <s v="Gd"/>
    <s v="TA"/>
    <s v="CBlock"/>
    <s v="TA"/>
    <s v="TA"/>
    <s v="No"/>
    <s v="GLQ"/>
    <n v="533"/>
    <s v="Unf"/>
    <n v="0"/>
    <n v="192"/>
    <n v="725"/>
    <s v="GasA"/>
    <s v="Ex"/>
    <s v="Y"/>
    <s v="SBrkr"/>
    <n v="725"/>
    <n v="754"/>
    <n v="0"/>
    <x v="64"/>
    <n v="0"/>
    <n v="0"/>
    <n v="2"/>
    <n v="1"/>
    <n v="3"/>
    <n v="1"/>
    <s v="Gd"/>
    <n v="6"/>
    <s v="Typ"/>
    <n v="0"/>
    <s v="NA"/>
    <s v="Attchd"/>
    <n v="1976"/>
    <s v="RFn"/>
    <n v="2"/>
    <n v="475"/>
    <s v="TA"/>
    <s v="TA"/>
    <s v="Y"/>
    <n v="0"/>
    <n v="44"/>
    <n v="0"/>
    <n v="0"/>
    <n v="0"/>
    <n v="0"/>
    <s v="NA"/>
    <s v="NA"/>
    <s v="NA"/>
    <n v="0"/>
    <n v="3"/>
    <n v="2010"/>
    <s v="WD"/>
    <s v="Normal"/>
    <n v="130500"/>
  </r>
  <r>
    <n v="716"/>
    <n v="20"/>
    <s v="RL"/>
    <n v="78"/>
    <n v="10140"/>
    <s v="Pave"/>
    <s v="NA"/>
    <s v="Reg"/>
    <s v="Lvl"/>
    <s v="AllPub"/>
    <s v="Inside"/>
    <s v="Gtl"/>
    <x v="6"/>
    <x v="0"/>
    <s v="Norm"/>
    <x v="0"/>
    <x v="1"/>
    <n v="6"/>
    <n v="5"/>
    <x v="99"/>
    <n v="1974"/>
    <s v="Hip"/>
    <s v="CompShg"/>
    <s v="HdBoard"/>
    <s v="HdBoard"/>
    <s v="BrkFace"/>
    <n v="174"/>
    <s v="TA"/>
    <s v="TA"/>
    <s v="CBlock"/>
    <s v="Gd"/>
    <s v="TA"/>
    <s v="No"/>
    <s v="Unf"/>
    <n v="0"/>
    <s v="Unf"/>
    <n v="0"/>
    <n v="1064"/>
    <n v="1064"/>
    <s v="GasA"/>
    <s v="TA"/>
    <s v="Y"/>
    <s v="SBrkr"/>
    <n v="1350"/>
    <n v="0"/>
    <n v="0"/>
    <x v="485"/>
    <n v="0"/>
    <n v="0"/>
    <n v="2"/>
    <n v="0"/>
    <n v="3"/>
    <n v="1"/>
    <s v="TA"/>
    <n v="7"/>
    <s v="Typ"/>
    <n v="1"/>
    <s v="TA"/>
    <s v="Attchd"/>
    <n v="1974"/>
    <s v="RFn"/>
    <n v="2"/>
    <n v="478"/>
    <s v="TA"/>
    <s v="TA"/>
    <s v="Y"/>
    <n v="0"/>
    <n v="0"/>
    <n v="0"/>
    <n v="0"/>
    <n v="0"/>
    <n v="0"/>
    <s v="NA"/>
    <s v="MnPrv"/>
    <s v="NA"/>
    <n v="0"/>
    <n v="8"/>
    <n v="2009"/>
    <s v="WD"/>
    <s v="Normal"/>
    <n v="165000"/>
  </r>
  <r>
    <n v="717"/>
    <n v="70"/>
    <s v="RM"/>
    <n v="60"/>
    <n v="10800"/>
    <s v="Pave"/>
    <s v="Grvl"/>
    <s v="Reg"/>
    <s v="Bnk"/>
    <s v="AllPub"/>
    <s v="Inside"/>
    <s v="Gtl"/>
    <x v="7"/>
    <x v="0"/>
    <s v="Norm"/>
    <x v="0"/>
    <x v="0"/>
    <n v="7"/>
    <n v="8"/>
    <x v="103"/>
    <n v="1998"/>
    <s v="Gable"/>
    <s v="CompShg"/>
    <s v="Wd Sdng"/>
    <s v="VinylSd"/>
    <s v="None"/>
    <n v="0"/>
    <s v="TA"/>
    <s v="Gd"/>
    <s v="BrkTil"/>
    <s v="TA"/>
    <s v="TA"/>
    <s v="No"/>
    <s v="Unf"/>
    <n v="0"/>
    <s v="Unf"/>
    <n v="0"/>
    <n v="718"/>
    <n v="718"/>
    <s v="GasA"/>
    <s v="Ex"/>
    <s v="Y"/>
    <s v="SBrkr"/>
    <n v="1576"/>
    <n v="978"/>
    <n v="0"/>
    <x v="535"/>
    <n v="0"/>
    <n v="0"/>
    <n v="1"/>
    <n v="1"/>
    <n v="3"/>
    <n v="1"/>
    <s v="TA"/>
    <n v="8"/>
    <s v="Typ"/>
    <n v="0"/>
    <s v="NA"/>
    <s v="Detchd"/>
    <n v="1996"/>
    <s v="Unf"/>
    <n v="2"/>
    <n v="704"/>
    <s v="TA"/>
    <s v="TA"/>
    <s v="P"/>
    <n v="0"/>
    <n v="48"/>
    <n v="143"/>
    <n v="0"/>
    <n v="0"/>
    <n v="0"/>
    <s v="NA"/>
    <s v="NA"/>
    <s v="NA"/>
    <n v="0"/>
    <n v="7"/>
    <n v="2007"/>
    <s v="WD"/>
    <s v="Normal"/>
    <n v="159500"/>
  </r>
  <r>
    <n v="718"/>
    <n v="20"/>
    <s v="RL"/>
    <n v="80"/>
    <n v="10000"/>
    <s v="Pave"/>
    <s v="NA"/>
    <s v="Reg"/>
    <s v="Lvl"/>
    <s v="AllPub"/>
    <s v="Inside"/>
    <s v="Gtl"/>
    <x v="6"/>
    <x v="0"/>
    <s v="Norm"/>
    <x v="0"/>
    <x v="1"/>
    <n v="5"/>
    <n v="6"/>
    <x v="7"/>
    <n v="2000"/>
    <s v="Gable"/>
    <s v="CompShg"/>
    <s v="HdBoard"/>
    <s v="HdBoard"/>
    <s v="None"/>
    <n v="0"/>
    <s v="TA"/>
    <s v="TA"/>
    <s v="CBlock"/>
    <s v="Gd"/>
    <s v="TA"/>
    <s v="No"/>
    <s v="BLQ"/>
    <n v="1084"/>
    <s v="Unf"/>
    <n v="0"/>
    <n v="92"/>
    <n v="1176"/>
    <s v="GasA"/>
    <s v="Gd"/>
    <s v="Y"/>
    <s v="SBrkr"/>
    <n v="1178"/>
    <n v="0"/>
    <n v="0"/>
    <x v="534"/>
    <n v="0"/>
    <n v="1"/>
    <n v="1"/>
    <n v="1"/>
    <n v="3"/>
    <n v="1"/>
    <s v="Gd"/>
    <n v="5"/>
    <s v="Typ"/>
    <n v="1"/>
    <s v="Fa"/>
    <s v="Attchd"/>
    <n v="1973"/>
    <s v="Unf"/>
    <n v="2"/>
    <n v="439"/>
    <s v="TA"/>
    <s v="TA"/>
    <s v="Y"/>
    <n v="224"/>
    <n v="0"/>
    <n v="0"/>
    <n v="0"/>
    <n v="0"/>
    <n v="0"/>
    <s v="NA"/>
    <s v="MnPrv"/>
    <s v="NA"/>
    <n v="0"/>
    <n v="11"/>
    <n v="2008"/>
    <s v="WD"/>
    <s v="Normal"/>
    <n v="157000"/>
  </r>
  <r>
    <n v="719"/>
    <n v="60"/>
    <s v="RL"/>
    <n v="96"/>
    <n v="10542"/>
    <s v="Pave"/>
    <s v="NA"/>
    <s v="Reg"/>
    <s v="Lvl"/>
    <s v="AllPub"/>
    <s v="Inside"/>
    <s v="Gtl"/>
    <x v="3"/>
    <x v="0"/>
    <s v="Norm"/>
    <x v="0"/>
    <x v="0"/>
    <n v="7"/>
    <n v="5"/>
    <x v="5"/>
    <n v="1994"/>
    <s v="Hip"/>
    <s v="CompShg"/>
    <s v="Wd Sdng"/>
    <s v="ImStucc"/>
    <s v="BrkFace"/>
    <n v="651"/>
    <s v="Gd"/>
    <s v="TA"/>
    <s v="PConc"/>
    <s v="Gd"/>
    <s v="TA"/>
    <s v="Gd"/>
    <s v="GLQ"/>
    <n v="1173"/>
    <s v="Unf"/>
    <n v="0"/>
    <n v="138"/>
    <n v="1311"/>
    <s v="GasA"/>
    <s v="Ex"/>
    <s v="Y"/>
    <s v="SBrkr"/>
    <n v="1325"/>
    <n v="1093"/>
    <n v="0"/>
    <x v="536"/>
    <n v="1"/>
    <n v="0"/>
    <n v="2"/>
    <n v="1"/>
    <n v="3"/>
    <n v="1"/>
    <s v="Gd"/>
    <n v="9"/>
    <s v="Typ"/>
    <n v="1"/>
    <s v="TA"/>
    <s v="Attchd"/>
    <n v="1993"/>
    <s v="RFn"/>
    <n v="3"/>
    <n v="983"/>
    <s v="TA"/>
    <s v="TA"/>
    <s v="Y"/>
    <n v="250"/>
    <n v="154"/>
    <n v="216"/>
    <n v="0"/>
    <n v="0"/>
    <n v="0"/>
    <s v="NA"/>
    <s v="NA"/>
    <s v="NA"/>
    <n v="0"/>
    <n v="8"/>
    <n v="2008"/>
    <s v="WD"/>
    <s v="Normal"/>
    <n v="341000"/>
  </r>
  <r>
    <n v="720"/>
    <n v="20"/>
    <s v="RL"/>
    <n v="69"/>
    <n v="9920"/>
    <s v="Pave"/>
    <s v="NA"/>
    <s v="IR1"/>
    <s v="Lvl"/>
    <s v="AllPub"/>
    <s v="Inside"/>
    <s v="Gtl"/>
    <x v="0"/>
    <x v="0"/>
    <s v="Norm"/>
    <x v="0"/>
    <x v="1"/>
    <n v="5"/>
    <n v="6"/>
    <x v="60"/>
    <n v="1969"/>
    <s v="Gable"/>
    <s v="CompShg"/>
    <s v="HdBoard"/>
    <s v="Plywood"/>
    <s v="None"/>
    <n v="0"/>
    <s v="TA"/>
    <s v="TA"/>
    <s v="CBlock"/>
    <s v="Gd"/>
    <s v="TA"/>
    <s v="Gd"/>
    <s v="ALQ"/>
    <n v="523"/>
    <s v="Unf"/>
    <n v="0"/>
    <n v="448"/>
    <n v="971"/>
    <s v="GasA"/>
    <s v="TA"/>
    <s v="Y"/>
    <s v="SBrkr"/>
    <n v="971"/>
    <n v="0"/>
    <n v="0"/>
    <x v="537"/>
    <n v="0"/>
    <n v="0"/>
    <n v="1"/>
    <n v="1"/>
    <n v="3"/>
    <n v="1"/>
    <s v="TA"/>
    <n v="5"/>
    <s v="Typ"/>
    <n v="1"/>
    <s v="Po"/>
    <s v="Attchd"/>
    <n v="1969"/>
    <s v="Unf"/>
    <n v="1"/>
    <n v="300"/>
    <s v="TA"/>
    <s v="TA"/>
    <s v="Y"/>
    <n v="0"/>
    <n v="0"/>
    <n v="0"/>
    <n v="0"/>
    <n v="0"/>
    <n v="0"/>
    <s v="NA"/>
    <s v="NA"/>
    <s v="NA"/>
    <n v="0"/>
    <n v="5"/>
    <n v="2006"/>
    <s v="WD"/>
    <s v="Normal"/>
    <n v="128500"/>
  </r>
  <r>
    <n v="721"/>
    <n v="120"/>
    <s v="RL"/>
    <s v="NA"/>
    <n v="6563"/>
    <s v="Pave"/>
    <s v="NA"/>
    <s v="IR1"/>
    <s v="Low"/>
    <s v="AllPub"/>
    <s v="CulDSac"/>
    <s v="Mod"/>
    <x v="18"/>
    <x v="0"/>
    <s v="Norm"/>
    <x v="0"/>
    <x v="1"/>
    <n v="8"/>
    <n v="5"/>
    <x v="55"/>
    <n v="1985"/>
    <s v="Gable"/>
    <s v="CompShg"/>
    <s v="HdBoard"/>
    <s v="HdBoard"/>
    <s v="None"/>
    <n v="0"/>
    <s v="Gd"/>
    <s v="TA"/>
    <s v="PConc"/>
    <s v="Gd"/>
    <s v="TA"/>
    <s v="Gd"/>
    <s v="GLQ"/>
    <n v="1148"/>
    <s v="Unf"/>
    <n v="0"/>
    <n v="594"/>
    <n v="1742"/>
    <s v="GasA"/>
    <s v="TA"/>
    <s v="Y"/>
    <s v="SBrkr"/>
    <n v="1742"/>
    <n v="0"/>
    <n v="0"/>
    <x v="538"/>
    <n v="1"/>
    <n v="0"/>
    <n v="2"/>
    <n v="0"/>
    <n v="2"/>
    <n v="1"/>
    <s v="Gd"/>
    <n v="5"/>
    <s v="Typ"/>
    <n v="1"/>
    <s v="TA"/>
    <s v="Attchd"/>
    <n v="1985"/>
    <s v="RFn"/>
    <n v="2"/>
    <n v="564"/>
    <s v="TA"/>
    <s v="TA"/>
    <s v="Y"/>
    <n v="114"/>
    <n v="28"/>
    <n v="234"/>
    <n v="0"/>
    <n v="0"/>
    <n v="0"/>
    <s v="NA"/>
    <s v="NA"/>
    <s v="NA"/>
    <n v="0"/>
    <n v="12"/>
    <n v="2006"/>
    <s v="WD"/>
    <s v="Normal"/>
    <n v="275000"/>
  </r>
  <r>
    <n v="722"/>
    <n v="120"/>
    <s v="RM"/>
    <s v="NA"/>
    <n v="4426"/>
    <s v="Pave"/>
    <s v="NA"/>
    <s v="Reg"/>
    <s v="Lvl"/>
    <s v="AllPub"/>
    <s v="Inside"/>
    <s v="Gtl"/>
    <x v="0"/>
    <x v="0"/>
    <s v="Norm"/>
    <x v="3"/>
    <x v="1"/>
    <n v="6"/>
    <n v="5"/>
    <x v="6"/>
    <n v="2004"/>
    <s v="Gable"/>
    <s v="CompShg"/>
    <s v="VinylSd"/>
    <s v="VinylSd"/>
    <s v="BrkFace"/>
    <n v="169"/>
    <s v="Gd"/>
    <s v="TA"/>
    <s v="PConc"/>
    <s v="Gd"/>
    <s v="TA"/>
    <s v="Av"/>
    <s v="GLQ"/>
    <n v="662"/>
    <s v="Unf"/>
    <n v="0"/>
    <n v="186"/>
    <n v="848"/>
    <s v="GasA"/>
    <s v="Ex"/>
    <s v="Y"/>
    <s v="SBrkr"/>
    <n v="848"/>
    <n v="0"/>
    <n v="0"/>
    <x v="182"/>
    <n v="1"/>
    <n v="0"/>
    <n v="1"/>
    <n v="0"/>
    <n v="1"/>
    <n v="1"/>
    <s v="Gd"/>
    <n v="3"/>
    <s v="Typ"/>
    <n v="0"/>
    <s v="NA"/>
    <s v="Attchd"/>
    <n v="2004"/>
    <s v="RFn"/>
    <n v="2"/>
    <n v="420"/>
    <s v="TA"/>
    <s v="TA"/>
    <s v="Y"/>
    <n v="160"/>
    <n v="0"/>
    <n v="0"/>
    <n v="0"/>
    <n v="0"/>
    <n v="0"/>
    <s v="NA"/>
    <s v="NA"/>
    <s v="NA"/>
    <n v="0"/>
    <n v="5"/>
    <n v="2010"/>
    <s v="WD"/>
    <s v="Normal"/>
    <n v="143000"/>
  </r>
  <r>
    <n v="723"/>
    <n v="20"/>
    <s v="RL"/>
    <n v="70"/>
    <n v="8120"/>
    <s v="Pave"/>
    <s v="NA"/>
    <s v="Reg"/>
    <s v="Lvl"/>
    <s v="AllPub"/>
    <s v="Inside"/>
    <s v="Gtl"/>
    <x v="11"/>
    <x v="0"/>
    <s v="Norm"/>
    <x v="0"/>
    <x v="1"/>
    <n v="4"/>
    <n v="7"/>
    <x v="16"/>
    <n v="1970"/>
    <s v="Gable"/>
    <s v="CompShg"/>
    <s v="MetalSd"/>
    <s v="MetalSd"/>
    <s v="None"/>
    <n v="0"/>
    <s v="TA"/>
    <s v="Gd"/>
    <s v="CBlock"/>
    <s v="TA"/>
    <s v="TA"/>
    <s v="No"/>
    <s v="ALQ"/>
    <n v="191"/>
    <s v="Unf"/>
    <n v="0"/>
    <n v="673"/>
    <n v="864"/>
    <s v="GasA"/>
    <s v="Ex"/>
    <s v="Y"/>
    <s v="SBrkr"/>
    <n v="864"/>
    <n v="0"/>
    <n v="0"/>
    <x v="132"/>
    <n v="0"/>
    <n v="0"/>
    <n v="1"/>
    <n v="0"/>
    <n v="3"/>
    <n v="1"/>
    <s v="TA"/>
    <n v="5"/>
    <s v="Typ"/>
    <n v="0"/>
    <s v="NA"/>
    <s v="Detchd"/>
    <n v="1994"/>
    <s v="Unf"/>
    <n v="2"/>
    <n v="463"/>
    <s v="TA"/>
    <s v="TA"/>
    <s v="Y"/>
    <n v="0"/>
    <n v="0"/>
    <n v="0"/>
    <n v="0"/>
    <n v="0"/>
    <n v="0"/>
    <s v="NA"/>
    <s v="NA"/>
    <s v="NA"/>
    <n v="0"/>
    <n v="7"/>
    <n v="2009"/>
    <s v="WD"/>
    <s v="Normal"/>
    <n v="124500"/>
  </r>
  <r>
    <n v="724"/>
    <n v="50"/>
    <s v="RL"/>
    <n v="60"/>
    <n v="8172"/>
    <s v="Pave"/>
    <s v="NA"/>
    <s v="Reg"/>
    <s v="Lvl"/>
    <s v="AllPub"/>
    <s v="Inside"/>
    <s v="Gtl"/>
    <x v="15"/>
    <x v="0"/>
    <s v="Norm"/>
    <x v="0"/>
    <x v="2"/>
    <n v="4"/>
    <n v="6"/>
    <x v="30"/>
    <n v="1972"/>
    <s v="Gable"/>
    <s v="CompShg"/>
    <s v="MetalSd"/>
    <s v="MetalSd"/>
    <s v="None"/>
    <n v="0"/>
    <s v="TA"/>
    <s v="TA"/>
    <s v="PConc"/>
    <s v="TA"/>
    <s v="TA"/>
    <s v="No"/>
    <s v="Unf"/>
    <n v="0"/>
    <s v="Unf"/>
    <n v="0"/>
    <n v="941"/>
    <n v="941"/>
    <s v="GasA"/>
    <s v="Ex"/>
    <s v="Y"/>
    <s v="SBrkr"/>
    <n v="997"/>
    <n v="473"/>
    <n v="0"/>
    <x v="48"/>
    <n v="0"/>
    <n v="0"/>
    <n v="2"/>
    <n v="0"/>
    <n v="4"/>
    <n v="1"/>
    <s v="TA"/>
    <n v="7"/>
    <s v="Typ"/>
    <n v="0"/>
    <s v="NA"/>
    <s v="Detchd"/>
    <n v="1958"/>
    <s v="Unf"/>
    <n v="1"/>
    <n v="548"/>
    <s v="TA"/>
    <s v="TA"/>
    <s v="Y"/>
    <n v="0"/>
    <n v="0"/>
    <n v="0"/>
    <n v="0"/>
    <n v="156"/>
    <n v="0"/>
    <s v="NA"/>
    <s v="NA"/>
    <s v="NA"/>
    <n v="0"/>
    <n v="5"/>
    <n v="2008"/>
    <s v="WD"/>
    <s v="Normal"/>
    <n v="135000"/>
  </r>
  <r>
    <n v="725"/>
    <n v="20"/>
    <s v="RL"/>
    <n v="86"/>
    <n v="13286"/>
    <s v="Pave"/>
    <s v="NA"/>
    <s v="IR1"/>
    <s v="Lvl"/>
    <s v="AllPub"/>
    <s v="Inside"/>
    <s v="Gtl"/>
    <x v="15"/>
    <x v="0"/>
    <s v="Norm"/>
    <x v="0"/>
    <x v="1"/>
    <n v="9"/>
    <n v="5"/>
    <x v="22"/>
    <n v="2008"/>
    <s v="Hip"/>
    <s v="CompShg"/>
    <s v="CemntBd"/>
    <s v="CmentBd"/>
    <s v="Stone"/>
    <n v="340"/>
    <s v="Ex"/>
    <s v="TA"/>
    <s v="PConc"/>
    <s v="Ex"/>
    <s v="TA"/>
    <s v="No"/>
    <s v="GLQ"/>
    <n v="1234"/>
    <s v="Unf"/>
    <n v="0"/>
    <n v="464"/>
    <n v="1698"/>
    <s v="GasA"/>
    <s v="Ex"/>
    <s v="Y"/>
    <s v="SBrkr"/>
    <n v="1698"/>
    <n v="0"/>
    <n v="0"/>
    <x v="539"/>
    <n v="1"/>
    <n v="0"/>
    <n v="2"/>
    <n v="0"/>
    <n v="3"/>
    <n v="1"/>
    <s v="Ex"/>
    <n v="8"/>
    <s v="Typ"/>
    <n v="1"/>
    <s v="Gd"/>
    <s v="Attchd"/>
    <n v="2007"/>
    <s v="Fin"/>
    <n v="3"/>
    <n v="768"/>
    <s v="TA"/>
    <s v="TA"/>
    <s v="Y"/>
    <n v="327"/>
    <n v="64"/>
    <n v="0"/>
    <n v="0"/>
    <n v="0"/>
    <n v="0"/>
    <s v="NA"/>
    <s v="NA"/>
    <s v="NA"/>
    <n v="0"/>
    <n v="2"/>
    <n v="2009"/>
    <s v="WD"/>
    <s v="Normal"/>
    <n v="320000"/>
  </r>
  <r>
    <n v="726"/>
    <n v="20"/>
    <s v="RL"/>
    <n v="60"/>
    <n v="6960"/>
    <s v="Pave"/>
    <s v="NA"/>
    <s v="Reg"/>
    <s v="Lvl"/>
    <s v="AllPub"/>
    <s v="Inside"/>
    <s v="Gtl"/>
    <x v="11"/>
    <x v="0"/>
    <s v="Norm"/>
    <x v="0"/>
    <x v="1"/>
    <n v="4"/>
    <n v="6"/>
    <x v="16"/>
    <n v="1970"/>
    <s v="Gable"/>
    <s v="CompShg"/>
    <s v="HdBoard"/>
    <s v="Plywood"/>
    <s v="None"/>
    <n v="0"/>
    <s v="TA"/>
    <s v="TA"/>
    <s v="CBlock"/>
    <s v="TA"/>
    <s v="TA"/>
    <s v="No"/>
    <s v="ALQ"/>
    <n v="375"/>
    <s v="BLQ"/>
    <n v="239"/>
    <n v="250"/>
    <n v="864"/>
    <s v="GasA"/>
    <s v="TA"/>
    <s v="Y"/>
    <s v="SBrkr"/>
    <n v="864"/>
    <n v="0"/>
    <n v="0"/>
    <x v="132"/>
    <n v="0"/>
    <n v="0"/>
    <n v="1"/>
    <n v="0"/>
    <n v="3"/>
    <n v="1"/>
    <s v="Gd"/>
    <n v="5"/>
    <s v="Typ"/>
    <n v="0"/>
    <s v="NA"/>
    <s v="Detchd"/>
    <n v="1989"/>
    <s v="Unf"/>
    <n v="2"/>
    <n v="660"/>
    <s v="TA"/>
    <s v="TA"/>
    <s v="Y"/>
    <n v="96"/>
    <n v="0"/>
    <n v="0"/>
    <n v="0"/>
    <n v="0"/>
    <n v="0"/>
    <s v="NA"/>
    <s v="NA"/>
    <s v="Shed"/>
    <n v="500"/>
    <n v="11"/>
    <n v="2009"/>
    <s v="WD"/>
    <s v="Normal"/>
    <n v="120500"/>
  </r>
  <r>
    <n v="727"/>
    <n v="20"/>
    <s v="RL"/>
    <s v="NA"/>
    <n v="21695"/>
    <s v="Pave"/>
    <s v="NA"/>
    <s v="IR1"/>
    <s v="Lvl"/>
    <s v="AllPub"/>
    <s v="Corner"/>
    <s v="Gtl"/>
    <x v="2"/>
    <x v="0"/>
    <s v="Norm"/>
    <x v="0"/>
    <x v="1"/>
    <n v="6"/>
    <n v="9"/>
    <x v="62"/>
    <n v="2007"/>
    <s v="Hip"/>
    <s v="CompShg"/>
    <s v="Wd Sdng"/>
    <s v="Plywood"/>
    <s v="BrkFace"/>
    <n v="260"/>
    <s v="Gd"/>
    <s v="Gd"/>
    <s v="CBlock"/>
    <s v="Gd"/>
    <s v="TA"/>
    <s v="No"/>
    <s v="GLQ"/>
    <n v="808"/>
    <s v="Unf"/>
    <n v="0"/>
    <n v="72"/>
    <n v="880"/>
    <s v="GasA"/>
    <s v="Ex"/>
    <s v="Y"/>
    <s v="SBrkr"/>
    <n v="1680"/>
    <n v="0"/>
    <n v="0"/>
    <x v="335"/>
    <n v="1"/>
    <n v="0"/>
    <n v="2"/>
    <n v="0"/>
    <n v="3"/>
    <n v="1"/>
    <s v="Gd"/>
    <n v="5"/>
    <s v="Typ"/>
    <n v="1"/>
    <s v="Gd"/>
    <s v="Attchd"/>
    <n v="1988"/>
    <s v="Fin"/>
    <n v="2"/>
    <n v="540"/>
    <s v="TA"/>
    <s v="TA"/>
    <s v="Y"/>
    <n v="292"/>
    <n v="44"/>
    <n v="0"/>
    <n v="182"/>
    <n v="0"/>
    <n v="0"/>
    <s v="NA"/>
    <s v="NA"/>
    <s v="NA"/>
    <n v="0"/>
    <n v="12"/>
    <n v="2009"/>
    <s v="WD"/>
    <s v="Normal"/>
    <n v="222000"/>
  </r>
  <r>
    <n v="728"/>
    <n v="20"/>
    <s v="RL"/>
    <n v="64"/>
    <n v="7314"/>
    <s v="Pave"/>
    <s v="NA"/>
    <s v="Reg"/>
    <s v="Lvl"/>
    <s v="AllPub"/>
    <s v="Inside"/>
    <s v="Gtl"/>
    <x v="0"/>
    <x v="0"/>
    <s v="Norm"/>
    <x v="0"/>
    <x v="1"/>
    <n v="7"/>
    <n v="5"/>
    <x v="22"/>
    <n v="2007"/>
    <s v="Gable"/>
    <s v="CompShg"/>
    <s v="VinylSd"/>
    <s v="VinylSd"/>
    <s v="Stone"/>
    <n v="82"/>
    <s v="Gd"/>
    <s v="TA"/>
    <s v="PConc"/>
    <s v="Gd"/>
    <s v="TA"/>
    <s v="Av"/>
    <s v="GLQ"/>
    <n v="724"/>
    <s v="Unf"/>
    <n v="0"/>
    <n v="508"/>
    <n v="1232"/>
    <s v="GasA"/>
    <s v="Ex"/>
    <s v="Y"/>
    <s v="SBrkr"/>
    <n v="1232"/>
    <n v="0"/>
    <n v="0"/>
    <x v="149"/>
    <n v="1"/>
    <n v="0"/>
    <n v="2"/>
    <n v="0"/>
    <n v="2"/>
    <n v="1"/>
    <s v="Gd"/>
    <n v="6"/>
    <s v="Typ"/>
    <n v="0"/>
    <s v="NA"/>
    <s v="Attchd"/>
    <n v="2007"/>
    <s v="RFn"/>
    <n v="2"/>
    <n v="632"/>
    <s v="TA"/>
    <s v="TA"/>
    <s v="Y"/>
    <n v="132"/>
    <n v="0"/>
    <n v="0"/>
    <n v="0"/>
    <n v="0"/>
    <n v="0"/>
    <s v="NA"/>
    <s v="NA"/>
    <s v="NA"/>
    <n v="0"/>
    <n v="2"/>
    <n v="2009"/>
    <s v="WD"/>
    <s v="Normal"/>
    <n v="194500"/>
  </r>
  <r>
    <n v="729"/>
    <n v="90"/>
    <s v="RL"/>
    <n v="85"/>
    <n v="11475"/>
    <s v="Pave"/>
    <s v="NA"/>
    <s v="Reg"/>
    <s v="Lvl"/>
    <s v="AllPub"/>
    <s v="Corner"/>
    <s v="Gtl"/>
    <x v="11"/>
    <x v="0"/>
    <s v="Norm"/>
    <x v="2"/>
    <x v="1"/>
    <n v="5"/>
    <n v="5"/>
    <x v="18"/>
    <n v="1958"/>
    <s v="Gable"/>
    <s v="CompShg"/>
    <s v="VinylSd"/>
    <s v="VinylSd"/>
    <s v="BrkFace"/>
    <n v="95"/>
    <s v="TA"/>
    <s v="TA"/>
    <s v="CBlock"/>
    <s v="TA"/>
    <s v="TA"/>
    <s v="No"/>
    <s v="Unf"/>
    <n v="0"/>
    <s v="Unf"/>
    <n v="0"/>
    <n v="1584"/>
    <n v="1584"/>
    <s v="GasA"/>
    <s v="TA"/>
    <s v="Y"/>
    <s v="SBrkr"/>
    <n v="1776"/>
    <n v="0"/>
    <n v="0"/>
    <x v="540"/>
    <n v="1"/>
    <n v="0"/>
    <n v="2"/>
    <n v="0"/>
    <n v="4"/>
    <n v="2"/>
    <s v="TA"/>
    <n v="9"/>
    <s v="Typ"/>
    <n v="0"/>
    <s v="NA"/>
    <s v="Detchd"/>
    <n v="1968"/>
    <s v="Unf"/>
    <n v="3"/>
    <n v="888"/>
    <s v="TA"/>
    <s v="TA"/>
    <s v="Y"/>
    <n v="0"/>
    <n v="25"/>
    <n v="0"/>
    <n v="0"/>
    <n v="0"/>
    <n v="0"/>
    <s v="NA"/>
    <s v="NA"/>
    <s v="NA"/>
    <n v="0"/>
    <n v="7"/>
    <n v="2009"/>
    <s v="COD"/>
    <s v="Abnorml"/>
    <n v="110000"/>
  </r>
  <r>
    <n v="730"/>
    <n v="30"/>
    <s v="RM"/>
    <n v="52"/>
    <n v="6240"/>
    <s v="Pave"/>
    <s v="Grvl"/>
    <s v="Reg"/>
    <s v="Lvl"/>
    <s v="AllPub"/>
    <s v="Inside"/>
    <s v="Gtl"/>
    <x v="13"/>
    <x v="0"/>
    <s v="Norm"/>
    <x v="0"/>
    <x v="2"/>
    <n v="4"/>
    <n v="5"/>
    <x v="82"/>
    <n v="1950"/>
    <s v="Gable"/>
    <s v="CompShg"/>
    <s v="MetalSd"/>
    <s v="MetalSd"/>
    <s v="None"/>
    <n v="0"/>
    <s v="TA"/>
    <s v="TA"/>
    <s v="CBlock"/>
    <s v="TA"/>
    <s v="TA"/>
    <s v="No"/>
    <s v="BLQ"/>
    <n v="152"/>
    <s v="Unf"/>
    <n v="0"/>
    <n v="628"/>
    <n v="780"/>
    <s v="GasA"/>
    <s v="TA"/>
    <s v="Y"/>
    <s v="FuseA"/>
    <n v="848"/>
    <n v="0"/>
    <n v="360"/>
    <x v="349"/>
    <n v="0"/>
    <n v="0"/>
    <n v="1"/>
    <n v="0"/>
    <n v="2"/>
    <n v="1"/>
    <s v="TA"/>
    <n v="5"/>
    <s v="Typ"/>
    <n v="0"/>
    <s v="NA"/>
    <s v="Detchd"/>
    <n v="1962"/>
    <s v="Unf"/>
    <n v="2"/>
    <n v="539"/>
    <s v="TA"/>
    <s v="TA"/>
    <s v="Y"/>
    <n v="0"/>
    <n v="23"/>
    <n v="112"/>
    <n v="0"/>
    <n v="0"/>
    <n v="0"/>
    <s v="NA"/>
    <s v="NA"/>
    <s v="NA"/>
    <n v="0"/>
    <n v="1"/>
    <n v="2009"/>
    <s v="WD"/>
    <s v="Normal"/>
    <n v="103000"/>
  </r>
  <r>
    <n v="731"/>
    <n v="120"/>
    <s v="RL"/>
    <n v="39"/>
    <n v="5389"/>
    <s v="Pave"/>
    <s v="NA"/>
    <s v="IR1"/>
    <s v="Lvl"/>
    <s v="AllPub"/>
    <s v="Inside"/>
    <s v="Gtl"/>
    <x v="18"/>
    <x v="0"/>
    <s v="Norm"/>
    <x v="3"/>
    <x v="1"/>
    <n v="8"/>
    <n v="5"/>
    <x v="49"/>
    <n v="1996"/>
    <s v="Gable"/>
    <s v="CompShg"/>
    <s v="CemntBd"/>
    <s v="CmentBd"/>
    <s v="None"/>
    <n v="0"/>
    <s v="Gd"/>
    <s v="TA"/>
    <s v="PConc"/>
    <s v="Gd"/>
    <s v="TA"/>
    <s v="No"/>
    <s v="GLQ"/>
    <n v="1180"/>
    <s v="Unf"/>
    <n v="0"/>
    <n v="415"/>
    <n v="1595"/>
    <s v="GasA"/>
    <s v="Ex"/>
    <s v="Y"/>
    <s v="SBrkr"/>
    <n v="1616"/>
    <n v="0"/>
    <n v="0"/>
    <x v="153"/>
    <n v="1"/>
    <n v="0"/>
    <n v="2"/>
    <n v="0"/>
    <n v="2"/>
    <n v="1"/>
    <s v="Gd"/>
    <n v="5"/>
    <s v="Typ"/>
    <n v="1"/>
    <s v="TA"/>
    <s v="Attchd"/>
    <n v="1995"/>
    <s v="RFn"/>
    <n v="2"/>
    <n v="608"/>
    <s v="TA"/>
    <s v="TA"/>
    <s v="Y"/>
    <n v="237"/>
    <n v="152"/>
    <n v="0"/>
    <n v="0"/>
    <n v="0"/>
    <n v="0"/>
    <s v="NA"/>
    <s v="NA"/>
    <s v="NA"/>
    <n v="0"/>
    <n v="3"/>
    <n v="2010"/>
    <s v="WD"/>
    <s v="Normal"/>
    <n v="236500"/>
  </r>
  <r>
    <n v="732"/>
    <n v="80"/>
    <s v="RL"/>
    <n v="73"/>
    <n v="9590"/>
    <s v="Pave"/>
    <s v="NA"/>
    <s v="IR1"/>
    <s v="Lvl"/>
    <s v="AllPub"/>
    <s v="Corner"/>
    <s v="Gtl"/>
    <x v="16"/>
    <x v="0"/>
    <s v="Norm"/>
    <x v="0"/>
    <x v="5"/>
    <n v="7"/>
    <n v="5"/>
    <x v="0"/>
    <n v="2003"/>
    <s v="Gable"/>
    <s v="CompShg"/>
    <s v="VinylSd"/>
    <s v="VinylSd"/>
    <s v="BrkFace"/>
    <n v="442"/>
    <s v="Gd"/>
    <s v="TA"/>
    <s v="PConc"/>
    <s v="Ex"/>
    <s v="TA"/>
    <s v="Av"/>
    <s v="GLQ"/>
    <n v="786"/>
    <s v="Unf"/>
    <n v="0"/>
    <n v="82"/>
    <n v="868"/>
    <s v="GasA"/>
    <s v="Ex"/>
    <s v="Y"/>
    <s v="SBrkr"/>
    <n v="1146"/>
    <n v="0"/>
    <n v="0"/>
    <x v="541"/>
    <n v="1"/>
    <n v="0"/>
    <n v="2"/>
    <n v="0"/>
    <n v="3"/>
    <n v="1"/>
    <s v="Gd"/>
    <n v="6"/>
    <s v="Typ"/>
    <n v="1"/>
    <s v="Gd"/>
    <s v="Attchd"/>
    <n v="2003"/>
    <s v="Fin"/>
    <n v="2"/>
    <n v="438"/>
    <s v="TA"/>
    <s v="TA"/>
    <s v="Y"/>
    <n v="160"/>
    <n v="22"/>
    <n v="0"/>
    <n v="0"/>
    <n v="0"/>
    <n v="0"/>
    <s v="NA"/>
    <s v="NA"/>
    <s v="NA"/>
    <n v="0"/>
    <n v="5"/>
    <n v="2007"/>
    <s v="WD"/>
    <s v="Normal"/>
    <n v="187500"/>
  </r>
  <r>
    <n v="733"/>
    <n v="60"/>
    <s v="RL"/>
    <n v="75"/>
    <n v="11404"/>
    <s v="Pave"/>
    <s v="NA"/>
    <s v="IR1"/>
    <s v="Lvl"/>
    <s v="AllPub"/>
    <s v="Inside"/>
    <s v="Gtl"/>
    <x v="0"/>
    <x v="0"/>
    <s v="Norm"/>
    <x v="0"/>
    <x v="0"/>
    <n v="7"/>
    <n v="5"/>
    <x v="45"/>
    <n v="1999"/>
    <s v="Gable"/>
    <s v="CompShg"/>
    <s v="VinylSd"/>
    <s v="VinylSd"/>
    <s v="BrkFace"/>
    <n v="202"/>
    <s v="Gd"/>
    <s v="TA"/>
    <s v="PConc"/>
    <s v="Gd"/>
    <s v="TA"/>
    <s v="Av"/>
    <s v="ALQ"/>
    <n v="252"/>
    <s v="Unf"/>
    <n v="0"/>
    <n v="901"/>
    <n v="1153"/>
    <s v="GasA"/>
    <s v="Ex"/>
    <s v="Y"/>
    <s v="SBrkr"/>
    <n v="1153"/>
    <n v="878"/>
    <n v="0"/>
    <x v="542"/>
    <n v="0"/>
    <n v="0"/>
    <n v="2"/>
    <n v="1"/>
    <n v="3"/>
    <n v="1"/>
    <s v="Gd"/>
    <n v="8"/>
    <s v="Typ"/>
    <n v="1"/>
    <s v="TA"/>
    <s v="Attchd"/>
    <n v="1998"/>
    <s v="Fin"/>
    <n v="2"/>
    <n v="541"/>
    <s v="TA"/>
    <s v="TA"/>
    <s v="Y"/>
    <n v="192"/>
    <n v="84"/>
    <n v="0"/>
    <n v="0"/>
    <n v="0"/>
    <n v="0"/>
    <s v="NA"/>
    <s v="NA"/>
    <s v="NA"/>
    <n v="0"/>
    <n v="7"/>
    <n v="2008"/>
    <s v="WD"/>
    <s v="Normal"/>
    <n v="222500"/>
  </r>
  <r>
    <n v="734"/>
    <n v="20"/>
    <s v="RL"/>
    <n v="80"/>
    <n v="10000"/>
    <s v="Pave"/>
    <s v="NA"/>
    <s v="Reg"/>
    <s v="Lvl"/>
    <s v="AllPub"/>
    <s v="Corner"/>
    <s v="Gtl"/>
    <x v="9"/>
    <x v="1"/>
    <s v="Norm"/>
    <x v="0"/>
    <x v="1"/>
    <n v="5"/>
    <n v="6"/>
    <x v="53"/>
    <n v="1983"/>
    <s v="Hip"/>
    <s v="CompShg"/>
    <s v="HdBoard"/>
    <s v="HdBoard"/>
    <s v="None"/>
    <n v="0"/>
    <s v="TA"/>
    <s v="TA"/>
    <s v="CBlock"/>
    <s v="TA"/>
    <s v="TA"/>
    <s v="No"/>
    <s v="BLQ"/>
    <n v="594"/>
    <s v="Unf"/>
    <n v="0"/>
    <n v="270"/>
    <n v="864"/>
    <s v="GasA"/>
    <s v="Ex"/>
    <s v="Y"/>
    <s v="SBrkr"/>
    <n v="1144"/>
    <n v="0"/>
    <n v="0"/>
    <x v="327"/>
    <n v="1"/>
    <n v="0"/>
    <n v="1"/>
    <n v="0"/>
    <n v="3"/>
    <n v="1"/>
    <s v="TA"/>
    <n v="6"/>
    <s v="Typ"/>
    <n v="1"/>
    <s v="TA"/>
    <s v="Attchd"/>
    <n v="1961"/>
    <s v="RFn"/>
    <n v="1"/>
    <n v="264"/>
    <s v="TA"/>
    <s v="TA"/>
    <s v="Y"/>
    <n v="165"/>
    <n v="0"/>
    <n v="0"/>
    <n v="0"/>
    <n v="0"/>
    <n v="0"/>
    <s v="NA"/>
    <s v="GdWo"/>
    <s v="Shed"/>
    <n v="400"/>
    <n v="3"/>
    <n v="2009"/>
    <s v="WD"/>
    <s v="Normal"/>
    <n v="131400"/>
  </r>
  <r>
    <n v="735"/>
    <n v="20"/>
    <s v="RL"/>
    <s v="NA"/>
    <n v="8978"/>
    <s v="Pave"/>
    <s v="NA"/>
    <s v="IR1"/>
    <s v="Lvl"/>
    <s v="AllPub"/>
    <s v="Corner"/>
    <s v="Gtl"/>
    <x v="9"/>
    <x v="0"/>
    <s v="Norm"/>
    <x v="0"/>
    <x v="1"/>
    <n v="5"/>
    <n v="5"/>
    <x v="21"/>
    <n v="1968"/>
    <s v="Gable"/>
    <s v="CompShg"/>
    <s v="Plywood"/>
    <s v="Plywood"/>
    <s v="None"/>
    <n v="0"/>
    <s v="TA"/>
    <s v="TA"/>
    <s v="PConc"/>
    <s v="TA"/>
    <s v="TA"/>
    <s v="No"/>
    <s v="Unf"/>
    <n v="0"/>
    <s v="Unf"/>
    <n v="0"/>
    <n v="948"/>
    <n v="948"/>
    <s v="GasA"/>
    <s v="TA"/>
    <s v="Y"/>
    <s v="SBrkr"/>
    <n v="948"/>
    <n v="0"/>
    <n v="0"/>
    <x v="543"/>
    <n v="0"/>
    <n v="0"/>
    <n v="1"/>
    <n v="0"/>
    <n v="3"/>
    <n v="1"/>
    <s v="TA"/>
    <n v="6"/>
    <s v="Typ"/>
    <n v="0"/>
    <s v="NA"/>
    <s v="Attchd"/>
    <n v="1968"/>
    <s v="Unf"/>
    <n v="1"/>
    <n v="300"/>
    <s v="TA"/>
    <s v="TA"/>
    <s v="Y"/>
    <n v="147"/>
    <n v="0"/>
    <n v="0"/>
    <n v="0"/>
    <n v="0"/>
    <n v="0"/>
    <s v="NA"/>
    <s v="NA"/>
    <s v="NA"/>
    <n v="0"/>
    <n v="5"/>
    <n v="2007"/>
    <s v="WD"/>
    <s v="Family"/>
    <n v="108000"/>
  </r>
  <r>
    <n v="736"/>
    <n v="75"/>
    <s v="RM"/>
    <n v="60"/>
    <n v="10800"/>
    <s v="Pave"/>
    <s v="NA"/>
    <s v="Reg"/>
    <s v="Lvl"/>
    <s v="AllPub"/>
    <s v="Inside"/>
    <s v="Gtl"/>
    <x v="7"/>
    <x v="0"/>
    <s v="Norm"/>
    <x v="0"/>
    <x v="6"/>
    <n v="7"/>
    <n v="7"/>
    <x v="101"/>
    <n v="1970"/>
    <s v="Gable"/>
    <s v="CompShg"/>
    <s v="Wd Sdng"/>
    <s v="Wd Sdng"/>
    <s v="None"/>
    <n v="0"/>
    <s v="TA"/>
    <s v="TA"/>
    <s v="BrkTil"/>
    <s v="Gd"/>
    <s v="TA"/>
    <s v="Mn"/>
    <s v="Rec"/>
    <n v="390"/>
    <s v="Unf"/>
    <n v="0"/>
    <n v="490"/>
    <n v="880"/>
    <s v="GasW"/>
    <s v="Fa"/>
    <s v="N"/>
    <s v="SBrkr"/>
    <n v="880"/>
    <n v="888"/>
    <n v="0"/>
    <x v="75"/>
    <n v="0"/>
    <n v="0"/>
    <n v="1"/>
    <n v="1"/>
    <n v="2"/>
    <n v="1"/>
    <s v="TA"/>
    <n v="6"/>
    <s v="Typ"/>
    <n v="2"/>
    <s v="TA"/>
    <s v="Detchd"/>
    <n v="1914"/>
    <s v="Unf"/>
    <n v="2"/>
    <n v="320"/>
    <s v="TA"/>
    <s v="TA"/>
    <s v="N"/>
    <n v="0"/>
    <n v="341"/>
    <n v="0"/>
    <n v="0"/>
    <n v="0"/>
    <n v="0"/>
    <s v="NA"/>
    <s v="NA"/>
    <s v="NA"/>
    <n v="0"/>
    <n v="10"/>
    <n v="2006"/>
    <s v="WD"/>
    <s v="Normal"/>
    <n v="163000"/>
  </r>
  <r>
    <n v="737"/>
    <n v="90"/>
    <s v="RL"/>
    <n v="60"/>
    <n v="8544"/>
    <s v="Pave"/>
    <s v="NA"/>
    <s v="Reg"/>
    <s v="Lvl"/>
    <s v="AllPub"/>
    <s v="Inside"/>
    <s v="Gtl"/>
    <x v="11"/>
    <x v="0"/>
    <s v="Norm"/>
    <x v="2"/>
    <x v="1"/>
    <n v="3"/>
    <n v="4"/>
    <x v="52"/>
    <n v="1950"/>
    <s v="Gable"/>
    <s v="CompShg"/>
    <s v="Stucco"/>
    <s v="Stone"/>
    <s v="None"/>
    <n v="0"/>
    <s v="TA"/>
    <s v="TA"/>
    <s v="CBlock"/>
    <s v="NA"/>
    <s v="NA"/>
    <s v="NA"/>
    <s v="NA"/>
    <n v="0"/>
    <s v="NA"/>
    <n v="0"/>
    <n v="0"/>
    <n v="0"/>
    <s v="GasA"/>
    <s v="Gd"/>
    <s v="N"/>
    <s v="FuseF"/>
    <n v="1040"/>
    <n v="0"/>
    <n v="0"/>
    <x v="10"/>
    <n v="0"/>
    <n v="0"/>
    <n v="2"/>
    <n v="0"/>
    <n v="2"/>
    <n v="2"/>
    <s v="TA"/>
    <n v="6"/>
    <s v="Typ"/>
    <n v="0"/>
    <s v="NA"/>
    <s v="Detchd"/>
    <n v="1949"/>
    <s v="Unf"/>
    <n v="2"/>
    <n v="400"/>
    <s v="TA"/>
    <s v="TA"/>
    <s v="Y"/>
    <n v="0"/>
    <n v="0"/>
    <n v="0"/>
    <n v="0"/>
    <n v="0"/>
    <n v="0"/>
    <s v="NA"/>
    <s v="NA"/>
    <s v="NA"/>
    <n v="0"/>
    <n v="7"/>
    <n v="2006"/>
    <s v="WD"/>
    <s v="Normal"/>
    <n v="93500"/>
  </r>
  <r>
    <n v="738"/>
    <n v="60"/>
    <s v="RL"/>
    <n v="72"/>
    <n v="10463"/>
    <s v="Pave"/>
    <s v="NA"/>
    <s v="IR1"/>
    <s v="HLS"/>
    <s v="AllPub"/>
    <s v="CulDSac"/>
    <s v="Gtl"/>
    <x v="17"/>
    <x v="0"/>
    <s v="Norm"/>
    <x v="0"/>
    <x v="0"/>
    <n v="8"/>
    <n v="5"/>
    <x v="11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93"/>
    <n v="893"/>
    <s v="GasA"/>
    <s v="Ex"/>
    <s v="Y"/>
    <s v="SBrkr"/>
    <n v="901"/>
    <n v="900"/>
    <n v="0"/>
    <x v="400"/>
    <n v="0"/>
    <n v="0"/>
    <n v="2"/>
    <n v="1"/>
    <n v="3"/>
    <n v="1"/>
    <s v="Gd"/>
    <n v="8"/>
    <s v="Typ"/>
    <n v="1"/>
    <s v="Gd"/>
    <s v="Attchd"/>
    <n v="2005"/>
    <s v="Fin"/>
    <n v="3"/>
    <n v="800"/>
    <s v="TA"/>
    <s v="TA"/>
    <s v="Y"/>
    <n v="0"/>
    <n v="116"/>
    <n v="0"/>
    <n v="0"/>
    <n v="0"/>
    <n v="0"/>
    <s v="NA"/>
    <s v="NA"/>
    <s v="NA"/>
    <n v="0"/>
    <n v="6"/>
    <n v="2006"/>
    <s v="WD"/>
    <s v="Normal"/>
    <n v="239900"/>
  </r>
  <r>
    <n v="739"/>
    <n v="90"/>
    <s v="RL"/>
    <n v="60"/>
    <n v="10800"/>
    <s v="Pave"/>
    <s v="NA"/>
    <s v="Reg"/>
    <s v="Lvl"/>
    <s v="AllPub"/>
    <s v="Inside"/>
    <s v="Gtl"/>
    <x v="15"/>
    <x v="0"/>
    <s v="Norm"/>
    <x v="2"/>
    <x v="1"/>
    <n v="5"/>
    <n v="5"/>
    <x v="72"/>
    <n v="1988"/>
    <s v="Gable"/>
    <s v="CompShg"/>
    <s v="Plywood"/>
    <s v="Plywood"/>
    <s v="None"/>
    <n v="0"/>
    <s v="TA"/>
    <s v="TA"/>
    <s v="CBlock"/>
    <s v="Gd"/>
    <s v="Gd"/>
    <s v="Gd"/>
    <s v="GLQ"/>
    <n v="1200"/>
    <s v="Unf"/>
    <n v="0"/>
    <n v="0"/>
    <n v="1200"/>
    <s v="GasA"/>
    <s v="TA"/>
    <s v="Y"/>
    <s v="SBrkr"/>
    <n v="1200"/>
    <n v="0"/>
    <n v="0"/>
    <x v="144"/>
    <n v="3"/>
    <n v="0"/>
    <n v="3"/>
    <n v="0"/>
    <n v="3"/>
    <n v="1"/>
    <s v="TA"/>
    <n v="5"/>
    <s v="Typ"/>
    <n v="0"/>
    <s v="NA"/>
    <s v="NA"/>
    <s v="NA"/>
    <s v="NA"/>
    <n v="0"/>
    <n v="0"/>
    <s v="NA"/>
    <s v="NA"/>
    <s v="Y"/>
    <n v="120"/>
    <n v="0"/>
    <n v="0"/>
    <n v="0"/>
    <n v="0"/>
    <n v="0"/>
    <s v="NA"/>
    <s v="NA"/>
    <s v="NA"/>
    <n v="0"/>
    <n v="3"/>
    <n v="2009"/>
    <s v="WD"/>
    <s v="Alloca"/>
    <n v="179000"/>
  </r>
  <r>
    <n v="740"/>
    <n v="60"/>
    <s v="RL"/>
    <n v="65"/>
    <n v="9313"/>
    <s v="Pave"/>
    <s v="NA"/>
    <s v="IR1"/>
    <s v="Lvl"/>
    <s v="AllPub"/>
    <s v="Inside"/>
    <s v="Gtl"/>
    <x v="0"/>
    <x v="0"/>
    <s v="Norm"/>
    <x v="0"/>
    <x v="0"/>
    <n v="7"/>
    <n v="5"/>
    <x v="6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64"/>
    <n v="864"/>
    <s v="GasA"/>
    <s v="Ex"/>
    <s v="Y"/>
    <s v="SBrkr"/>
    <n v="864"/>
    <n v="864"/>
    <n v="0"/>
    <x v="136"/>
    <n v="0"/>
    <n v="0"/>
    <n v="2"/>
    <n v="1"/>
    <n v="3"/>
    <n v="1"/>
    <s v="Gd"/>
    <n v="7"/>
    <s v="Typ"/>
    <n v="0"/>
    <s v="NA"/>
    <s v="Attchd"/>
    <n v="2004"/>
    <s v="RFn"/>
    <n v="2"/>
    <n v="572"/>
    <s v="TA"/>
    <s v="TA"/>
    <s v="Y"/>
    <n v="187"/>
    <n v="56"/>
    <n v="0"/>
    <n v="0"/>
    <n v="0"/>
    <n v="0"/>
    <s v="NA"/>
    <s v="NA"/>
    <s v="NA"/>
    <n v="0"/>
    <n v="4"/>
    <n v="2009"/>
    <s v="WD"/>
    <s v="Normal"/>
    <n v="190000"/>
  </r>
  <r>
    <n v="741"/>
    <n v="70"/>
    <s v="RM"/>
    <n v="60"/>
    <n v="9600"/>
    <s v="Pave"/>
    <s v="Grvl"/>
    <s v="Reg"/>
    <s v="Lvl"/>
    <s v="AllPub"/>
    <s v="Inside"/>
    <s v="Gtl"/>
    <x v="7"/>
    <x v="0"/>
    <s v="Norm"/>
    <x v="0"/>
    <x v="0"/>
    <n v="5"/>
    <n v="7"/>
    <x v="48"/>
    <n v="2002"/>
    <s v="Gable"/>
    <s v="CompShg"/>
    <s v="Wd Sdng"/>
    <s v="Wd Shng"/>
    <s v="None"/>
    <n v="0"/>
    <s v="TA"/>
    <s v="Gd"/>
    <s v="BrkTil"/>
    <s v="Fa"/>
    <s v="Fa"/>
    <s v="No"/>
    <s v="Unf"/>
    <n v="0"/>
    <s v="Unf"/>
    <n v="0"/>
    <n v="264"/>
    <n v="264"/>
    <s v="GasA"/>
    <s v="Ex"/>
    <s v="Y"/>
    <s v="SBrkr"/>
    <n v="768"/>
    <n v="664"/>
    <n v="0"/>
    <x v="264"/>
    <n v="0"/>
    <n v="0"/>
    <n v="2"/>
    <n v="0"/>
    <n v="2"/>
    <n v="1"/>
    <s v="TA"/>
    <n v="7"/>
    <s v="Typ"/>
    <n v="0"/>
    <s v="NA"/>
    <s v="Detchd"/>
    <n v="1910"/>
    <s v="Unf"/>
    <n v="2"/>
    <n v="360"/>
    <s v="TA"/>
    <s v="Gd"/>
    <s v="Y"/>
    <n v="270"/>
    <n v="0"/>
    <n v="112"/>
    <n v="0"/>
    <n v="0"/>
    <n v="0"/>
    <s v="NA"/>
    <s v="GdPrv"/>
    <s v="NA"/>
    <n v="0"/>
    <n v="5"/>
    <n v="2007"/>
    <s v="WD"/>
    <s v="Abnorml"/>
    <n v="132000"/>
  </r>
  <r>
    <n v="742"/>
    <n v="20"/>
    <s v="RL"/>
    <n v="65"/>
    <n v="6768"/>
    <s v="Pave"/>
    <s v="NA"/>
    <s v="IR1"/>
    <s v="Lvl"/>
    <s v="AllPub"/>
    <s v="Inside"/>
    <s v="Gtl"/>
    <x v="9"/>
    <x v="1"/>
    <s v="Norm"/>
    <x v="0"/>
    <x v="1"/>
    <n v="6"/>
    <n v="8"/>
    <x v="53"/>
    <n v="1996"/>
    <s v="Hip"/>
    <s v="CompShg"/>
    <s v="HdBoard"/>
    <s v="HdBoard"/>
    <s v="None"/>
    <n v="0"/>
    <s v="TA"/>
    <s v="Gd"/>
    <s v="CBlock"/>
    <s v="TA"/>
    <s v="TA"/>
    <s v="Mn"/>
    <s v="GLQ"/>
    <n v="832"/>
    <s v="Unf"/>
    <n v="0"/>
    <n v="80"/>
    <n v="912"/>
    <s v="GasA"/>
    <s v="Gd"/>
    <s v="Y"/>
    <s v="SBrkr"/>
    <n v="912"/>
    <n v="0"/>
    <n v="0"/>
    <x v="12"/>
    <n v="1"/>
    <n v="1"/>
    <n v="1"/>
    <n v="0"/>
    <n v="3"/>
    <n v="1"/>
    <s v="Gd"/>
    <n v="5"/>
    <s v="Typ"/>
    <n v="0"/>
    <s v="NA"/>
    <s v="Detchd"/>
    <n v="1962"/>
    <s v="Unf"/>
    <n v="1"/>
    <n v="288"/>
    <s v="TA"/>
    <s v="TA"/>
    <s v="Y"/>
    <n v="168"/>
    <n v="0"/>
    <n v="0"/>
    <n v="0"/>
    <n v="0"/>
    <n v="0"/>
    <s v="NA"/>
    <s v="GdPrv"/>
    <s v="NA"/>
    <n v="0"/>
    <n v="5"/>
    <n v="2008"/>
    <s v="WD"/>
    <s v="Normal"/>
    <n v="142000"/>
  </r>
  <r>
    <n v="743"/>
    <n v="20"/>
    <s v="RL"/>
    <n v="65"/>
    <n v="8450"/>
    <s v="Pave"/>
    <s v="NA"/>
    <s v="Reg"/>
    <s v="Lvl"/>
    <s v="AllPub"/>
    <s v="Inside"/>
    <s v="Gtl"/>
    <x v="12"/>
    <x v="0"/>
    <s v="Norm"/>
    <x v="0"/>
    <x v="1"/>
    <n v="7"/>
    <n v="5"/>
    <x v="4"/>
    <n v="2001"/>
    <s v="Gable"/>
    <s v="CompShg"/>
    <s v="VinylSd"/>
    <s v="VinylSd"/>
    <s v="BrkFace"/>
    <n v="108"/>
    <s v="TA"/>
    <s v="TA"/>
    <s v="PConc"/>
    <s v="Gd"/>
    <s v="TA"/>
    <s v="No"/>
    <s v="Unf"/>
    <n v="0"/>
    <s v="Unf"/>
    <n v="0"/>
    <n v="1349"/>
    <n v="1349"/>
    <s v="GasA"/>
    <s v="Ex"/>
    <s v="Y"/>
    <s v="SBrkr"/>
    <n v="1349"/>
    <n v="0"/>
    <n v="0"/>
    <x v="544"/>
    <n v="0"/>
    <n v="0"/>
    <n v="2"/>
    <n v="0"/>
    <n v="3"/>
    <n v="1"/>
    <s v="TA"/>
    <n v="6"/>
    <s v="Typ"/>
    <n v="0"/>
    <s v="NA"/>
    <s v="Attchd"/>
    <n v="2000"/>
    <s v="Unf"/>
    <n v="2"/>
    <n v="539"/>
    <s v="TA"/>
    <s v="TA"/>
    <s v="Y"/>
    <n v="120"/>
    <n v="55"/>
    <n v="0"/>
    <n v="0"/>
    <n v="0"/>
    <n v="0"/>
    <s v="NA"/>
    <s v="GdPrv"/>
    <s v="NA"/>
    <n v="0"/>
    <n v="12"/>
    <n v="2007"/>
    <s v="WD"/>
    <s v="Normal"/>
    <n v="179000"/>
  </r>
  <r>
    <n v="744"/>
    <n v="80"/>
    <s v="RL"/>
    <n v="70"/>
    <n v="12886"/>
    <s v="Pave"/>
    <s v="NA"/>
    <s v="IR1"/>
    <s v="Lvl"/>
    <s v="AllPub"/>
    <s v="Inside"/>
    <s v="Gtl"/>
    <x v="9"/>
    <x v="0"/>
    <s v="Norm"/>
    <x v="0"/>
    <x v="5"/>
    <n v="5"/>
    <n v="6"/>
    <x v="37"/>
    <n v="1999"/>
    <s v="Gable"/>
    <s v="CompShg"/>
    <s v="HdBoard"/>
    <s v="HdBoard"/>
    <s v="None"/>
    <n v="0"/>
    <s v="TA"/>
    <s v="TA"/>
    <s v="CBlock"/>
    <s v="Gd"/>
    <s v="TA"/>
    <s v="Av"/>
    <s v="ALQ"/>
    <n v="444"/>
    <s v="Unf"/>
    <n v="0"/>
    <n v="76"/>
    <n v="520"/>
    <s v="GasA"/>
    <s v="Ex"/>
    <s v="Y"/>
    <s v="SBrkr"/>
    <n v="1464"/>
    <n v="0"/>
    <n v="0"/>
    <x v="545"/>
    <n v="0"/>
    <n v="1"/>
    <n v="2"/>
    <n v="0"/>
    <n v="3"/>
    <n v="1"/>
    <s v="TA"/>
    <n v="6"/>
    <s v="Min2"/>
    <n v="1"/>
    <s v="TA"/>
    <s v="Attchd"/>
    <n v="1997"/>
    <s v="RFn"/>
    <n v="2"/>
    <n v="480"/>
    <s v="TA"/>
    <s v="TA"/>
    <s v="Y"/>
    <n v="302"/>
    <n v="0"/>
    <n v="0"/>
    <n v="0"/>
    <n v="100"/>
    <n v="0"/>
    <s v="NA"/>
    <s v="NA"/>
    <s v="NA"/>
    <n v="0"/>
    <n v="10"/>
    <n v="2009"/>
    <s v="WD"/>
    <s v="Normal"/>
    <n v="175000"/>
  </r>
  <r>
    <n v="745"/>
    <n v="120"/>
    <s v="RL"/>
    <n v="41"/>
    <n v="5395"/>
    <s v="Pave"/>
    <s v="NA"/>
    <s v="IR1"/>
    <s v="HLS"/>
    <s v="AllPub"/>
    <s v="Inside"/>
    <s v="Gtl"/>
    <x v="18"/>
    <x v="0"/>
    <s v="Norm"/>
    <x v="3"/>
    <x v="1"/>
    <n v="8"/>
    <n v="5"/>
    <x v="5"/>
    <n v="1993"/>
    <s v="Gable"/>
    <s v="CompShg"/>
    <s v="HdBoard"/>
    <s v="HdBoard"/>
    <s v="None"/>
    <n v="0"/>
    <s v="Gd"/>
    <s v="TA"/>
    <s v="PConc"/>
    <s v="Gd"/>
    <s v="TA"/>
    <s v="No"/>
    <s v="GLQ"/>
    <n v="733"/>
    <s v="Unf"/>
    <n v="0"/>
    <n v="604"/>
    <n v="1337"/>
    <s v="GasA"/>
    <s v="Gd"/>
    <s v="Y"/>
    <s v="SBrkr"/>
    <n v="1337"/>
    <n v="0"/>
    <n v="0"/>
    <x v="78"/>
    <n v="1"/>
    <n v="0"/>
    <n v="2"/>
    <n v="0"/>
    <n v="2"/>
    <n v="1"/>
    <s v="Gd"/>
    <n v="5"/>
    <s v="Typ"/>
    <n v="1"/>
    <s v="TA"/>
    <s v="Attchd"/>
    <n v="1993"/>
    <s v="RFn"/>
    <n v="2"/>
    <n v="462"/>
    <s v="TA"/>
    <s v="TA"/>
    <s v="Y"/>
    <n v="96"/>
    <n v="0"/>
    <n v="70"/>
    <n v="168"/>
    <n v="0"/>
    <n v="0"/>
    <s v="NA"/>
    <s v="NA"/>
    <s v="NA"/>
    <n v="0"/>
    <n v="10"/>
    <n v="2008"/>
    <s v="WD"/>
    <s v="Normal"/>
    <n v="180000"/>
  </r>
  <r>
    <n v="746"/>
    <n v="60"/>
    <s v="RL"/>
    <s v="NA"/>
    <n v="8963"/>
    <s v="Pave"/>
    <s v="NA"/>
    <s v="IR1"/>
    <s v="Lvl"/>
    <s v="AllPub"/>
    <s v="Inside"/>
    <s v="Gtl"/>
    <x v="6"/>
    <x v="0"/>
    <s v="Norm"/>
    <x v="0"/>
    <x v="0"/>
    <n v="8"/>
    <n v="9"/>
    <x v="1"/>
    <n v="1996"/>
    <s v="Hip"/>
    <s v="CompShg"/>
    <s v="VinylSd"/>
    <s v="VinylSd"/>
    <s v="BrkFace"/>
    <n v="289"/>
    <s v="Ex"/>
    <s v="Gd"/>
    <s v="CBlock"/>
    <s v="TA"/>
    <s v="Gd"/>
    <s v="No"/>
    <s v="GLQ"/>
    <n v="575"/>
    <s v="ALQ"/>
    <n v="80"/>
    <n v="487"/>
    <n v="1142"/>
    <s v="GasA"/>
    <s v="Ex"/>
    <s v="Y"/>
    <s v="SBrkr"/>
    <n v="1175"/>
    <n v="1540"/>
    <n v="0"/>
    <x v="546"/>
    <n v="0"/>
    <n v="1"/>
    <n v="3"/>
    <n v="1"/>
    <n v="4"/>
    <n v="1"/>
    <s v="Gd"/>
    <n v="11"/>
    <s v="Typ"/>
    <n v="2"/>
    <s v="TA"/>
    <s v="BuiltIn"/>
    <n v="1994"/>
    <s v="Fin"/>
    <n v="2"/>
    <n v="831"/>
    <s v="TA"/>
    <s v="TA"/>
    <s v="Y"/>
    <n v="0"/>
    <n v="204"/>
    <n v="0"/>
    <n v="0"/>
    <n v="0"/>
    <n v="0"/>
    <s v="NA"/>
    <s v="NA"/>
    <s v="NA"/>
    <n v="0"/>
    <n v="7"/>
    <n v="2008"/>
    <s v="WD"/>
    <s v="Normal"/>
    <n v="299800"/>
  </r>
  <r>
    <n v="747"/>
    <n v="60"/>
    <s v="RL"/>
    <s v="NA"/>
    <n v="8795"/>
    <s v="Pave"/>
    <s v="NA"/>
    <s v="IR1"/>
    <s v="Lvl"/>
    <s v="AllPub"/>
    <s v="Inside"/>
    <s v="Gtl"/>
    <x v="17"/>
    <x v="0"/>
    <s v="Norm"/>
    <x v="0"/>
    <x v="0"/>
    <n v="7"/>
    <n v="5"/>
    <x v="4"/>
    <n v="2000"/>
    <s v="Gable"/>
    <s v="CompShg"/>
    <s v="VinylSd"/>
    <s v="VinylSd"/>
    <s v="None"/>
    <n v="0"/>
    <s v="Gd"/>
    <s v="TA"/>
    <s v="PConc"/>
    <s v="Gd"/>
    <s v="TA"/>
    <s v="No"/>
    <s v="GLQ"/>
    <n v="300"/>
    <s v="Unf"/>
    <n v="0"/>
    <n v="652"/>
    <n v="952"/>
    <s v="GasA"/>
    <s v="Ex"/>
    <s v="Y"/>
    <s v="SBrkr"/>
    <n v="980"/>
    <n v="1276"/>
    <n v="0"/>
    <x v="547"/>
    <n v="0"/>
    <n v="0"/>
    <n v="2"/>
    <n v="1"/>
    <n v="4"/>
    <n v="1"/>
    <s v="Gd"/>
    <n v="8"/>
    <s v="Typ"/>
    <n v="1"/>
    <s v="TA"/>
    <s v="BuiltIn"/>
    <n v="2000"/>
    <s v="Fin"/>
    <n v="2"/>
    <n v="554"/>
    <s v="TA"/>
    <s v="TA"/>
    <s v="Y"/>
    <n v="224"/>
    <n v="54"/>
    <n v="0"/>
    <n v="0"/>
    <n v="0"/>
    <n v="0"/>
    <s v="NA"/>
    <s v="NA"/>
    <s v="NA"/>
    <n v="0"/>
    <n v="4"/>
    <n v="2009"/>
    <s v="WD"/>
    <s v="Normal"/>
    <n v="236000"/>
  </r>
  <r>
    <n v="748"/>
    <n v="70"/>
    <s v="RM"/>
    <n v="65"/>
    <n v="11700"/>
    <s v="Pave"/>
    <s v="Pave"/>
    <s v="IR1"/>
    <s v="Lvl"/>
    <s v="AllPub"/>
    <s v="Corner"/>
    <s v="Gtl"/>
    <x v="7"/>
    <x v="0"/>
    <s v="Norm"/>
    <x v="0"/>
    <x v="0"/>
    <n v="7"/>
    <n v="7"/>
    <x v="88"/>
    <n v="2003"/>
    <s v="Mansard"/>
    <s v="CompShg"/>
    <s v="Stucco"/>
    <s v="Stucco"/>
    <s v="None"/>
    <n v="0"/>
    <s v="Gd"/>
    <s v="TA"/>
    <s v="Stone"/>
    <s v="TA"/>
    <s v="Fa"/>
    <s v="No"/>
    <s v="Unf"/>
    <n v="0"/>
    <s v="Unf"/>
    <n v="0"/>
    <n v="1240"/>
    <n v="1240"/>
    <s v="GasW"/>
    <s v="TA"/>
    <s v="N"/>
    <s v="SBrkr"/>
    <n v="1320"/>
    <n v="1320"/>
    <n v="0"/>
    <x v="548"/>
    <n v="0"/>
    <n v="0"/>
    <n v="1"/>
    <n v="1"/>
    <n v="4"/>
    <n v="1"/>
    <s v="Gd"/>
    <n v="8"/>
    <s v="Typ"/>
    <n v="1"/>
    <s v="Gd"/>
    <s v="Detchd"/>
    <n v="1950"/>
    <s v="Unf"/>
    <n v="4"/>
    <n v="864"/>
    <s v="TA"/>
    <s v="TA"/>
    <s v="N"/>
    <n v="181"/>
    <n v="0"/>
    <n v="386"/>
    <n v="0"/>
    <n v="0"/>
    <n v="0"/>
    <s v="NA"/>
    <s v="NA"/>
    <s v="NA"/>
    <n v="0"/>
    <n v="5"/>
    <n v="2009"/>
    <s v="WD"/>
    <s v="Normal"/>
    <n v="265979"/>
  </r>
  <r>
    <n v="749"/>
    <n v="20"/>
    <s v="RL"/>
    <n v="59"/>
    <n v="10593"/>
    <s v="Pave"/>
    <s v="NA"/>
    <s v="IR1"/>
    <s v="Lvl"/>
    <s v="AllPub"/>
    <s v="Inside"/>
    <s v="Gtl"/>
    <x v="3"/>
    <x v="0"/>
    <s v="Norm"/>
    <x v="0"/>
    <x v="1"/>
    <n v="7"/>
    <n v="5"/>
    <x v="92"/>
    <n v="1996"/>
    <s v="Hip"/>
    <s v="CompShg"/>
    <s v="VinylSd"/>
    <s v="VinylSd"/>
    <s v="BrkFace"/>
    <n v="338"/>
    <s v="Gd"/>
    <s v="TA"/>
    <s v="PConc"/>
    <s v="Gd"/>
    <s v="TA"/>
    <s v="No"/>
    <s v="GLQ"/>
    <n v="919"/>
    <s v="Unf"/>
    <n v="0"/>
    <n v="801"/>
    <n v="1720"/>
    <s v="GasA"/>
    <s v="Ex"/>
    <s v="Y"/>
    <s v="SBrkr"/>
    <n v="1720"/>
    <n v="0"/>
    <n v="0"/>
    <x v="55"/>
    <n v="1"/>
    <n v="0"/>
    <n v="2"/>
    <n v="0"/>
    <n v="3"/>
    <n v="1"/>
    <s v="Gd"/>
    <n v="7"/>
    <s v="Typ"/>
    <n v="1"/>
    <s v="TA"/>
    <s v="Attchd"/>
    <n v="1996"/>
    <s v="Fin"/>
    <n v="2"/>
    <n v="527"/>
    <s v="TA"/>
    <s v="TA"/>
    <s v="Y"/>
    <n v="240"/>
    <n v="56"/>
    <n v="154"/>
    <n v="0"/>
    <n v="0"/>
    <n v="0"/>
    <s v="NA"/>
    <s v="NA"/>
    <s v="NA"/>
    <n v="0"/>
    <n v="3"/>
    <n v="2010"/>
    <s v="WD"/>
    <s v="Normal"/>
    <n v="260400"/>
  </r>
  <r>
    <n v="750"/>
    <n v="50"/>
    <s v="RL"/>
    <n v="50"/>
    <n v="8405"/>
    <s v="Pave"/>
    <s v="NA"/>
    <s v="Reg"/>
    <s v="Lvl"/>
    <s v="AllPub"/>
    <s v="Inside"/>
    <s v="Gtl"/>
    <x v="15"/>
    <x v="0"/>
    <s v="Norm"/>
    <x v="0"/>
    <x v="2"/>
    <n v="4"/>
    <n v="3"/>
    <x v="43"/>
    <n v="1950"/>
    <s v="Gable"/>
    <s v="CompShg"/>
    <s v="WdShing"/>
    <s v="Wd Shng"/>
    <s v="None"/>
    <n v="0"/>
    <s v="TA"/>
    <s v="TA"/>
    <s v="Slab"/>
    <s v="NA"/>
    <s v="NA"/>
    <s v="NA"/>
    <s v="NA"/>
    <n v="0"/>
    <s v="NA"/>
    <n v="0"/>
    <n v="0"/>
    <n v="0"/>
    <s v="Wall"/>
    <s v="TA"/>
    <s v="N"/>
    <s v="FuseF"/>
    <n v="1088"/>
    <n v="441"/>
    <n v="0"/>
    <x v="549"/>
    <n v="0"/>
    <n v="0"/>
    <n v="2"/>
    <n v="0"/>
    <n v="4"/>
    <n v="1"/>
    <s v="TA"/>
    <n v="9"/>
    <s v="Mod"/>
    <n v="0"/>
    <s v="NA"/>
    <s v="Detchd"/>
    <n v="1945"/>
    <s v="Unf"/>
    <n v="1"/>
    <n v="240"/>
    <s v="TA"/>
    <s v="TA"/>
    <s v="N"/>
    <n v="92"/>
    <n v="0"/>
    <n v="185"/>
    <n v="0"/>
    <n v="0"/>
    <n v="0"/>
    <s v="NA"/>
    <s v="NA"/>
    <s v="NA"/>
    <n v="0"/>
    <n v="4"/>
    <n v="2009"/>
    <s v="WD"/>
    <s v="Normal"/>
    <n v="98000"/>
  </r>
  <r>
    <n v="751"/>
    <n v="50"/>
    <s v="RM"/>
    <n v="55"/>
    <n v="8800"/>
    <s v="Pave"/>
    <s v="Grvl"/>
    <s v="Reg"/>
    <s v="Lvl"/>
    <s v="AllPub"/>
    <s v="Corner"/>
    <s v="Gtl"/>
    <x v="7"/>
    <x v="0"/>
    <s v="Norm"/>
    <x v="0"/>
    <x v="2"/>
    <n v="4"/>
    <n v="7"/>
    <x v="48"/>
    <n v="2004"/>
    <s v="Gable"/>
    <s v="CompShg"/>
    <s v="Wd Sdng"/>
    <s v="Wd Sdng"/>
    <s v="None"/>
    <n v="0"/>
    <s v="TA"/>
    <s v="TA"/>
    <s v="BrkTil"/>
    <s v="TA"/>
    <s v="Fa"/>
    <s v="No"/>
    <s v="Unf"/>
    <n v="0"/>
    <s v="Unf"/>
    <n v="0"/>
    <n v="576"/>
    <n v="576"/>
    <s v="GasA"/>
    <s v="Gd"/>
    <s v="Y"/>
    <s v="SBrkr"/>
    <n v="792"/>
    <n v="348"/>
    <n v="0"/>
    <x v="550"/>
    <n v="0"/>
    <n v="0"/>
    <n v="1"/>
    <n v="0"/>
    <n v="3"/>
    <n v="1"/>
    <s v="TA"/>
    <n v="7"/>
    <s v="Min2"/>
    <n v="0"/>
    <s v="NA"/>
    <s v="NA"/>
    <s v="NA"/>
    <s v="NA"/>
    <n v="0"/>
    <n v="0"/>
    <s v="NA"/>
    <s v="NA"/>
    <s v="N"/>
    <n v="0"/>
    <n v="160"/>
    <n v="0"/>
    <n v="0"/>
    <n v="0"/>
    <n v="0"/>
    <s v="NA"/>
    <s v="NA"/>
    <s v="NA"/>
    <n v="0"/>
    <n v="6"/>
    <n v="2010"/>
    <s v="WD"/>
    <s v="Normal"/>
    <n v="96500"/>
  </r>
  <r>
    <n v="752"/>
    <n v="60"/>
    <s v="RL"/>
    <s v="NA"/>
    <n v="7750"/>
    <s v="Pave"/>
    <s v="NA"/>
    <s v="Reg"/>
    <s v="Lvl"/>
    <s v="AllPub"/>
    <s v="Inside"/>
    <s v="Gtl"/>
    <x v="17"/>
    <x v="6"/>
    <s v="Norm"/>
    <x v="0"/>
    <x v="0"/>
    <n v="7"/>
    <n v="5"/>
    <x v="0"/>
    <n v="2003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660"/>
    <n v="660"/>
    <s v="GasA"/>
    <s v="Ex"/>
    <s v="Y"/>
    <s v="SBrkr"/>
    <n v="660"/>
    <n v="660"/>
    <n v="0"/>
    <x v="452"/>
    <n v="0"/>
    <n v="0"/>
    <n v="2"/>
    <n v="1"/>
    <n v="3"/>
    <n v="1"/>
    <s v="Gd"/>
    <n v="6"/>
    <s v="Typ"/>
    <n v="0"/>
    <s v="NA"/>
    <s v="Attchd"/>
    <n v="2003"/>
    <s v="Fin"/>
    <n v="2"/>
    <n v="400"/>
    <s v="TA"/>
    <s v="TA"/>
    <s v="Y"/>
    <n v="0"/>
    <n v="48"/>
    <n v="0"/>
    <n v="0"/>
    <n v="0"/>
    <n v="0"/>
    <s v="NA"/>
    <s v="NA"/>
    <s v="NA"/>
    <n v="0"/>
    <n v="8"/>
    <n v="2007"/>
    <s v="WD"/>
    <s v="Normal"/>
    <n v="162000"/>
  </r>
  <r>
    <n v="753"/>
    <n v="20"/>
    <s v="RL"/>
    <n v="79"/>
    <n v="9236"/>
    <s v="Pave"/>
    <s v="NA"/>
    <s v="IR1"/>
    <s v="Lvl"/>
    <s v="AllPub"/>
    <s v="Inside"/>
    <s v="Gtl"/>
    <x v="0"/>
    <x v="0"/>
    <s v="Norm"/>
    <x v="0"/>
    <x v="1"/>
    <n v="6"/>
    <n v="5"/>
    <x v="35"/>
    <n v="1997"/>
    <s v="Gable"/>
    <s v="CompShg"/>
    <s v="VinylSd"/>
    <s v="VinylSd"/>
    <s v="None"/>
    <n v="0"/>
    <s v="TA"/>
    <s v="Gd"/>
    <s v="PConc"/>
    <s v="Gd"/>
    <s v="TA"/>
    <s v="Gd"/>
    <s v="GLQ"/>
    <n v="1200"/>
    <s v="Unf"/>
    <n v="0"/>
    <n v="279"/>
    <n v="1479"/>
    <s v="GasA"/>
    <s v="Ex"/>
    <s v="Y"/>
    <s v="SBrkr"/>
    <n v="1494"/>
    <n v="0"/>
    <n v="0"/>
    <x v="13"/>
    <n v="1"/>
    <n v="0"/>
    <n v="2"/>
    <n v="0"/>
    <n v="3"/>
    <n v="1"/>
    <s v="Gd"/>
    <n v="6"/>
    <s v="Typ"/>
    <n v="0"/>
    <s v="NA"/>
    <s v="Attchd"/>
    <n v="1997"/>
    <s v="RFn"/>
    <n v="2"/>
    <n v="576"/>
    <s v="TA"/>
    <s v="TA"/>
    <s v="Y"/>
    <n v="168"/>
    <n v="27"/>
    <n v="0"/>
    <n v="0"/>
    <n v="0"/>
    <n v="0"/>
    <s v="NA"/>
    <s v="NA"/>
    <s v="NA"/>
    <n v="0"/>
    <n v="7"/>
    <n v="2006"/>
    <s v="WD"/>
    <s v="Normal"/>
    <n v="217000"/>
  </r>
  <r>
    <n v="754"/>
    <n v="60"/>
    <s v="RL"/>
    <n v="80"/>
    <n v="10240"/>
    <s v="Pave"/>
    <s v="NA"/>
    <s v="Reg"/>
    <s v="Lvl"/>
    <s v="AllPub"/>
    <s v="Inside"/>
    <s v="Gtl"/>
    <x v="10"/>
    <x v="0"/>
    <s v="Norm"/>
    <x v="0"/>
    <x v="0"/>
    <n v="8"/>
    <n v="5"/>
    <x v="11"/>
    <n v="2005"/>
    <s v="Gable"/>
    <s v="CompShg"/>
    <s v="VinylSd"/>
    <s v="VinylSd"/>
    <s v="BrkFace"/>
    <n v="178"/>
    <s v="Gd"/>
    <s v="TA"/>
    <s v="PConc"/>
    <s v="Gd"/>
    <s v="TA"/>
    <s v="Mn"/>
    <s v="Unf"/>
    <n v="0"/>
    <s v="Unf"/>
    <n v="0"/>
    <n v="1030"/>
    <n v="1030"/>
    <s v="GasA"/>
    <s v="Gd"/>
    <s v="Y"/>
    <s v="SBrkr"/>
    <n v="1038"/>
    <n v="1060"/>
    <n v="0"/>
    <x v="551"/>
    <n v="0"/>
    <n v="0"/>
    <n v="2"/>
    <n v="1"/>
    <n v="3"/>
    <n v="1"/>
    <s v="Ex"/>
    <n v="8"/>
    <s v="Typ"/>
    <n v="1"/>
    <s v="Gd"/>
    <s v="Attchd"/>
    <n v="2005"/>
    <s v="RFn"/>
    <n v="3"/>
    <n v="878"/>
    <s v="TA"/>
    <s v="TA"/>
    <s v="Y"/>
    <n v="192"/>
    <n v="52"/>
    <n v="0"/>
    <n v="0"/>
    <n v="0"/>
    <n v="0"/>
    <s v="NA"/>
    <s v="NA"/>
    <s v="NA"/>
    <n v="0"/>
    <n v="3"/>
    <n v="2006"/>
    <s v="WD"/>
    <s v="Normal"/>
    <n v="275500"/>
  </r>
  <r>
    <n v="755"/>
    <n v="20"/>
    <s v="RL"/>
    <n v="61"/>
    <n v="7930"/>
    <s v="Pave"/>
    <s v="NA"/>
    <s v="Reg"/>
    <s v="Lvl"/>
    <s v="AllPub"/>
    <s v="Inside"/>
    <s v="Gtl"/>
    <x v="11"/>
    <x v="0"/>
    <s v="Norm"/>
    <x v="0"/>
    <x v="1"/>
    <n v="6"/>
    <n v="8"/>
    <x v="60"/>
    <n v="2005"/>
    <s v="Gable"/>
    <s v="CompShg"/>
    <s v="Plywood"/>
    <s v="Plywood"/>
    <s v="None"/>
    <n v="0"/>
    <s v="TA"/>
    <s v="TA"/>
    <s v="CBlock"/>
    <s v="TA"/>
    <s v="TA"/>
    <s v="No"/>
    <s v="GLQ"/>
    <n v="439"/>
    <s v="LwQ"/>
    <n v="472"/>
    <n v="115"/>
    <n v="1026"/>
    <s v="GasA"/>
    <s v="Gd"/>
    <s v="Y"/>
    <s v="SBrkr"/>
    <n v="1026"/>
    <n v="0"/>
    <n v="0"/>
    <x v="552"/>
    <n v="1"/>
    <n v="0"/>
    <n v="1"/>
    <n v="0"/>
    <n v="3"/>
    <n v="1"/>
    <s v="Gd"/>
    <n v="5"/>
    <s v="Typ"/>
    <n v="0"/>
    <s v="NA"/>
    <s v="Detchd"/>
    <n v="1969"/>
    <s v="RFn"/>
    <n v="2"/>
    <n v="440"/>
    <s v="TA"/>
    <s v="TA"/>
    <s v="Y"/>
    <n v="171"/>
    <n v="48"/>
    <n v="0"/>
    <n v="0"/>
    <n v="0"/>
    <n v="0"/>
    <s v="NA"/>
    <s v="NA"/>
    <s v="NA"/>
    <n v="0"/>
    <n v="7"/>
    <n v="2009"/>
    <s v="WD"/>
    <s v="Normal"/>
    <n v="156000"/>
  </r>
  <r>
    <n v="756"/>
    <n v="160"/>
    <s v="FV"/>
    <n v="34"/>
    <n v="3230"/>
    <s v="Pave"/>
    <s v="Pave"/>
    <s v="Reg"/>
    <s v="Lvl"/>
    <s v="AllPub"/>
    <s v="Inside"/>
    <s v="Gtl"/>
    <x v="5"/>
    <x v="0"/>
    <s v="Norm"/>
    <x v="3"/>
    <x v="0"/>
    <n v="6"/>
    <n v="5"/>
    <x v="40"/>
    <n v="1999"/>
    <s v="Gable"/>
    <s v="CompShg"/>
    <s v="MetalSd"/>
    <s v="MetalSd"/>
    <s v="BrkFace"/>
    <n v="894"/>
    <s v="TA"/>
    <s v="TA"/>
    <s v="PConc"/>
    <s v="Gd"/>
    <s v="TA"/>
    <s v="No"/>
    <s v="GLQ"/>
    <n v="381"/>
    <s v="Unf"/>
    <n v="0"/>
    <n v="348"/>
    <n v="729"/>
    <s v="GasA"/>
    <s v="Gd"/>
    <s v="Y"/>
    <s v="SBrkr"/>
    <n v="742"/>
    <n v="729"/>
    <n v="0"/>
    <x v="553"/>
    <n v="0"/>
    <n v="0"/>
    <n v="2"/>
    <n v="1"/>
    <n v="3"/>
    <n v="1"/>
    <s v="TA"/>
    <n v="6"/>
    <s v="Typ"/>
    <n v="0"/>
    <s v="NA"/>
    <s v="Detchd"/>
    <n v="1999"/>
    <s v="Unf"/>
    <n v="2"/>
    <n v="440"/>
    <s v="TA"/>
    <s v="TA"/>
    <s v="Y"/>
    <n v="0"/>
    <n v="24"/>
    <n v="0"/>
    <n v="0"/>
    <n v="0"/>
    <n v="0"/>
    <s v="NA"/>
    <s v="NA"/>
    <s v="NA"/>
    <n v="0"/>
    <n v="3"/>
    <n v="2009"/>
    <s v="WD"/>
    <s v="Normal"/>
    <n v="172500"/>
  </r>
  <r>
    <n v="757"/>
    <n v="60"/>
    <s v="RL"/>
    <n v="68"/>
    <n v="10769"/>
    <s v="Pave"/>
    <s v="NA"/>
    <s v="IR1"/>
    <s v="Lvl"/>
    <s v="AllPub"/>
    <s v="Inside"/>
    <s v="Gtl"/>
    <x v="0"/>
    <x v="0"/>
    <s v="Norm"/>
    <x v="0"/>
    <x v="0"/>
    <n v="8"/>
    <n v="5"/>
    <x v="22"/>
    <n v="2007"/>
    <s v="Gable"/>
    <s v="CompShg"/>
    <s v="VinylSd"/>
    <s v="VinylSd"/>
    <s v="None"/>
    <n v="0"/>
    <s v="Gd"/>
    <s v="TA"/>
    <s v="PConc"/>
    <s v="Gd"/>
    <s v="TA"/>
    <s v="Av"/>
    <s v="GLQ"/>
    <n v="20"/>
    <s v="Unf"/>
    <n v="0"/>
    <n v="846"/>
    <n v="866"/>
    <s v="GasA"/>
    <s v="Ex"/>
    <s v="Y"/>
    <s v="SBrkr"/>
    <n v="866"/>
    <n v="902"/>
    <n v="0"/>
    <x v="75"/>
    <n v="0"/>
    <n v="0"/>
    <n v="2"/>
    <n v="1"/>
    <n v="3"/>
    <n v="1"/>
    <s v="Gd"/>
    <n v="7"/>
    <s v="Typ"/>
    <n v="0"/>
    <s v="NA"/>
    <s v="Attchd"/>
    <n v="2007"/>
    <s v="RFn"/>
    <n v="2"/>
    <n v="578"/>
    <s v="TA"/>
    <s v="TA"/>
    <s v="Y"/>
    <n v="144"/>
    <n v="105"/>
    <n v="0"/>
    <n v="0"/>
    <n v="0"/>
    <n v="0"/>
    <s v="NA"/>
    <s v="NA"/>
    <s v="NA"/>
    <n v="0"/>
    <n v="4"/>
    <n v="2009"/>
    <s v="WD"/>
    <s v="Normal"/>
    <n v="212000"/>
  </r>
  <r>
    <n v="758"/>
    <n v="60"/>
    <s v="RL"/>
    <s v="NA"/>
    <n v="11616"/>
    <s v="Pave"/>
    <s v="NA"/>
    <s v="IR1"/>
    <s v="Lvl"/>
    <s v="AllPub"/>
    <s v="CulDSac"/>
    <s v="Gtl"/>
    <x v="9"/>
    <x v="0"/>
    <s v="Norm"/>
    <x v="0"/>
    <x v="0"/>
    <n v="6"/>
    <n v="5"/>
    <x v="90"/>
    <n v="1978"/>
    <s v="Hip"/>
    <s v="CompShg"/>
    <s v="HdBoard"/>
    <s v="HdBoard"/>
    <s v="BrkCmn"/>
    <n v="328"/>
    <s v="TA"/>
    <s v="TA"/>
    <s v="CBlock"/>
    <s v="TA"/>
    <s v="TA"/>
    <s v="Mn"/>
    <s v="Rec"/>
    <n v="438"/>
    <s v="Unf"/>
    <n v="0"/>
    <n v="234"/>
    <n v="672"/>
    <s v="GasA"/>
    <s v="TA"/>
    <s v="Y"/>
    <s v="SBrkr"/>
    <n v="672"/>
    <n v="714"/>
    <n v="0"/>
    <x v="554"/>
    <n v="0"/>
    <n v="0"/>
    <n v="2"/>
    <n v="1"/>
    <n v="3"/>
    <n v="1"/>
    <s v="TA"/>
    <n v="6"/>
    <s v="Typ"/>
    <n v="1"/>
    <s v="TA"/>
    <s v="Attchd"/>
    <n v="1978"/>
    <s v="Fin"/>
    <n v="2"/>
    <n v="440"/>
    <s v="TA"/>
    <s v="TA"/>
    <s v="Y"/>
    <n v="335"/>
    <n v="0"/>
    <n v="0"/>
    <n v="0"/>
    <n v="0"/>
    <n v="0"/>
    <s v="NA"/>
    <s v="GdPrv"/>
    <s v="NA"/>
    <n v="0"/>
    <n v="4"/>
    <n v="2010"/>
    <s v="WD"/>
    <s v="Abnorml"/>
    <n v="158900"/>
  </r>
  <r>
    <n v="759"/>
    <n v="160"/>
    <s v="FV"/>
    <n v="24"/>
    <n v="2280"/>
    <s v="Pave"/>
    <s v="Pave"/>
    <s v="Reg"/>
    <s v="Lvl"/>
    <s v="AllPub"/>
    <s v="Inside"/>
    <s v="Gtl"/>
    <x v="5"/>
    <x v="0"/>
    <s v="Norm"/>
    <x v="4"/>
    <x v="0"/>
    <n v="7"/>
    <n v="5"/>
    <x v="40"/>
    <n v="1999"/>
    <s v="Gable"/>
    <s v="CompShg"/>
    <s v="MetalSd"/>
    <s v="MetalSd"/>
    <s v="BrkFace"/>
    <n v="360"/>
    <s v="TA"/>
    <s v="TA"/>
    <s v="PConc"/>
    <s v="Gd"/>
    <s v="TA"/>
    <s v="No"/>
    <s v="ALQ"/>
    <n v="549"/>
    <s v="Unf"/>
    <n v="0"/>
    <n v="195"/>
    <n v="744"/>
    <s v="GasA"/>
    <s v="Gd"/>
    <s v="Y"/>
    <s v="SBrkr"/>
    <n v="757"/>
    <n v="744"/>
    <n v="0"/>
    <x v="135"/>
    <n v="0"/>
    <n v="0"/>
    <n v="2"/>
    <n v="1"/>
    <n v="3"/>
    <n v="1"/>
    <s v="TA"/>
    <n v="6"/>
    <s v="Typ"/>
    <n v="0"/>
    <s v="NA"/>
    <s v="Detchd"/>
    <n v="1999"/>
    <s v="Unf"/>
    <n v="2"/>
    <n v="440"/>
    <s v="TA"/>
    <s v="TA"/>
    <s v="Y"/>
    <n v="0"/>
    <n v="0"/>
    <n v="0"/>
    <n v="0"/>
    <n v="0"/>
    <n v="0"/>
    <s v="NA"/>
    <s v="NA"/>
    <s v="NA"/>
    <n v="0"/>
    <n v="8"/>
    <n v="2008"/>
    <s v="WD"/>
    <s v="Normal"/>
    <n v="179400"/>
  </r>
  <r>
    <n v="760"/>
    <n v="60"/>
    <s v="RL"/>
    <n v="65"/>
    <n v="12257"/>
    <s v="Pave"/>
    <s v="NA"/>
    <s v="IR1"/>
    <s v="Lvl"/>
    <s v="AllPub"/>
    <s v="Inside"/>
    <s v="Gtl"/>
    <x v="3"/>
    <x v="0"/>
    <s v="Norm"/>
    <x v="0"/>
    <x v="0"/>
    <n v="8"/>
    <n v="5"/>
    <x v="49"/>
    <n v="1995"/>
    <s v="Gable"/>
    <s v="CompShg"/>
    <s v="VinylSd"/>
    <s v="VinylSd"/>
    <s v="BrkFace"/>
    <n v="513"/>
    <s v="Gd"/>
    <s v="TA"/>
    <s v="PConc"/>
    <s v="Gd"/>
    <s v="TA"/>
    <s v="Av"/>
    <s v="LwQ"/>
    <n v="56"/>
    <s v="ALQ"/>
    <n v="64"/>
    <n v="1198"/>
    <n v="1318"/>
    <s v="GasA"/>
    <s v="Ex"/>
    <s v="Y"/>
    <s v="SBrkr"/>
    <n v="1328"/>
    <n v="1203"/>
    <n v="0"/>
    <x v="555"/>
    <n v="0"/>
    <n v="0"/>
    <n v="2"/>
    <n v="1"/>
    <n v="4"/>
    <n v="1"/>
    <s v="Gd"/>
    <n v="9"/>
    <s v="Typ"/>
    <n v="1"/>
    <s v="TA"/>
    <s v="Attchd"/>
    <n v="1995"/>
    <s v="RFn"/>
    <n v="3"/>
    <n v="752"/>
    <s v="TA"/>
    <s v="TA"/>
    <s v="Y"/>
    <n v="222"/>
    <n v="98"/>
    <n v="0"/>
    <n v="0"/>
    <n v="0"/>
    <n v="0"/>
    <s v="NA"/>
    <s v="NA"/>
    <s v="NA"/>
    <n v="0"/>
    <n v="11"/>
    <n v="2007"/>
    <s v="WD"/>
    <s v="Normal"/>
    <n v="290000"/>
  </r>
  <r>
    <n v="761"/>
    <n v="20"/>
    <s v="RL"/>
    <n v="70"/>
    <n v="9100"/>
    <s v="Pave"/>
    <s v="NA"/>
    <s v="Reg"/>
    <s v="Lvl"/>
    <s v="AllPub"/>
    <s v="Inside"/>
    <s v="Gtl"/>
    <x v="11"/>
    <x v="0"/>
    <s v="Norm"/>
    <x v="0"/>
    <x v="1"/>
    <n v="6"/>
    <n v="6"/>
    <x v="28"/>
    <n v="1959"/>
    <s v="Hip"/>
    <s v="CompShg"/>
    <s v="Wd Sdng"/>
    <s v="Wd Sdng"/>
    <s v="None"/>
    <n v="0"/>
    <s v="TA"/>
    <s v="TA"/>
    <s v="CBlock"/>
    <s v="TA"/>
    <s v="TA"/>
    <s v="No"/>
    <s v="Rec"/>
    <n v="612"/>
    <s v="Unf"/>
    <n v="0"/>
    <n v="252"/>
    <n v="864"/>
    <s v="GasA"/>
    <s v="Ex"/>
    <s v="Y"/>
    <s v="SBrkr"/>
    <n v="864"/>
    <n v="0"/>
    <n v="0"/>
    <x v="132"/>
    <n v="0"/>
    <n v="0"/>
    <n v="1"/>
    <n v="0"/>
    <n v="2"/>
    <n v="1"/>
    <s v="TA"/>
    <n v="5"/>
    <s v="Typ"/>
    <n v="0"/>
    <s v="NA"/>
    <s v="Detchd"/>
    <n v="2008"/>
    <s v="Unf"/>
    <n v="1"/>
    <n v="300"/>
    <s v="Ex"/>
    <s v="Ex"/>
    <s v="Y"/>
    <n v="0"/>
    <n v="0"/>
    <n v="0"/>
    <n v="0"/>
    <n v="0"/>
    <n v="0"/>
    <s v="NA"/>
    <s v="NA"/>
    <s v="Shed"/>
    <n v="450"/>
    <n v="10"/>
    <n v="2009"/>
    <s v="WD"/>
    <s v="Normal"/>
    <n v="127500"/>
  </r>
  <r>
    <n v="762"/>
    <n v="30"/>
    <s v="RM"/>
    <n v="60"/>
    <n v="6911"/>
    <s v="Pave"/>
    <s v="NA"/>
    <s v="Reg"/>
    <s v="Lvl"/>
    <s v="AllPub"/>
    <s v="FR2"/>
    <s v="Gtl"/>
    <x v="8"/>
    <x v="1"/>
    <s v="Norm"/>
    <x v="0"/>
    <x v="1"/>
    <n v="5"/>
    <n v="5"/>
    <x v="67"/>
    <n v="1950"/>
    <s v="Gable"/>
    <s v="CompShg"/>
    <s v="Wd Sdng"/>
    <s v="Wd Sdng"/>
    <s v="None"/>
    <n v="0"/>
    <s v="TA"/>
    <s v="TA"/>
    <s v="PConc"/>
    <s v="TA"/>
    <s v="TA"/>
    <s v="Mn"/>
    <s v="LwQ"/>
    <n v="405"/>
    <s v="Unf"/>
    <n v="0"/>
    <n v="740"/>
    <n v="1145"/>
    <s v="GasA"/>
    <s v="TA"/>
    <s v="Y"/>
    <s v="SBrkr"/>
    <n v="1301"/>
    <n v="0"/>
    <n v="0"/>
    <x v="316"/>
    <n v="0"/>
    <n v="0"/>
    <n v="1"/>
    <n v="0"/>
    <n v="2"/>
    <n v="1"/>
    <s v="Fa"/>
    <n v="5"/>
    <s v="Min1"/>
    <n v="0"/>
    <s v="NA"/>
    <s v="Detchd"/>
    <n v="1965"/>
    <s v="Unf"/>
    <n v="2"/>
    <n v="440"/>
    <s v="TA"/>
    <s v="TA"/>
    <s v="Y"/>
    <n v="0"/>
    <n v="0"/>
    <n v="0"/>
    <n v="0"/>
    <n v="0"/>
    <n v="0"/>
    <s v="NA"/>
    <s v="NA"/>
    <s v="NA"/>
    <n v="0"/>
    <n v="10"/>
    <n v="2009"/>
    <s v="WD"/>
    <s v="Normal"/>
    <n v="100000"/>
  </r>
  <r>
    <n v="763"/>
    <n v="60"/>
    <s v="FV"/>
    <n v="72"/>
    <n v="8640"/>
    <s v="Pave"/>
    <s v="NA"/>
    <s v="Reg"/>
    <s v="Lvl"/>
    <s v="AllPub"/>
    <s v="Inside"/>
    <s v="Gtl"/>
    <x v="5"/>
    <x v="0"/>
    <s v="Norm"/>
    <x v="0"/>
    <x v="0"/>
    <n v="7"/>
    <n v="5"/>
    <x v="51"/>
    <n v="2009"/>
    <s v="Gable"/>
    <s v="CompShg"/>
    <s v="VinylSd"/>
    <s v="VinylSd"/>
    <s v="None"/>
    <n v="0"/>
    <s v="TA"/>
    <s v="TA"/>
    <s v="PConc"/>
    <s v="Gd"/>
    <s v="TA"/>
    <s v="Mn"/>
    <s v="GLQ"/>
    <n v="24"/>
    <s v="Unf"/>
    <n v="0"/>
    <n v="732"/>
    <n v="756"/>
    <s v="GasA"/>
    <s v="Ex"/>
    <s v="Y"/>
    <s v="SBrkr"/>
    <n v="764"/>
    <n v="783"/>
    <n v="0"/>
    <x v="556"/>
    <n v="0"/>
    <n v="0"/>
    <n v="2"/>
    <n v="1"/>
    <n v="3"/>
    <n v="1"/>
    <s v="Gd"/>
    <n v="7"/>
    <s v="Typ"/>
    <n v="0"/>
    <s v="NA"/>
    <s v="Attchd"/>
    <n v="2009"/>
    <s v="Unf"/>
    <n v="2"/>
    <n v="614"/>
    <s v="TA"/>
    <s v="TA"/>
    <s v="Y"/>
    <n v="169"/>
    <n v="45"/>
    <n v="0"/>
    <n v="0"/>
    <n v="0"/>
    <n v="0"/>
    <s v="NA"/>
    <s v="NA"/>
    <s v="NA"/>
    <n v="0"/>
    <n v="6"/>
    <n v="2010"/>
    <s v="Con"/>
    <s v="Normal"/>
    <n v="215200"/>
  </r>
  <r>
    <n v="764"/>
    <n v="60"/>
    <s v="RL"/>
    <n v="82"/>
    <n v="9430"/>
    <s v="Pave"/>
    <s v="NA"/>
    <s v="Reg"/>
    <s v="Lvl"/>
    <s v="AllPub"/>
    <s v="Inside"/>
    <s v="Gtl"/>
    <x v="3"/>
    <x v="0"/>
    <s v="Norm"/>
    <x v="0"/>
    <x v="0"/>
    <n v="8"/>
    <n v="5"/>
    <x v="40"/>
    <n v="1999"/>
    <s v="Gable"/>
    <s v="CompShg"/>
    <s v="VinylSd"/>
    <s v="VinylSd"/>
    <s v="BrkFace"/>
    <n v="673"/>
    <s v="Gd"/>
    <s v="TA"/>
    <s v="PConc"/>
    <s v="Gd"/>
    <s v="TA"/>
    <s v="Mn"/>
    <s v="GLQ"/>
    <n v="1163"/>
    <s v="Unf"/>
    <n v="0"/>
    <n v="89"/>
    <n v="1252"/>
    <s v="GasA"/>
    <s v="Ex"/>
    <s v="Y"/>
    <s v="SBrkr"/>
    <n v="1268"/>
    <n v="1097"/>
    <n v="0"/>
    <x v="557"/>
    <n v="1"/>
    <n v="0"/>
    <n v="2"/>
    <n v="1"/>
    <n v="3"/>
    <n v="1"/>
    <s v="Gd"/>
    <n v="8"/>
    <s v="Typ"/>
    <n v="1"/>
    <s v="Gd"/>
    <s v="Attchd"/>
    <n v="1999"/>
    <s v="RFn"/>
    <n v="3"/>
    <n v="856"/>
    <s v="TA"/>
    <s v="TA"/>
    <s v="Y"/>
    <n v="0"/>
    <n v="128"/>
    <n v="0"/>
    <n v="0"/>
    <n v="180"/>
    <n v="0"/>
    <s v="NA"/>
    <s v="NA"/>
    <s v="NA"/>
    <n v="0"/>
    <n v="7"/>
    <n v="2009"/>
    <s v="WD"/>
    <s v="Normal"/>
    <n v="337000"/>
  </r>
  <r>
    <n v="765"/>
    <n v="120"/>
    <s v="RL"/>
    <n v="30"/>
    <n v="9549"/>
    <s v="Pave"/>
    <s v="NA"/>
    <s v="IR1"/>
    <s v="Lvl"/>
    <s v="AllPub"/>
    <s v="CulDSac"/>
    <s v="Gtl"/>
    <x v="1"/>
    <x v="0"/>
    <s v="Norm"/>
    <x v="3"/>
    <x v="1"/>
    <n v="8"/>
    <n v="5"/>
    <x v="49"/>
    <n v="1996"/>
    <s v="Hip"/>
    <s v="CompShg"/>
    <s v="BrkFace"/>
    <s v="BrkFace"/>
    <s v="None"/>
    <n v="0"/>
    <s v="Gd"/>
    <s v="Gd"/>
    <s v="PConc"/>
    <s v="Gd"/>
    <s v="Gd"/>
    <s v="Av"/>
    <s v="LwQ"/>
    <n v="437"/>
    <s v="GLQ"/>
    <n v="1057"/>
    <n v="0"/>
    <n v="1494"/>
    <s v="GasA"/>
    <s v="Ex"/>
    <s v="Y"/>
    <s v="SBrkr"/>
    <n v="1494"/>
    <n v="0"/>
    <n v="0"/>
    <x v="13"/>
    <n v="1"/>
    <n v="0"/>
    <n v="1"/>
    <n v="1"/>
    <n v="2"/>
    <n v="1"/>
    <s v="Ex"/>
    <n v="6"/>
    <s v="Typ"/>
    <n v="1"/>
    <s v="Gd"/>
    <s v="Attchd"/>
    <n v="1995"/>
    <s v="Fin"/>
    <n v="2"/>
    <n v="481"/>
    <s v="TA"/>
    <s v="TA"/>
    <s v="Y"/>
    <n v="0"/>
    <n v="30"/>
    <n v="0"/>
    <n v="0"/>
    <n v="216"/>
    <n v="0"/>
    <s v="NA"/>
    <s v="NA"/>
    <s v="NA"/>
    <n v="0"/>
    <n v="4"/>
    <n v="2006"/>
    <s v="WD"/>
    <s v="Normal"/>
    <n v="270000"/>
  </r>
  <r>
    <n v="766"/>
    <n v="20"/>
    <s v="RL"/>
    <n v="75"/>
    <n v="14587"/>
    <s v="Pave"/>
    <s v="NA"/>
    <s v="IR1"/>
    <s v="Lvl"/>
    <s v="AllPub"/>
    <s v="Inside"/>
    <s v="Gtl"/>
    <x v="5"/>
    <x v="0"/>
    <s v="Norm"/>
    <x v="0"/>
    <x v="1"/>
    <n v="9"/>
    <n v="5"/>
    <x v="74"/>
    <n v="2008"/>
    <s v="Gable"/>
    <s v="CompShg"/>
    <s v="VinylSd"/>
    <s v="VinylSd"/>
    <s v="Stone"/>
    <n v="284"/>
    <s v="Gd"/>
    <s v="TA"/>
    <s v="PConc"/>
    <s v="Gd"/>
    <s v="TA"/>
    <s v="No"/>
    <s v="Unf"/>
    <n v="0"/>
    <s v="Unf"/>
    <n v="0"/>
    <n v="1498"/>
    <n v="1498"/>
    <s v="GasA"/>
    <s v="Ex"/>
    <s v="Y"/>
    <s v="SBrkr"/>
    <n v="1506"/>
    <n v="0"/>
    <n v="0"/>
    <x v="558"/>
    <n v="0"/>
    <n v="0"/>
    <n v="2"/>
    <n v="0"/>
    <n v="2"/>
    <n v="1"/>
    <s v="Ex"/>
    <n v="6"/>
    <s v="Typ"/>
    <n v="1"/>
    <s v="Gd"/>
    <s v="Attchd"/>
    <n v="2008"/>
    <s v="Fin"/>
    <n v="2"/>
    <n v="592"/>
    <s v="TA"/>
    <s v="TA"/>
    <s v="Y"/>
    <n v="0"/>
    <n v="174"/>
    <n v="0"/>
    <n v="0"/>
    <n v="0"/>
    <n v="0"/>
    <s v="NA"/>
    <s v="NA"/>
    <s v="NA"/>
    <n v="0"/>
    <n v="8"/>
    <n v="2008"/>
    <s v="New"/>
    <s v="Partial"/>
    <n v="264132"/>
  </r>
  <r>
    <n v="767"/>
    <n v="60"/>
    <s v="RL"/>
    <n v="80"/>
    <n v="10421"/>
    <s v="Pave"/>
    <s v="NA"/>
    <s v="Reg"/>
    <s v="Lvl"/>
    <s v="AllPub"/>
    <s v="Inside"/>
    <s v="Gtl"/>
    <x v="6"/>
    <x v="0"/>
    <s v="Norm"/>
    <x v="0"/>
    <x v="0"/>
    <n v="7"/>
    <n v="5"/>
    <x v="62"/>
    <n v="1988"/>
    <s v="Gable"/>
    <s v="CompShg"/>
    <s v="HdBoard"/>
    <s v="HdBoard"/>
    <s v="BrkFace"/>
    <n v="42"/>
    <s v="TA"/>
    <s v="TA"/>
    <s v="CBlock"/>
    <s v="Gd"/>
    <s v="TA"/>
    <s v="No"/>
    <s v="GLQ"/>
    <n v="394"/>
    <s v="Unf"/>
    <n v="0"/>
    <n v="586"/>
    <n v="980"/>
    <s v="GasA"/>
    <s v="TA"/>
    <s v="Y"/>
    <s v="SBrkr"/>
    <n v="980"/>
    <n v="734"/>
    <n v="0"/>
    <x v="559"/>
    <n v="0"/>
    <n v="0"/>
    <n v="2"/>
    <n v="1"/>
    <n v="3"/>
    <n v="1"/>
    <s v="TA"/>
    <n v="7"/>
    <s v="Typ"/>
    <n v="1"/>
    <s v="TA"/>
    <s v="Attchd"/>
    <n v="1988"/>
    <s v="Unf"/>
    <n v="2"/>
    <n v="496"/>
    <s v="TA"/>
    <s v="TA"/>
    <s v="Y"/>
    <n v="228"/>
    <n v="66"/>
    <n v="156"/>
    <n v="0"/>
    <n v="0"/>
    <n v="0"/>
    <s v="NA"/>
    <s v="MnPrv"/>
    <s v="Shed"/>
    <n v="500"/>
    <n v="3"/>
    <n v="2010"/>
    <s v="WD"/>
    <s v="Normal"/>
    <n v="196500"/>
  </r>
  <r>
    <n v="768"/>
    <n v="50"/>
    <s v="RL"/>
    <n v="75"/>
    <n v="12508"/>
    <s v="Pave"/>
    <s v="NA"/>
    <s v="IR1"/>
    <s v="Lvl"/>
    <s v="AllPub"/>
    <s v="Inside"/>
    <s v="Gtl"/>
    <x v="4"/>
    <x v="0"/>
    <s v="Norm"/>
    <x v="0"/>
    <x v="2"/>
    <n v="6"/>
    <n v="7"/>
    <x v="70"/>
    <n v="1985"/>
    <s v="Gable"/>
    <s v="CompShg"/>
    <s v="VinylSd"/>
    <s v="VinylSd"/>
    <s v="None"/>
    <n v="0"/>
    <s v="TA"/>
    <s v="TA"/>
    <s v="CBlock"/>
    <s v="Gd"/>
    <s v="TA"/>
    <s v="Mn"/>
    <s v="ALQ"/>
    <n v="660"/>
    <s v="Unf"/>
    <n v="0"/>
    <n v="323"/>
    <n v="983"/>
    <s v="GasA"/>
    <s v="Ex"/>
    <s v="Y"/>
    <s v="SBrkr"/>
    <n v="983"/>
    <n v="767"/>
    <n v="0"/>
    <x v="486"/>
    <n v="1"/>
    <n v="0"/>
    <n v="2"/>
    <n v="0"/>
    <n v="4"/>
    <n v="1"/>
    <s v="TA"/>
    <n v="7"/>
    <s v="Mod"/>
    <n v="0"/>
    <s v="NA"/>
    <s v="Attchd"/>
    <n v="1989"/>
    <s v="Unf"/>
    <n v="1"/>
    <n v="423"/>
    <s v="TA"/>
    <s v="TA"/>
    <s v="Y"/>
    <n v="245"/>
    <n v="0"/>
    <n v="156"/>
    <n v="0"/>
    <n v="0"/>
    <n v="0"/>
    <s v="NA"/>
    <s v="NA"/>
    <s v="Shed"/>
    <n v="1300"/>
    <n v="7"/>
    <n v="2008"/>
    <s v="WD"/>
    <s v="Normal"/>
    <n v="160000"/>
  </r>
  <r>
    <n v="769"/>
    <n v="20"/>
    <s v="RL"/>
    <n v="70"/>
    <n v="9100"/>
    <s v="Pave"/>
    <s v="NA"/>
    <s v="Reg"/>
    <s v="Lvl"/>
    <s v="AllPub"/>
    <s v="Inside"/>
    <s v="Gtl"/>
    <x v="0"/>
    <x v="0"/>
    <s v="Norm"/>
    <x v="0"/>
    <x v="1"/>
    <n v="7"/>
    <n v="5"/>
    <x v="6"/>
    <n v="2005"/>
    <s v="Hip"/>
    <s v="CompShg"/>
    <s v="VinylSd"/>
    <s v="VinylSd"/>
    <s v="None"/>
    <n v="0"/>
    <s v="Gd"/>
    <s v="TA"/>
    <s v="PConc"/>
    <s v="Gd"/>
    <s v="TA"/>
    <s v="No"/>
    <s v="GLQ"/>
    <n v="24"/>
    <s v="Unf"/>
    <n v="0"/>
    <n v="1836"/>
    <n v="1860"/>
    <s v="GasA"/>
    <s v="Ex"/>
    <s v="Y"/>
    <s v="SBrkr"/>
    <n v="1836"/>
    <n v="0"/>
    <n v="0"/>
    <x v="560"/>
    <n v="0"/>
    <n v="0"/>
    <n v="2"/>
    <n v="0"/>
    <n v="3"/>
    <n v="1"/>
    <s v="Gd"/>
    <n v="8"/>
    <s v="Typ"/>
    <n v="1"/>
    <s v="Gd"/>
    <s v="Attchd"/>
    <n v="2004"/>
    <s v="Fin"/>
    <n v="2"/>
    <n v="484"/>
    <s v="TA"/>
    <s v="TA"/>
    <s v="Y"/>
    <n v="120"/>
    <n v="33"/>
    <n v="0"/>
    <n v="0"/>
    <n v="0"/>
    <n v="0"/>
    <s v="NA"/>
    <s v="NA"/>
    <s v="NA"/>
    <n v="0"/>
    <n v="10"/>
    <n v="2006"/>
    <s v="WD"/>
    <s v="Normal"/>
    <n v="216837"/>
  </r>
  <r>
    <n v="770"/>
    <n v="60"/>
    <s v="RL"/>
    <n v="47"/>
    <n v="53504"/>
    <s v="Pave"/>
    <s v="NA"/>
    <s v="IR2"/>
    <s v="HLS"/>
    <s v="AllPub"/>
    <s v="CulDSac"/>
    <s v="Mod"/>
    <x v="18"/>
    <x v="0"/>
    <s v="Norm"/>
    <x v="0"/>
    <x v="0"/>
    <n v="8"/>
    <n v="5"/>
    <x v="0"/>
    <n v="2003"/>
    <s v="Hip"/>
    <s v="CompShg"/>
    <s v="CemntBd"/>
    <s v="Wd Shng"/>
    <s v="BrkFace"/>
    <n v="603"/>
    <s v="Ex"/>
    <s v="TA"/>
    <s v="PConc"/>
    <s v="Gd"/>
    <s v="TA"/>
    <s v="Gd"/>
    <s v="ALQ"/>
    <n v="1416"/>
    <s v="Unf"/>
    <n v="0"/>
    <n v="234"/>
    <n v="1650"/>
    <s v="GasA"/>
    <s v="Ex"/>
    <s v="Y"/>
    <s v="SBrkr"/>
    <n v="1690"/>
    <n v="1589"/>
    <n v="0"/>
    <x v="561"/>
    <n v="1"/>
    <n v="0"/>
    <n v="3"/>
    <n v="1"/>
    <n v="4"/>
    <n v="1"/>
    <s v="Ex"/>
    <n v="12"/>
    <s v="Mod"/>
    <n v="1"/>
    <s v="Gd"/>
    <s v="BuiltIn"/>
    <n v="2003"/>
    <s v="Fin"/>
    <n v="3"/>
    <n v="841"/>
    <s v="TA"/>
    <s v="TA"/>
    <s v="Y"/>
    <n v="503"/>
    <n v="36"/>
    <n v="0"/>
    <n v="0"/>
    <n v="210"/>
    <n v="0"/>
    <s v="NA"/>
    <s v="NA"/>
    <s v="NA"/>
    <n v="0"/>
    <n v="6"/>
    <n v="2010"/>
    <s v="WD"/>
    <s v="Normal"/>
    <n v="538000"/>
  </r>
  <r>
    <n v="771"/>
    <n v="85"/>
    <s v="RL"/>
    <s v="NA"/>
    <n v="7252"/>
    <s v="Pave"/>
    <s v="NA"/>
    <s v="IR1"/>
    <s v="Lvl"/>
    <s v="AllPub"/>
    <s v="CulDSac"/>
    <s v="Gtl"/>
    <x v="9"/>
    <x v="0"/>
    <s v="Norm"/>
    <x v="0"/>
    <x v="4"/>
    <n v="5"/>
    <n v="5"/>
    <x v="44"/>
    <n v="1982"/>
    <s v="Hip"/>
    <s v="CompShg"/>
    <s v="Wd Sdng"/>
    <s v="Wd Sdng"/>
    <s v="None"/>
    <n v="0"/>
    <s v="TA"/>
    <s v="TA"/>
    <s v="CBlock"/>
    <s v="Gd"/>
    <s v="TA"/>
    <s v="Av"/>
    <s v="GLQ"/>
    <n v="685"/>
    <s v="Unf"/>
    <n v="0"/>
    <n v="173"/>
    <n v="858"/>
    <s v="GasA"/>
    <s v="TA"/>
    <s v="Y"/>
    <s v="SBrkr"/>
    <n v="858"/>
    <n v="0"/>
    <n v="0"/>
    <x v="243"/>
    <n v="1"/>
    <n v="0"/>
    <n v="1"/>
    <n v="0"/>
    <n v="2"/>
    <n v="1"/>
    <s v="TA"/>
    <n v="5"/>
    <s v="Typ"/>
    <n v="0"/>
    <s v="NA"/>
    <s v="Detchd"/>
    <n v="1983"/>
    <s v="Unf"/>
    <n v="2"/>
    <n v="576"/>
    <s v="TA"/>
    <s v="TA"/>
    <s v="Y"/>
    <n v="120"/>
    <n v="0"/>
    <n v="0"/>
    <n v="0"/>
    <n v="0"/>
    <n v="0"/>
    <s v="NA"/>
    <s v="NA"/>
    <s v="NA"/>
    <n v="0"/>
    <n v="4"/>
    <n v="2009"/>
    <s v="WD"/>
    <s v="Normal"/>
    <n v="134900"/>
  </r>
  <r>
    <n v="772"/>
    <n v="20"/>
    <s v="RL"/>
    <n v="67"/>
    <n v="8877"/>
    <s v="Pave"/>
    <s v="NA"/>
    <s v="Reg"/>
    <s v="Lvl"/>
    <s v="AllPub"/>
    <s v="Inside"/>
    <s v="Gtl"/>
    <x v="15"/>
    <x v="0"/>
    <s v="Norm"/>
    <x v="0"/>
    <x v="1"/>
    <n v="4"/>
    <n v="5"/>
    <x v="23"/>
    <n v="1951"/>
    <s v="Gable"/>
    <s v="CompShg"/>
    <s v="Wd Sdng"/>
    <s v="Wd Sdng"/>
    <s v="None"/>
    <n v="0"/>
    <s v="TA"/>
    <s v="TA"/>
    <s v="CBlock"/>
    <s v="Fa"/>
    <s v="Fa"/>
    <s v="No"/>
    <s v="LwQ"/>
    <n v="836"/>
    <s v="Unf"/>
    <n v="0"/>
    <n v="0"/>
    <n v="836"/>
    <s v="GasA"/>
    <s v="TA"/>
    <s v="Y"/>
    <s v="FuseF"/>
    <n v="1220"/>
    <n v="0"/>
    <n v="0"/>
    <x v="562"/>
    <n v="0"/>
    <n v="0"/>
    <n v="1"/>
    <n v="0"/>
    <n v="2"/>
    <n v="1"/>
    <s v="TA"/>
    <n v="6"/>
    <s v="Typ"/>
    <n v="0"/>
    <s v="NA"/>
    <s v="Detchd"/>
    <n v="1951"/>
    <s v="Unf"/>
    <n v="2"/>
    <n v="396"/>
    <s v="TA"/>
    <s v="TA"/>
    <s v="Y"/>
    <n v="0"/>
    <n v="0"/>
    <n v="0"/>
    <n v="0"/>
    <n v="0"/>
    <n v="0"/>
    <s v="NA"/>
    <s v="NA"/>
    <s v="NA"/>
    <n v="0"/>
    <n v="4"/>
    <n v="2006"/>
    <s v="COD"/>
    <s v="Normal"/>
    <n v="102000"/>
  </r>
  <r>
    <n v="773"/>
    <n v="80"/>
    <s v="RL"/>
    <n v="94"/>
    <n v="7819"/>
    <s v="Pave"/>
    <s v="NA"/>
    <s v="Reg"/>
    <s v="Lvl"/>
    <s v="AllPub"/>
    <s v="Inside"/>
    <s v="Gtl"/>
    <x v="15"/>
    <x v="0"/>
    <s v="Norm"/>
    <x v="0"/>
    <x v="5"/>
    <n v="6"/>
    <n v="5"/>
    <x v="1"/>
    <n v="1976"/>
    <s v="Gable"/>
    <s v="CompShg"/>
    <s v="Plywood"/>
    <s v="Plywood"/>
    <s v="None"/>
    <n v="0"/>
    <s v="TA"/>
    <s v="TA"/>
    <s v="CBlock"/>
    <s v="TA"/>
    <s v="TA"/>
    <s v="Av"/>
    <s v="ALQ"/>
    <n v="422"/>
    <s v="BLQ"/>
    <n v="127"/>
    <n v="480"/>
    <n v="1029"/>
    <s v="GasA"/>
    <s v="TA"/>
    <s v="Y"/>
    <s v="SBrkr"/>
    <n v="1117"/>
    <n v="0"/>
    <n v="0"/>
    <x v="563"/>
    <n v="1"/>
    <n v="0"/>
    <n v="1"/>
    <n v="0"/>
    <n v="3"/>
    <n v="1"/>
    <s v="TA"/>
    <n v="6"/>
    <s v="Typ"/>
    <n v="1"/>
    <s v="TA"/>
    <s v="Detchd"/>
    <n v="1976"/>
    <s v="Unf"/>
    <n v="2"/>
    <n v="672"/>
    <s v="TA"/>
    <s v="TA"/>
    <s v="Y"/>
    <n v="144"/>
    <n v="0"/>
    <n v="0"/>
    <n v="0"/>
    <n v="0"/>
    <n v="0"/>
    <s v="NA"/>
    <s v="MnPrv"/>
    <s v="NA"/>
    <n v="0"/>
    <n v="3"/>
    <n v="2010"/>
    <s v="WD"/>
    <s v="Abnorml"/>
    <n v="107000"/>
  </r>
  <r>
    <n v="774"/>
    <n v="20"/>
    <s v="RL"/>
    <n v="70"/>
    <n v="10150"/>
    <s v="Pave"/>
    <s v="NA"/>
    <s v="Reg"/>
    <s v="Lvl"/>
    <s v="AllPub"/>
    <s v="Inside"/>
    <s v="Gtl"/>
    <x v="11"/>
    <x v="1"/>
    <s v="Norm"/>
    <x v="0"/>
    <x v="1"/>
    <n v="5"/>
    <n v="5"/>
    <x v="18"/>
    <n v="1958"/>
    <s v="Gable"/>
    <s v="CompShg"/>
    <s v="Wd Sdng"/>
    <s v="Wd Sdng"/>
    <s v="None"/>
    <n v="1"/>
    <s v="TA"/>
    <s v="TA"/>
    <s v="CBlock"/>
    <s v="TA"/>
    <s v="TA"/>
    <s v="No"/>
    <s v="Rec"/>
    <n v="456"/>
    <s v="Unf"/>
    <n v="0"/>
    <n v="456"/>
    <n v="912"/>
    <s v="GasA"/>
    <s v="Ex"/>
    <s v="Y"/>
    <s v="FuseA"/>
    <n v="912"/>
    <n v="0"/>
    <n v="0"/>
    <x v="12"/>
    <n v="0"/>
    <n v="0"/>
    <n v="1"/>
    <n v="0"/>
    <n v="2"/>
    <n v="1"/>
    <s v="TA"/>
    <n v="5"/>
    <s v="Typ"/>
    <n v="0"/>
    <s v="NA"/>
    <s v="Attchd"/>
    <n v="1958"/>
    <s v="RFn"/>
    <n v="1"/>
    <n v="275"/>
    <s v="TA"/>
    <s v="TA"/>
    <s v="Y"/>
    <n v="0"/>
    <n v="0"/>
    <n v="0"/>
    <n v="0"/>
    <n v="0"/>
    <n v="0"/>
    <s v="NA"/>
    <s v="NA"/>
    <s v="NA"/>
    <n v="0"/>
    <n v="7"/>
    <n v="2007"/>
    <s v="COD"/>
    <s v="Normal"/>
    <n v="114500"/>
  </r>
  <r>
    <n v="775"/>
    <n v="20"/>
    <s v="RL"/>
    <n v="110"/>
    <n v="14226"/>
    <s v="Pave"/>
    <s v="NA"/>
    <s v="Reg"/>
    <s v="Lvl"/>
    <s v="AllPub"/>
    <s v="Corner"/>
    <s v="Gtl"/>
    <x v="10"/>
    <x v="0"/>
    <s v="Norm"/>
    <x v="0"/>
    <x v="1"/>
    <n v="8"/>
    <n v="5"/>
    <x v="13"/>
    <n v="2006"/>
    <s v="Hip"/>
    <s v="CompShg"/>
    <s v="VinylSd"/>
    <s v="VinylSd"/>
    <s v="BrkFace"/>
    <n v="375"/>
    <s v="Gd"/>
    <s v="TA"/>
    <s v="PConc"/>
    <s v="Gd"/>
    <s v="TA"/>
    <s v="Av"/>
    <s v="Unf"/>
    <n v="0"/>
    <s v="Unf"/>
    <n v="0"/>
    <n v="1935"/>
    <n v="1935"/>
    <s v="GasA"/>
    <s v="Gd"/>
    <s v="Y"/>
    <s v="SBrkr"/>
    <n v="1973"/>
    <n v="0"/>
    <n v="0"/>
    <x v="564"/>
    <n v="0"/>
    <n v="0"/>
    <n v="2"/>
    <n v="0"/>
    <n v="3"/>
    <n v="1"/>
    <s v="Gd"/>
    <n v="9"/>
    <s v="Typ"/>
    <n v="1"/>
    <s v="Gd"/>
    <s v="Attchd"/>
    <n v="2006"/>
    <s v="Fin"/>
    <n v="3"/>
    <n v="895"/>
    <s v="TA"/>
    <s v="TA"/>
    <s v="Y"/>
    <n v="315"/>
    <n v="45"/>
    <n v="0"/>
    <n v="0"/>
    <n v="0"/>
    <n v="0"/>
    <s v="NA"/>
    <s v="NA"/>
    <s v="NA"/>
    <n v="0"/>
    <n v="7"/>
    <n v="2007"/>
    <s v="New"/>
    <s v="Partial"/>
    <n v="395000"/>
  </r>
  <r>
    <n v="776"/>
    <n v="120"/>
    <s v="RM"/>
    <n v="32"/>
    <n v="4500"/>
    <s v="Pave"/>
    <s v="NA"/>
    <s v="Reg"/>
    <s v="Lvl"/>
    <s v="AllPub"/>
    <s v="FR2"/>
    <s v="Gtl"/>
    <x v="4"/>
    <x v="0"/>
    <s v="Norm"/>
    <x v="3"/>
    <x v="1"/>
    <n v="6"/>
    <n v="5"/>
    <x v="45"/>
    <n v="1998"/>
    <s v="Hip"/>
    <s v="CompShg"/>
    <s v="VinylSd"/>
    <s v="VinylSd"/>
    <s v="BrkFace"/>
    <n v="320"/>
    <s v="TA"/>
    <s v="TA"/>
    <s v="PConc"/>
    <s v="Ex"/>
    <s v="TA"/>
    <s v="No"/>
    <s v="GLQ"/>
    <n v="866"/>
    <s v="Unf"/>
    <n v="0"/>
    <n v="338"/>
    <n v="1204"/>
    <s v="GasA"/>
    <s v="Ex"/>
    <s v="Y"/>
    <s v="SBrkr"/>
    <n v="1204"/>
    <n v="0"/>
    <n v="0"/>
    <x v="565"/>
    <n v="1"/>
    <n v="0"/>
    <n v="2"/>
    <n v="0"/>
    <n v="2"/>
    <n v="1"/>
    <s v="TA"/>
    <n v="5"/>
    <s v="Typ"/>
    <n v="0"/>
    <s v="NA"/>
    <s v="Attchd"/>
    <n v="1998"/>
    <s v="Fin"/>
    <n v="2"/>
    <n v="412"/>
    <s v="TA"/>
    <s v="TA"/>
    <s v="Y"/>
    <n v="0"/>
    <n v="247"/>
    <n v="0"/>
    <n v="0"/>
    <n v="0"/>
    <n v="0"/>
    <s v="NA"/>
    <s v="NA"/>
    <s v="NA"/>
    <n v="0"/>
    <n v="6"/>
    <n v="2009"/>
    <s v="WD"/>
    <s v="Normal"/>
    <n v="162000"/>
  </r>
  <r>
    <n v="777"/>
    <n v="20"/>
    <s v="RL"/>
    <n v="86"/>
    <n v="11210"/>
    <s v="Pave"/>
    <s v="NA"/>
    <s v="IR1"/>
    <s v="Lvl"/>
    <s v="AllPub"/>
    <s v="Inside"/>
    <s v="Gtl"/>
    <x v="0"/>
    <x v="0"/>
    <s v="Norm"/>
    <x v="0"/>
    <x v="1"/>
    <n v="7"/>
    <n v="5"/>
    <x v="11"/>
    <n v="2006"/>
    <s v="Gable"/>
    <s v="CompShg"/>
    <s v="VinylSd"/>
    <s v="VinylSd"/>
    <s v="BrkFace"/>
    <n v="240"/>
    <s v="Gd"/>
    <s v="TA"/>
    <s v="PConc"/>
    <s v="Gd"/>
    <s v="TA"/>
    <s v="Av"/>
    <s v="GLQ"/>
    <n v="20"/>
    <s v="Unf"/>
    <n v="0"/>
    <n v="1594"/>
    <n v="1614"/>
    <s v="GasA"/>
    <s v="Ex"/>
    <s v="Y"/>
    <s v="SBrkr"/>
    <n v="1614"/>
    <n v="0"/>
    <n v="0"/>
    <x v="566"/>
    <n v="0"/>
    <n v="0"/>
    <n v="2"/>
    <n v="0"/>
    <n v="3"/>
    <n v="1"/>
    <s v="Gd"/>
    <n v="7"/>
    <s v="Typ"/>
    <n v="0"/>
    <s v="NA"/>
    <s v="Attchd"/>
    <n v="2005"/>
    <s v="RFn"/>
    <n v="3"/>
    <n v="865"/>
    <s v="TA"/>
    <s v="TA"/>
    <s v="Y"/>
    <n v="144"/>
    <n v="59"/>
    <n v="0"/>
    <n v="0"/>
    <n v="0"/>
    <n v="0"/>
    <s v="NA"/>
    <s v="NA"/>
    <s v="NA"/>
    <n v="0"/>
    <n v="7"/>
    <n v="2006"/>
    <s v="New"/>
    <s v="Partial"/>
    <n v="221500"/>
  </r>
  <r>
    <n v="778"/>
    <n v="20"/>
    <s v="RL"/>
    <n v="100"/>
    <n v="13350"/>
    <s v="Pave"/>
    <s v="NA"/>
    <s v="IR1"/>
    <s v="Lvl"/>
    <s v="AllPub"/>
    <s v="Inside"/>
    <s v="Gtl"/>
    <x v="9"/>
    <x v="0"/>
    <s v="Norm"/>
    <x v="0"/>
    <x v="1"/>
    <n v="5"/>
    <n v="5"/>
    <x v="99"/>
    <n v="1974"/>
    <s v="Hip"/>
    <s v="CompShg"/>
    <s v="HdBoard"/>
    <s v="Plywood"/>
    <s v="None"/>
    <n v="0"/>
    <s v="TA"/>
    <s v="TA"/>
    <s v="CBlock"/>
    <s v="TA"/>
    <s v="TA"/>
    <s v="No"/>
    <s v="ALQ"/>
    <n v="762"/>
    <s v="Unf"/>
    <n v="0"/>
    <n v="102"/>
    <n v="864"/>
    <s v="GasA"/>
    <s v="TA"/>
    <s v="Y"/>
    <s v="SBrkr"/>
    <n v="894"/>
    <n v="0"/>
    <n v="0"/>
    <x v="204"/>
    <n v="1"/>
    <n v="0"/>
    <n v="1"/>
    <n v="0"/>
    <n v="3"/>
    <n v="1"/>
    <s v="TA"/>
    <n v="5"/>
    <s v="Typ"/>
    <n v="1"/>
    <s v="Fa"/>
    <s v="Attchd"/>
    <n v="1974"/>
    <s v="Unf"/>
    <n v="2"/>
    <n v="440"/>
    <s v="TA"/>
    <s v="TA"/>
    <s v="Y"/>
    <n v="241"/>
    <n v="0"/>
    <n v="0"/>
    <n v="0"/>
    <n v="0"/>
    <n v="0"/>
    <s v="NA"/>
    <s v="MnPrv"/>
    <s v="NA"/>
    <n v="0"/>
    <n v="6"/>
    <n v="2006"/>
    <s v="WD"/>
    <s v="Normal"/>
    <n v="142500"/>
  </r>
  <r>
    <n v="779"/>
    <n v="90"/>
    <s v="RH"/>
    <n v="60"/>
    <n v="8400"/>
    <s v="Pave"/>
    <s v="NA"/>
    <s v="Reg"/>
    <s v="Lvl"/>
    <s v="AllPub"/>
    <s v="Inside"/>
    <s v="Gtl"/>
    <x v="12"/>
    <x v="1"/>
    <s v="Norm"/>
    <x v="2"/>
    <x v="1"/>
    <n v="5"/>
    <n v="5"/>
    <x v="54"/>
    <n v="1977"/>
    <s v="Gable"/>
    <s v="CompShg"/>
    <s v="Plywood"/>
    <s v="Plywood"/>
    <s v="BrkFace"/>
    <n v="320"/>
    <s v="TA"/>
    <s v="TA"/>
    <s v="Slab"/>
    <s v="NA"/>
    <s v="NA"/>
    <s v="NA"/>
    <s v="NA"/>
    <n v="0"/>
    <s v="NA"/>
    <n v="0"/>
    <n v="0"/>
    <n v="0"/>
    <s v="GasA"/>
    <s v="TA"/>
    <s v="Y"/>
    <s v="SBrkr"/>
    <n v="2020"/>
    <n v="0"/>
    <n v="0"/>
    <x v="406"/>
    <n v="0"/>
    <n v="0"/>
    <n v="2"/>
    <n v="0"/>
    <n v="4"/>
    <n v="2"/>
    <s v="TA"/>
    <n v="10"/>
    <s v="Typ"/>
    <n v="2"/>
    <s v="TA"/>
    <s v="Detchd"/>
    <n v="1977"/>
    <s v="Unf"/>
    <n v="2"/>
    <n v="630"/>
    <s v="TA"/>
    <s v="TA"/>
    <s v="Y"/>
    <n v="0"/>
    <n v="0"/>
    <n v="0"/>
    <n v="0"/>
    <n v="0"/>
    <n v="0"/>
    <s v="NA"/>
    <s v="NA"/>
    <s v="NA"/>
    <n v="0"/>
    <n v="10"/>
    <n v="2007"/>
    <s v="WD"/>
    <s v="Normal"/>
    <n v="144000"/>
  </r>
  <r>
    <n v="780"/>
    <n v="90"/>
    <s v="RL"/>
    <n v="78"/>
    <n v="10530"/>
    <s v="Pave"/>
    <s v="NA"/>
    <s v="Reg"/>
    <s v="Lvl"/>
    <s v="AllPub"/>
    <s v="Inside"/>
    <s v="Gtl"/>
    <x v="4"/>
    <x v="0"/>
    <s v="Norm"/>
    <x v="2"/>
    <x v="4"/>
    <n v="6"/>
    <n v="5"/>
    <x v="54"/>
    <n v="1977"/>
    <s v="Gable"/>
    <s v="CompShg"/>
    <s v="Plywood"/>
    <s v="ImStucc"/>
    <s v="BrkFace"/>
    <n v="90"/>
    <s v="TA"/>
    <s v="TA"/>
    <s v="CBlock"/>
    <s v="Gd"/>
    <s v="TA"/>
    <s v="Gd"/>
    <s v="GLQ"/>
    <n v="975"/>
    <s v="Unf"/>
    <n v="0"/>
    <n v="0"/>
    <n v="975"/>
    <s v="GasA"/>
    <s v="TA"/>
    <s v="Y"/>
    <s v="SBrkr"/>
    <n v="1004"/>
    <n v="0"/>
    <n v="0"/>
    <x v="16"/>
    <n v="1"/>
    <n v="0"/>
    <n v="1"/>
    <n v="0"/>
    <n v="2"/>
    <n v="1"/>
    <s v="TA"/>
    <n v="4"/>
    <s v="Typ"/>
    <n v="0"/>
    <s v="NA"/>
    <s v="Attchd"/>
    <n v="1977"/>
    <s v="Unf"/>
    <n v="2"/>
    <n v="504"/>
    <s v="TA"/>
    <s v="TA"/>
    <s v="Y"/>
    <n v="0"/>
    <n v="0"/>
    <n v="0"/>
    <n v="0"/>
    <n v="0"/>
    <n v="0"/>
    <s v="NA"/>
    <s v="NA"/>
    <s v="NA"/>
    <n v="0"/>
    <n v="5"/>
    <n v="2006"/>
    <s v="WD"/>
    <s v="Normal"/>
    <n v="135000"/>
  </r>
  <r>
    <n v="781"/>
    <n v="20"/>
    <s v="RL"/>
    <n v="63"/>
    <n v="7875"/>
    <s v="Pave"/>
    <s v="NA"/>
    <s v="Reg"/>
    <s v="Lvl"/>
    <s v="AllPub"/>
    <s v="Inside"/>
    <s v="Gtl"/>
    <x v="17"/>
    <x v="0"/>
    <s v="Norm"/>
    <x v="0"/>
    <x v="1"/>
    <n v="7"/>
    <n v="5"/>
    <x v="49"/>
    <n v="1996"/>
    <s v="Gable"/>
    <s v="CompShg"/>
    <s v="HdBoard"/>
    <s v="HdBoard"/>
    <s v="BrkFace"/>
    <n v="38"/>
    <s v="TA"/>
    <s v="TA"/>
    <s v="PConc"/>
    <s v="Gd"/>
    <s v="Gd"/>
    <s v="No"/>
    <s v="Unf"/>
    <n v="0"/>
    <s v="Unf"/>
    <n v="0"/>
    <n v="1237"/>
    <n v="1237"/>
    <s v="GasA"/>
    <s v="Gd"/>
    <s v="Y"/>
    <s v="SBrkr"/>
    <n v="1253"/>
    <n v="0"/>
    <n v="0"/>
    <x v="14"/>
    <n v="0"/>
    <n v="0"/>
    <n v="2"/>
    <n v="0"/>
    <n v="3"/>
    <n v="1"/>
    <s v="TA"/>
    <n v="6"/>
    <s v="Typ"/>
    <n v="1"/>
    <s v="TA"/>
    <s v="Attchd"/>
    <n v="1995"/>
    <s v="Fin"/>
    <n v="2"/>
    <n v="402"/>
    <s v="TA"/>
    <s v="TA"/>
    <s v="Y"/>
    <n v="220"/>
    <n v="21"/>
    <n v="0"/>
    <n v="0"/>
    <n v="0"/>
    <n v="0"/>
    <s v="NA"/>
    <s v="NA"/>
    <s v="NA"/>
    <n v="0"/>
    <n v="6"/>
    <n v="2007"/>
    <s v="WD"/>
    <s v="Normal"/>
    <n v="176000"/>
  </r>
  <r>
    <n v="782"/>
    <n v="60"/>
    <s v="RL"/>
    <n v="65"/>
    <n v="7153"/>
    <s v="Pave"/>
    <s v="NA"/>
    <s v="Reg"/>
    <s v="Lvl"/>
    <s v="AllPub"/>
    <s v="Inside"/>
    <s v="Gtl"/>
    <x v="12"/>
    <x v="0"/>
    <s v="Norm"/>
    <x v="0"/>
    <x v="0"/>
    <n v="6"/>
    <n v="5"/>
    <x v="86"/>
    <n v="1992"/>
    <s v="Gable"/>
    <s v="CompShg"/>
    <s v="VinylSd"/>
    <s v="VinylSd"/>
    <s v="None"/>
    <n v="0"/>
    <s v="Gd"/>
    <s v="Gd"/>
    <s v="PConc"/>
    <s v="Gd"/>
    <s v="TA"/>
    <s v="No"/>
    <s v="ALQ"/>
    <n v="387"/>
    <s v="Unf"/>
    <n v="0"/>
    <n v="374"/>
    <n v="761"/>
    <s v="GasA"/>
    <s v="Ex"/>
    <s v="Y"/>
    <s v="SBrkr"/>
    <n v="810"/>
    <n v="793"/>
    <n v="0"/>
    <x v="567"/>
    <n v="0"/>
    <n v="0"/>
    <n v="2"/>
    <n v="1"/>
    <n v="3"/>
    <n v="1"/>
    <s v="Gd"/>
    <n v="7"/>
    <s v="Typ"/>
    <n v="0"/>
    <s v="NA"/>
    <s v="Attchd"/>
    <n v="1992"/>
    <s v="RFn"/>
    <n v="2"/>
    <n v="484"/>
    <s v="TA"/>
    <s v="TA"/>
    <s v="Y"/>
    <n v="0"/>
    <n v="124"/>
    <n v="0"/>
    <n v="0"/>
    <n v="0"/>
    <n v="0"/>
    <s v="NA"/>
    <s v="NA"/>
    <s v="NA"/>
    <n v="0"/>
    <n v="7"/>
    <n v="2006"/>
    <s v="WD"/>
    <s v="Normal"/>
    <n v="175900"/>
  </r>
  <r>
    <n v="783"/>
    <n v="20"/>
    <s v="RL"/>
    <n v="67"/>
    <n v="16285"/>
    <s v="Pave"/>
    <s v="NA"/>
    <s v="IR2"/>
    <s v="Lvl"/>
    <s v="AllPub"/>
    <s v="Inside"/>
    <s v="Gtl"/>
    <x v="0"/>
    <x v="0"/>
    <s v="Norm"/>
    <x v="0"/>
    <x v="1"/>
    <n v="7"/>
    <n v="5"/>
    <x v="2"/>
    <n v="2002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413"/>
    <n v="1413"/>
    <s v="GasA"/>
    <s v="Ex"/>
    <s v="Y"/>
    <s v="SBrkr"/>
    <n v="1430"/>
    <n v="0"/>
    <n v="0"/>
    <x v="105"/>
    <n v="0"/>
    <n v="0"/>
    <n v="2"/>
    <n v="0"/>
    <n v="3"/>
    <n v="1"/>
    <s v="Gd"/>
    <n v="6"/>
    <s v="Typ"/>
    <n v="0"/>
    <s v="NA"/>
    <s v="Attchd"/>
    <n v="2001"/>
    <s v="RFn"/>
    <n v="2"/>
    <n v="605"/>
    <s v="TA"/>
    <s v="TA"/>
    <s v="Y"/>
    <n v="0"/>
    <n v="33"/>
    <n v="0"/>
    <n v="0"/>
    <n v="0"/>
    <n v="0"/>
    <s v="NA"/>
    <s v="NA"/>
    <s v="NA"/>
    <n v="0"/>
    <n v="6"/>
    <n v="2009"/>
    <s v="WD"/>
    <s v="Normal"/>
    <n v="187100"/>
  </r>
  <r>
    <n v="784"/>
    <n v="85"/>
    <s v="RL"/>
    <s v="NA"/>
    <n v="9101"/>
    <s v="Pave"/>
    <s v="NA"/>
    <s v="IR1"/>
    <s v="Lvl"/>
    <s v="AllPub"/>
    <s v="Corner"/>
    <s v="Gtl"/>
    <x v="4"/>
    <x v="0"/>
    <s v="Norm"/>
    <x v="0"/>
    <x v="4"/>
    <n v="5"/>
    <n v="6"/>
    <x v="90"/>
    <n v="1978"/>
    <s v="Gable"/>
    <s v="CompShg"/>
    <s v="Plywood"/>
    <s v="Plywood"/>
    <s v="BrkFace"/>
    <n v="104"/>
    <s v="TA"/>
    <s v="Gd"/>
    <s v="PConc"/>
    <s v="Gd"/>
    <s v="TA"/>
    <s v="Av"/>
    <s v="GLQ"/>
    <n v="1097"/>
    <s v="Unf"/>
    <n v="0"/>
    <n v="0"/>
    <n v="1097"/>
    <s v="GasA"/>
    <s v="Ex"/>
    <s v="Y"/>
    <s v="SBrkr"/>
    <n v="1110"/>
    <n v="0"/>
    <n v="0"/>
    <x v="568"/>
    <n v="1"/>
    <n v="0"/>
    <n v="1"/>
    <n v="0"/>
    <n v="1"/>
    <n v="1"/>
    <s v="Gd"/>
    <n v="4"/>
    <s v="Typ"/>
    <n v="1"/>
    <s v="TA"/>
    <s v="Attchd"/>
    <n v="1978"/>
    <s v="Fin"/>
    <n v="2"/>
    <n v="602"/>
    <s v="TA"/>
    <s v="TA"/>
    <s v="Y"/>
    <n v="303"/>
    <n v="30"/>
    <n v="0"/>
    <n v="0"/>
    <n v="0"/>
    <n v="0"/>
    <s v="NA"/>
    <s v="NA"/>
    <s v="NA"/>
    <n v="0"/>
    <n v="7"/>
    <n v="2009"/>
    <s v="WD"/>
    <s v="Normal"/>
    <n v="165500"/>
  </r>
  <r>
    <n v="785"/>
    <n v="75"/>
    <s v="RM"/>
    <n v="35"/>
    <n v="6300"/>
    <s v="Pave"/>
    <s v="Grvl"/>
    <s v="Reg"/>
    <s v="Lvl"/>
    <s v="AllPub"/>
    <s v="Inside"/>
    <s v="Gtl"/>
    <x v="7"/>
    <x v="0"/>
    <s v="Norm"/>
    <x v="0"/>
    <x v="6"/>
    <n v="6"/>
    <n v="6"/>
    <x v="101"/>
    <n v="2001"/>
    <s v="Gable"/>
    <s v="CompShg"/>
    <s v="Wd Sdng"/>
    <s v="Wd Shng"/>
    <s v="None"/>
    <n v="0"/>
    <s v="TA"/>
    <s v="TA"/>
    <s v="CBlock"/>
    <s v="TA"/>
    <s v="TA"/>
    <s v="No"/>
    <s v="Unf"/>
    <n v="0"/>
    <s v="Unf"/>
    <n v="0"/>
    <n v="742"/>
    <n v="742"/>
    <s v="GasA"/>
    <s v="Ex"/>
    <s v="Y"/>
    <s v="SBrkr"/>
    <n v="742"/>
    <n v="742"/>
    <n v="0"/>
    <x v="391"/>
    <n v="0"/>
    <n v="0"/>
    <n v="2"/>
    <n v="0"/>
    <n v="3"/>
    <n v="1"/>
    <s v="TA"/>
    <n v="9"/>
    <s v="Typ"/>
    <n v="1"/>
    <s v="Gd"/>
    <s v="NA"/>
    <s v="NA"/>
    <s v="NA"/>
    <n v="0"/>
    <n v="0"/>
    <s v="NA"/>
    <s v="NA"/>
    <s v="Y"/>
    <n v="0"/>
    <n v="291"/>
    <n v="134"/>
    <n v="0"/>
    <n v="0"/>
    <n v="0"/>
    <s v="NA"/>
    <s v="NA"/>
    <s v="NA"/>
    <n v="0"/>
    <n v="6"/>
    <n v="2008"/>
    <s v="WD"/>
    <s v="Normal"/>
    <n v="128000"/>
  </r>
  <r>
    <n v="786"/>
    <n v="20"/>
    <s v="RL"/>
    <s v="NA"/>
    <n v="9790"/>
    <s v="Pave"/>
    <s v="NA"/>
    <s v="Reg"/>
    <s v="Lvl"/>
    <s v="AllPub"/>
    <s v="Inside"/>
    <s v="Gtl"/>
    <x v="6"/>
    <x v="1"/>
    <s v="Norm"/>
    <x v="0"/>
    <x v="1"/>
    <n v="6"/>
    <n v="5"/>
    <x v="17"/>
    <n v="1967"/>
    <s v="Gable"/>
    <s v="CompShg"/>
    <s v="BrkFace"/>
    <s v="Wd Sdng"/>
    <s v="None"/>
    <n v="0"/>
    <s v="TA"/>
    <s v="TA"/>
    <s v="CBlock"/>
    <s v="TA"/>
    <s v="TA"/>
    <s v="No"/>
    <s v="Rec"/>
    <n v="251"/>
    <s v="LwQ"/>
    <n v="630"/>
    <n v="491"/>
    <n v="1372"/>
    <s v="GasA"/>
    <s v="TA"/>
    <s v="Y"/>
    <s v="SBrkr"/>
    <n v="1342"/>
    <n v="0"/>
    <n v="0"/>
    <x v="569"/>
    <n v="0"/>
    <n v="0"/>
    <n v="2"/>
    <n v="0"/>
    <n v="3"/>
    <n v="1"/>
    <s v="TA"/>
    <n v="7"/>
    <s v="Typ"/>
    <n v="1"/>
    <s v="Gd"/>
    <s v="Attchd"/>
    <n v="1967"/>
    <s v="Unf"/>
    <n v="2"/>
    <n v="457"/>
    <s v="TA"/>
    <s v="TA"/>
    <s v="Y"/>
    <n v="0"/>
    <n v="0"/>
    <n v="0"/>
    <n v="0"/>
    <n v="197"/>
    <n v="0"/>
    <s v="NA"/>
    <s v="NA"/>
    <s v="NA"/>
    <n v="0"/>
    <n v="9"/>
    <n v="2009"/>
    <s v="WD"/>
    <s v="Normal"/>
    <n v="161500"/>
  </r>
  <r>
    <n v="787"/>
    <n v="50"/>
    <s v="RM"/>
    <n v="60"/>
    <n v="10800"/>
    <s v="Pave"/>
    <s v="NA"/>
    <s v="Reg"/>
    <s v="Lvl"/>
    <s v="AllPub"/>
    <s v="Inside"/>
    <s v="Gtl"/>
    <x v="7"/>
    <x v="3"/>
    <s v="Norm"/>
    <x v="0"/>
    <x v="2"/>
    <n v="5"/>
    <n v="6"/>
    <x v="3"/>
    <n v="1950"/>
    <s v="Gable"/>
    <s v="CompShg"/>
    <s v="MetalSd"/>
    <s v="MetalSd"/>
    <s v="None"/>
    <n v="0"/>
    <s v="TA"/>
    <s v="Gd"/>
    <s v="PConc"/>
    <s v="Fa"/>
    <s v="TA"/>
    <s v="No"/>
    <s v="LwQ"/>
    <n v="686"/>
    <s v="Unf"/>
    <n v="0"/>
    <n v="0"/>
    <n v="686"/>
    <s v="GasA"/>
    <s v="TA"/>
    <s v="Y"/>
    <s v="SBrkr"/>
    <n v="966"/>
    <n v="686"/>
    <n v="0"/>
    <x v="381"/>
    <n v="1"/>
    <n v="0"/>
    <n v="2"/>
    <n v="0"/>
    <n v="4"/>
    <n v="1"/>
    <s v="TA"/>
    <n v="7"/>
    <s v="Typ"/>
    <n v="0"/>
    <s v="NA"/>
    <s v="Detchd"/>
    <n v="1961"/>
    <s v="Unf"/>
    <n v="1"/>
    <n v="416"/>
    <s v="TA"/>
    <s v="TA"/>
    <s v="Y"/>
    <n v="0"/>
    <n v="0"/>
    <n v="196"/>
    <n v="0"/>
    <n v="0"/>
    <n v="0"/>
    <s v="NA"/>
    <s v="NA"/>
    <s v="Shed"/>
    <n v="1200"/>
    <n v="6"/>
    <n v="2010"/>
    <s v="WD"/>
    <s v="Normal"/>
    <n v="139000"/>
  </r>
  <r>
    <n v="788"/>
    <n v="60"/>
    <s v="RL"/>
    <n v="76"/>
    <n v="10142"/>
    <s v="Pave"/>
    <s v="NA"/>
    <s v="IR1"/>
    <s v="Lvl"/>
    <s v="AllPub"/>
    <s v="Inside"/>
    <s v="Gtl"/>
    <x v="12"/>
    <x v="0"/>
    <s v="Norm"/>
    <x v="0"/>
    <x v="0"/>
    <n v="7"/>
    <n v="5"/>
    <x v="6"/>
    <n v="2004"/>
    <s v="Gable"/>
    <s v="CompShg"/>
    <s v="VinylSd"/>
    <s v="VinylSd"/>
    <s v="None"/>
    <n v="0"/>
    <s v="Gd"/>
    <s v="TA"/>
    <s v="PConc"/>
    <s v="Gd"/>
    <s v="TA"/>
    <s v="No"/>
    <s v="GLQ"/>
    <n v="656"/>
    <s v="Unf"/>
    <n v="0"/>
    <n v="300"/>
    <n v="956"/>
    <s v="GasA"/>
    <s v="Ex"/>
    <s v="Y"/>
    <s v="SBrkr"/>
    <n v="956"/>
    <n v="1128"/>
    <n v="0"/>
    <x v="570"/>
    <n v="1"/>
    <n v="0"/>
    <n v="2"/>
    <n v="1"/>
    <n v="4"/>
    <n v="1"/>
    <s v="Gd"/>
    <n v="8"/>
    <s v="Typ"/>
    <n v="0"/>
    <s v="NA"/>
    <s v="BuiltIn"/>
    <n v="2004"/>
    <s v="RFn"/>
    <n v="2"/>
    <n v="618"/>
    <s v="TA"/>
    <s v="TA"/>
    <s v="Y"/>
    <n v="0"/>
    <n v="45"/>
    <n v="0"/>
    <n v="0"/>
    <n v="0"/>
    <n v="0"/>
    <s v="NA"/>
    <s v="NA"/>
    <s v="NA"/>
    <n v="0"/>
    <n v="1"/>
    <n v="2010"/>
    <s v="WD"/>
    <s v="Normal"/>
    <n v="233000"/>
  </r>
  <r>
    <n v="789"/>
    <n v="20"/>
    <s v="RM"/>
    <n v="50"/>
    <n v="6000"/>
    <s v="Pave"/>
    <s v="NA"/>
    <s v="Reg"/>
    <s v="Lvl"/>
    <s v="AllPub"/>
    <s v="Corner"/>
    <s v="Gtl"/>
    <x v="7"/>
    <x v="0"/>
    <s v="Norm"/>
    <x v="0"/>
    <x v="1"/>
    <n v="4"/>
    <n v="7"/>
    <x v="30"/>
    <n v="200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901"/>
    <n v="901"/>
    <s v="GasA"/>
    <s v="Ex"/>
    <s v="Y"/>
    <s v="SBrkr"/>
    <n v="901"/>
    <n v="0"/>
    <n v="0"/>
    <x v="571"/>
    <n v="0"/>
    <n v="0"/>
    <n v="1"/>
    <n v="0"/>
    <n v="2"/>
    <n v="1"/>
    <s v="TA"/>
    <n v="4"/>
    <s v="Typ"/>
    <n v="0"/>
    <s v="NA"/>
    <s v="Detchd"/>
    <n v="1954"/>
    <s v="Unf"/>
    <n v="1"/>
    <n v="281"/>
    <s v="Fa"/>
    <s v="TA"/>
    <s v="Y"/>
    <n v="0"/>
    <n v="0"/>
    <n v="0"/>
    <n v="0"/>
    <n v="0"/>
    <n v="0"/>
    <s v="NA"/>
    <s v="NA"/>
    <s v="NA"/>
    <n v="0"/>
    <n v="8"/>
    <n v="2008"/>
    <s v="WD"/>
    <s v="Normal"/>
    <n v="107900"/>
  </r>
  <r>
    <n v="790"/>
    <n v="60"/>
    <s v="RL"/>
    <s v="NA"/>
    <n v="12205"/>
    <s v="Pave"/>
    <s v="NA"/>
    <s v="IR1"/>
    <s v="Low"/>
    <s v="AllPub"/>
    <s v="Inside"/>
    <s v="Gtl"/>
    <x v="19"/>
    <x v="0"/>
    <s v="Norm"/>
    <x v="0"/>
    <x v="0"/>
    <n v="6"/>
    <n v="8"/>
    <x v="27"/>
    <n v="2007"/>
    <s v="Gable"/>
    <s v="CompShg"/>
    <s v="HdBoard"/>
    <s v="HdBoard"/>
    <s v="BrkFace"/>
    <n v="157"/>
    <s v="TA"/>
    <s v="TA"/>
    <s v="CBlock"/>
    <s v="TA"/>
    <s v="Fa"/>
    <s v="Gd"/>
    <s v="LwQ"/>
    <n v="568"/>
    <s v="Unf"/>
    <n v="0"/>
    <n v="264"/>
    <n v="832"/>
    <s v="GasA"/>
    <s v="Gd"/>
    <s v="Y"/>
    <s v="SBrkr"/>
    <n v="976"/>
    <n v="1111"/>
    <n v="0"/>
    <x v="572"/>
    <n v="0"/>
    <n v="0"/>
    <n v="2"/>
    <n v="1"/>
    <n v="5"/>
    <n v="1"/>
    <s v="Gd"/>
    <n v="9"/>
    <s v="Typ"/>
    <n v="0"/>
    <s v="NA"/>
    <s v="Attchd"/>
    <n v="1966"/>
    <s v="Fin"/>
    <n v="2"/>
    <n v="444"/>
    <s v="TA"/>
    <s v="TA"/>
    <s v="Y"/>
    <n v="133"/>
    <n v="168"/>
    <n v="0"/>
    <n v="0"/>
    <n v="0"/>
    <n v="0"/>
    <s v="NA"/>
    <s v="NA"/>
    <s v="NA"/>
    <n v="0"/>
    <n v="7"/>
    <n v="2007"/>
    <s v="WD"/>
    <s v="Normal"/>
    <n v="187500"/>
  </r>
  <r>
    <n v="791"/>
    <n v="120"/>
    <s v="RL"/>
    <n v="43"/>
    <n v="3182"/>
    <s v="Pave"/>
    <s v="NA"/>
    <s v="Reg"/>
    <s v="Lvl"/>
    <s v="AllPub"/>
    <s v="Inside"/>
    <s v="Gtl"/>
    <x v="21"/>
    <x v="0"/>
    <s v="Norm"/>
    <x v="3"/>
    <x v="1"/>
    <n v="7"/>
    <n v="5"/>
    <x v="11"/>
    <n v="2006"/>
    <s v="Gable"/>
    <s v="CompShg"/>
    <s v="VinylSd"/>
    <s v="VinylSd"/>
    <s v="BrkFace"/>
    <n v="11"/>
    <s v="Gd"/>
    <s v="TA"/>
    <s v="PConc"/>
    <s v="Gd"/>
    <s v="TA"/>
    <s v="No"/>
    <s v="GLQ"/>
    <n v="16"/>
    <s v="Unf"/>
    <n v="0"/>
    <n v="1129"/>
    <n v="1145"/>
    <s v="GasA"/>
    <s v="Ex"/>
    <s v="Y"/>
    <s v="SBrkr"/>
    <n v="1145"/>
    <n v="0"/>
    <n v="0"/>
    <x v="573"/>
    <n v="0"/>
    <n v="0"/>
    <n v="2"/>
    <n v="0"/>
    <n v="2"/>
    <n v="1"/>
    <s v="Gd"/>
    <n v="5"/>
    <s v="Typ"/>
    <n v="1"/>
    <s v="Gd"/>
    <s v="Attchd"/>
    <n v="2005"/>
    <s v="Fin"/>
    <n v="2"/>
    <n v="397"/>
    <s v="TA"/>
    <s v="TA"/>
    <s v="Y"/>
    <n v="100"/>
    <n v="16"/>
    <n v="0"/>
    <n v="0"/>
    <n v="0"/>
    <n v="0"/>
    <s v="NA"/>
    <s v="NA"/>
    <s v="NA"/>
    <n v="0"/>
    <n v="9"/>
    <n v="2009"/>
    <s v="WD"/>
    <s v="Normal"/>
    <n v="160200"/>
  </r>
  <r>
    <n v="792"/>
    <n v="80"/>
    <s v="RL"/>
    <s v="NA"/>
    <n v="11333"/>
    <s v="Pave"/>
    <s v="NA"/>
    <s v="IR1"/>
    <s v="Lvl"/>
    <s v="AllPub"/>
    <s v="Corner"/>
    <s v="Gtl"/>
    <x v="4"/>
    <x v="0"/>
    <s v="Norm"/>
    <x v="0"/>
    <x v="5"/>
    <n v="6"/>
    <n v="5"/>
    <x v="1"/>
    <n v="1976"/>
    <s v="Gable"/>
    <s v="CompShg"/>
    <s v="HdBoard"/>
    <s v="HdBoard"/>
    <s v="None"/>
    <n v="0"/>
    <s v="TA"/>
    <s v="TA"/>
    <s v="PConc"/>
    <s v="Gd"/>
    <s v="TA"/>
    <s v="Av"/>
    <s v="ALQ"/>
    <n v="539"/>
    <s v="Unf"/>
    <n v="0"/>
    <n v="490"/>
    <n v="1029"/>
    <s v="GasA"/>
    <s v="TA"/>
    <s v="Y"/>
    <s v="SBrkr"/>
    <n v="1062"/>
    <n v="0"/>
    <n v="0"/>
    <x v="574"/>
    <n v="1"/>
    <n v="0"/>
    <n v="1"/>
    <n v="0"/>
    <n v="3"/>
    <n v="1"/>
    <s v="TA"/>
    <n v="5"/>
    <s v="Typ"/>
    <n v="2"/>
    <s v="TA"/>
    <s v="Attchd"/>
    <n v="1976"/>
    <s v="RFn"/>
    <n v="2"/>
    <n v="539"/>
    <s v="TA"/>
    <s v="TA"/>
    <s v="Y"/>
    <n v="120"/>
    <n v="0"/>
    <n v="0"/>
    <n v="0"/>
    <n v="0"/>
    <n v="0"/>
    <s v="NA"/>
    <s v="NA"/>
    <s v="NA"/>
    <n v="0"/>
    <n v="5"/>
    <n v="2007"/>
    <s v="WD"/>
    <s v="Normal"/>
    <n v="146800"/>
  </r>
  <r>
    <n v="793"/>
    <n v="60"/>
    <s v="RL"/>
    <n v="92"/>
    <n v="9920"/>
    <s v="Pave"/>
    <s v="NA"/>
    <s v="IR1"/>
    <s v="Lvl"/>
    <s v="AllPub"/>
    <s v="CulDSac"/>
    <s v="Gtl"/>
    <x v="3"/>
    <x v="0"/>
    <s v="Norm"/>
    <x v="0"/>
    <x v="0"/>
    <n v="7"/>
    <n v="5"/>
    <x v="92"/>
    <n v="1997"/>
    <s v="Gable"/>
    <s v="CompShg"/>
    <s v="MetalSd"/>
    <s v="MetalSd"/>
    <s v="None"/>
    <n v="0"/>
    <s v="Gd"/>
    <s v="TA"/>
    <s v="PConc"/>
    <s v="Gd"/>
    <s v="TA"/>
    <s v="Av"/>
    <s v="GLQ"/>
    <n v="862"/>
    <s v="Unf"/>
    <n v="0"/>
    <n v="255"/>
    <n v="1117"/>
    <s v="GasA"/>
    <s v="Ex"/>
    <s v="Y"/>
    <s v="SBrkr"/>
    <n v="1127"/>
    <n v="886"/>
    <n v="0"/>
    <x v="575"/>
    <n v="1"/>
    <n v="0"/>
    <n v="2"/>
    <n v="1"/>
    <n v="3"/>
    <n v="1"/>
    <s v="TA"/>
    <n v="8"/>
    <s v="Typ"/>
    <n v="1"/>
    <s v="TA"/>
    <s v="Attchd"/>
    <n v="1997"/>
    <s v="Unf"/>
    <n v="2"/>
    <n v="455"/>
    <s v="TA"/>
    <s v="TA"/>
    <s v="Y"/>
    <n v="180"/>
    <n v="130"/>
    <n v="0"/>
    <n v="0"/>
    <n v="0"/>
    <n v="0"/>
    <s v="NA"/>
    <s v="NA"/>
    <s v="NA"/>
    <n v="0"/>
    <n v="6"/>
    <n v="2007"/>
    <s v="WD"/>
    <s v="Normal"/>
    <n v="269790"/>
  </r>
  <r>
    <n v="794"/>
    <n v="20"/>
    <s v="RL"/>
    <n v="76"/>
    <n v="9158"/>
    <s v="Pave"/>
    <s v="NA"/>
    <s v="Reg"/>
    <s v="Lvl"/>
    <s v="AllPub"/>
    <s v="Inside"/>
    <s v="Gtl"/>
    <x v="5"/>
    <x v="0"/>
    <s v="Norm"/>
    <x v="0"/>
    <x v="1"/>
    <n v="8"/>
    <n v="5"/>
    <x v="22"/>
    <n v="2007"/>
    <s v="Gable"/>
    <s v="CompShg"/>
    <s v="CemntBd"/>
    <s v="CmentBd"/>
    <s v="Stone"/>
    <n v="140"/>
    <s v="Gd"/>
    <s v="TA"/>
    <s v="PConc"/>
    <s v="Gd"/>
    <s v="TA"/>
    <s v="Av"/>
    <s v="Unf"/>
    <n v="0"/>
    <s v="Unf"/>
    <n v="0"/>
    <n v="1496"/>
    <n v="1496"/>
    <s v="GasA"/>
    <s v="Ex"/>
    <s v="Y"/>
    <s v="SBrkr"/>
    <n v="1496"/>
    <n v="0"/>
    <n v="0"/>
    <x v="430"/>
    <n v="0"/>
    <n v="0"/>
    <n v="2"/>
    <n v="0"/>
    <n v="3"/>
    <n v="1"/>
    <s v="Gd"/>
    <n v="7"/>
    <s v="Typ"/>
    <n v="0"/>
    <s v="NA"/>
    <s v="Attchd"/>
    <n v="2007"/>
    <s v="Fin"/>
    <n v="2"/>
    <n v="474"/>
    <s v="TA"/>
    <s v="TA"/>
    <s v="Y"/>
    <n v="168"/>
    <n v="130"/>
    <n v="0"/>
    <n v="0"/>
    <n v="0"/>
    <n v="0"/>
    <s v="NA"/>
    <s v="NA"/>
    <s v="NA"/>
    <n v="0"/>
    <n v="6"/>
    <n v="2007"/>
    <s v="New"/>
    <s v="Partial"/>
    <n v="225000"/>
  </r>
  <r>
    <n v="795"/>
    <n v="60"/>
    <s v="RL"/>
    <s v="NA"/>
    <n v="10832"/>
    <s v="Pave"/>
    <s v="NA"/>
    <s v="IR1"/>
    <s v="Lvl"/>
    <s v="AllPub"/>
    <s v="Corner"/>
    <s v="Gtl"/>
    <x v="17"/>
    <x v="0"/>
    <s v="Norm"/>
    <x v="0"/>
    <x v="0"/>
    <n v="7"/>
    <n v="5"/>
    <x v="29"/>
    <n v="1996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712"/>
    <n v="712"/>
    <s v="GasA"/>
    <s v="Ex"/>
    <s v="Y"/>
    <s v="SBrkr"/>
    <n v="1086"/>
    <n v="809"/>
    <n v="0"/>
    <x v="576"/>
    <n v="0"/>
    <n v="0"/>
    <n v="2"/>
    <n v="1"/>
    <n v="3"/>
    <n v="1"/>
    <s v="Gd"/>
    <n v="7"/>
    <s v="Typ"/>
    <n v="1"/>
    <s v="TA"/>
    <s v="Attchd"/>
    <n v="1994"/>
    <s v="Fin"/>
    <n v="2"/>
    <n v="409"/>
    <s v="TA"/>
    <s v="TA"/>
    <s v="Y"/>
    <n v="143"/>
    <n v="46"/>
    <n v="0"/>
    <n v="0"/>
    <n v="0"/>
    <n v="0"/>
    <s v="NA"/>
    <s v="NA"/>
    <s v="Shed"/>
    <n v="500"/>
    <n v="10"/>
    <n v="2008"/>
    <s v="WD"/>
    <s v="Normal"/>
    <n v="194500"/>
  </r>
  <r>
    <n v="796"/>
    <n v="60"/>
    <s v="RL"/>
    <n v="70"/>
    <n v="8400"/>
    <s v="Pave"/>
    <s v="NA"/>
    <s v="Reg"/>
    <s v="Lvl"/>
    <s v="AllPub"/>
    <s v="Inside"/>
    <s v="Gtl"/>
    <x v="12"/>
    <x v="0"/>
    <s v="Norm"/>
    <x v="0"/>
    <x v="0"/>
    <n v="6"/>
    <n v="6"/>
    <x v="84"/>
    <n v="1981"/>
    <s v="Gable"/>
    <s v="CompShg"/>
    <s v="HdBoard"/>
    <s v="HdBoard"/>
    <s v="BrkFace"/>
    <n v="130"/>
    <s v="TA"/>
    <s v="TA"/>
    <s v="CBlock"/>
    <s v="Gd"/>
    <s v="TA"/>
    <s v="No"/>
    <s v="Unf"/>
    <n v="0"/>
    <s v="Unf"/>
    <n v="0"/>
    <n v="650"/>
    <n v="650"/>
    <s v="GasA"/>
    <s v="TA"/>
    <s v="Y"/>
    <s v="SBrkr"/>
    <n v="888"/>
    <n v="676"/>
    <n v="0"/>
    <x v="577"/>
    <n v="0"/>
    <n v="0"/>
    <n v="2"/>
    <n v="1"/>
    <n v="3"/>
    <n v="1"/>
    <s v="TA"/>
    <n v="7"/>
    <s v="Typ"/>
    <n v="1"/>
    <s v="TA"/>
    <s v="Attchd"/>
    <n v="1980"/>
    <s v="Unf"/>
    <n v="2"/>
    <n v="476"/>
    <s v="TA"/>
    <s v="TA"/>
    <s v="Y"/>
    <n v="0"/>
    <n v="50"/>
    <n v="0"/>
    <n v="0"/>
    <n v="204"/>
    <n v="0"/>
    <s v="NA"/>
    <s v="MnPrv"/>
    <s v="NA"/>
    <n v="0"/>
    <n v="4"/>
    <n v="2010"/>
    <s v="WD"/>
    <s v="Normal"/>
    <n v="171000"/>
  </r>
  <r>
    <n v="797"/>
    <n v="20"/>
    <s v="RL"/>
    <n v="71"/>
    <n v="8197"/>
    <s v="Pave"/>
    <s v="NA"/>
    <s v="Reg"/>
    <s v="Lvl"/>
    <s v="AllPub"/>
    <s v="Inside"/>
    <s v="Gtl"/>
    <x v="9"/>
    <x v="0"/>
    <s v="Norm"/>
    <x v="0"/>
    <x v="1"/>
    <n v="6"/>
    <n v="5"/>
    <x v="54"/>
    <n v="1977"/>
    <s v="Gable"/>
    <s v="CompShg"/>
    <s v="Plywood"/>
    <s v="Plywood"/>
    <s v="BrkFace"/>
    <n v="148"/>
    <s v="TA"/>
    <s v="TA"/>
    <s v="CBlock"/>
    <s v="TA"/>
    <s v="TA"/>
    <s v="No"/>
    <s v="Unf"/>
    <n v="0"/>
    <s v="Unf"/>
    <n v="0"/>
    <n v="660"/>
    <n v="660"/>
    <s v="GasA"/>
    <s v="Ex"/>
    <s v="Y"/>
    <s v="SBrkr"/>
    <n v="1285"/>
    <n v="0"/>
    <n v="0"/>
    <x v="74"/>
    <n v="0"/>
    <n v="0"/>
    <n v="1"/>
    <n v="1"/>
    <n v="3"/>
    <n v="1"/>
    <s v="TA"/>
    <n v="7"/>
    <s v="Typ"/>
    <n v="1"/>
    <s v="TA"/>
    <s v="Attchd"/>
    <n v="1977"/>
    <s v="RFn"/>
    <n v="2"/>
    <n v="528"/>
    <s v="TA"/>
    <s v="TA"/>
    <s v="Y"/>
    <n v="138"/>
    <n v="0"/>
    <n v="0"/>
    <n v="0"/>
    <n v="0"/>
    <n v="0"/>
    <s v="NA"/>
    <s v="MnPrv"/>
    <s v="NA"/>
    <n v="0"/>
    <n v="4"/>
    <n v="2007"/>
    <s v="WD"/>
    <s v="Normal"/>
    <n v="143500"/>
  </r>
  <r>
    <n v="798"/>
    <n v="20"/>
    <s v="RL"/>
    <n v="57"/>
    <n v="7677"/>
    <s v="Pave"/>
    <s v="NA"/>
    <s v="Reg"/>
    <s v="Lvl"/>
    <s v="AllPub"/>
    <s v="Inside"/>
    <s v="Gtl"/>
    <x v="11"/>
    <x v="0"/>
    <s v="Norm"/>
    <x v="0"/>
    <x v="1"/>
    <n v="5"/>
    <n v="5"/>
    <x v="31"/>
    <n v="1953"/>
    <s v="Gable"/>
    <s v="CompShg"/>
    <s v="VinylSd"/>
    <s v="VinylSd"/>
    <s v="None"/>
    <n v="0"/>
    <s v="TA"/>
    <s v="TA"/>
    <s v="CBlock"/>
    <s v="TA"/>
    <s v="TA"/>
    <s v="No"/>
    <s v="BLQ"/>
    <n v="570"/>
    <s v="Unf"/>
    <n v="0"/>
    <n v="203"/>
    <n v="773"/>
    <s v="GasA"/>
    <s v="Gd"/>
    <s v="Y"/>
    <s v="SBrkr"/>
    <n v="773"/>
    <n v="0"/>
    <n v="0"/>
    <x v="578"/>
    <n v="0"/>
    <n v="0"/>
    <n v="1"/>
    <n v="0"/>
    <n v="2"/>
    <n v="1"/>
    <s v="TA"/>
    <n v="4"/>
    <s v="Typ"/>
    <n v="0"/>
    <s v="NA"/>
    <s v="Attchd"/>
    <n v="1953"/>
    <s v="Unf"/>
    <n v="1"/>
    <n v="240"/>
    <s v="TA"/>
    <s v="TA"/>
    <s v="Y"/>
    <n v="0"/>
    <n v="0"/>
    <n v="0"/>
    <n v="0"/>
    <n v="0"/>
    <n v="0"/>
    <s v="NA"/>
    <s v="NA"/>
    <s v="NA"/>
    <n v="0"/>
    <n v="4"/>
    <n v="2008"/>
    <s v="WD"/>
    <s v="Abnorml"/>
    <n v="110000"/>
  </r>
  <r>
    <n v="799"/>
    <n v="60"/>
    <s v="RL"/>
    <n v="104"/>
    <n v="13518"/>
    <s v="Pave"/>
    <s v="NA"/>
    <s v="Reg"/>
    <s v="Lvl"/>
    <s v="AllPub"/>
    <s v="Inside"/>
    <s v="Gtl"/>
    <x v="10"/>
    <x v="0"/>
    <s v="Norm"/>
    <x v="0"/>
    <x v="0"/>
    <n v="9"/>
    <n v="5"/>
    <x v="74"/>
    <n v="2009"/>
    <s v="Hip"/>
    <s v="CompShg"/>
    <s v="VinylSd"/>
    <s v="VinylSd"/>
    <s v="Stone"/>
    <n v="860"/>
    <s v="Ex"/>
    <s v="TA"/>
    <s v="PConc"/>
    <s v="Ex"/>
    <s v="TA"/>
    <s v="No"/>
    <s v="Unf"/>
    <n v="0"/>
    <s v="Unf"/>
    <n v="0"/>
    <n v="1926"/>
    <n v="1926"/>
    <s v="GasA"/>
    <s v="Ex"/>
    <s v="Y"/>
    <s v="SBrkr"/>
    <n v="1966"/>
    <n v="1174"/>
    <n v="0"/>
    <x v="579"/>
    <n v="0"/>
    <n v="0"/>
    <n v="3"/>
    <n v="1"/>
    <n v="4"/>
    <n v="1"/>
    <s v="Ex"/>
    <n v="11"/>
    <s v="Typ"/>
    <n v="2"/>
    <s v="Gd"/>
    <s v="BuiltIn"/>
    <n v="2009"/>
    <s v="Fin"/>
    <n v="3"/>
    <n v="820"/>
    <s v="TA"/>
    <s v="TA"/>
    <s v="Y"/>
    <n v="144"/>
    <n v="78"/>
    <n v="0"/>
    <n v="0"/>
    <n v="0"/>
    <n v="0"/>
    <s v="NA"/>
    <s v="NA"/>
    <s v="NA"/>
    <n v="0"/>
    <n v="7"/>
    <n v="2009"/>
    <s v="New"/>
    <s v="Partial"/>
    <n v="485000"/>
  </r>
  <r>
    <n v="800"/>
    <n v="50"/>
    <s v="RL"/>
    <n v="60"/>
    <n v="7200"/>
    <s v="Pave"/>
    <s v="NA"/>
    <s v="Reg"/>
    <s v="Lvl"/>
    <s v="AllPub"/>
    <s v="Corner"/>
    <s v="Gtl"/>
    <x v="23"/>
    <x v="1"/>
    <s v="Norm"/>
    <x v="0"/>
    <x v="2"/>
    <n v="5"/>
    <n v="7"/>
    <x v="96"/>
    <n v="1950"/>
    <s v="Gable"/>
    <s v="CompShg"/>
    <s v="Wd Sdng"/>
    <s v="Wd Sdng"/>
    <s v="BrkFace"/>
    <n v="252"/>
    <s v="TA"/>
    <s v="TA"/>
    <s v="BrkTil"/>
    <s v="Gd"/>
    <s v="TA"/>
    <s v="No"/>
    <s v="ALQ"/>
    <n v="569"/>
    <s v="Unf"/>
    <n v="0"/>
    <n v="162"/>
    <n v="731"/>
    <s v="GasA"/>
    <s v="Ex"/>
    <s v="Y"/>
    <s v="SBrkr"/>
    <n v="981"/>
    <n v="787"/>
    <n v="0"/>
    <x v="75"/>
    <n v="1"/>
    <n v="0"/>
    <n v="1"/>
    <n v="1"/>
    <n v="3"/>
    <n v="1"/>
    <s v="Gd"/>
    <n v="7"/>
    <s v="Typ"/>
    <n v="2"/>
    <s v="TA"/>
    <s v="Detchd"/>
    <n v="1939"/>
    <s v="Unf"/>
    <n v="1"/>
    <n v="240"/>
    <s v="TA"/>
    <s v="TA"/>
    <s v="Y"/>
    <n v="0"/>
    <n v="0"/>
    <n v="264"/>
    <n v="0"/>
    <n v="0"/>
    <n v="0"/>
    <s v="NA"/>
    <s v="MnPrv"/>
    <s v="NA"/>
    <n v="0"/>
    <n v="6"/>
    <n v="2007"/>
    <s v="WD"/>
    <s v="Normal"/>
    <n v="175000"/>
  </r>
  <r>
    <n v="801"/>
    <n v="60"/>
    <s v="RL"/>
    <n v="79"/>
    <n v="12798"/>
    <s v="Pave"/>
    <s v="NA"/>
    <s v="IR1"/>
    <s v="HLS"/>
    <s v="AllPub"/>
    <s v="Inside"/>
    <s v="Mod"/>
    <x v="19"/>
    <x v="1"/>
    <s v="Norm"/>
    <x v="0"/>
    <x v="0"/>
    <n v="6"/>
    <n v="5"/>
    <x v="35"/>
    <n v="1997"/>
    <s v="Gable"/>
    <s v="CompShg"/>
    <s v="VinylSd"/>
    <s v="VinylSd"/>
    <s v="None"/>
    <n v="0"/>
    <s v="TA"/>
    <s v="TA"/>
    <s v="PConc"/>
    <s v="Gd"/>
    <s v="TA"/>
    <s v="Gd"/>
    <s v="GLQ"/>
    <n v="462"/>
    <s v="Unf"/>
    <n v="0"/>
    <n v="154"/>
    <n v="616"/>
    <s v="GasA"/>
    <s v="Gd"/>
    <s v="Y"/>
    <s v="SBrkr"/>
    <n v="616"/>
    <n v="1072"/>
    <n v="0"/>
    <x v="580"/>
    <n v="1"/>
    <n v="0"/>
    <n v="2"/>
    <n v="1"/>
    <n v="4"/>
    <n v="1"/>
    <s v="Gd"/>
    <n v="8"/>
    <s v="Typ"/>
    <n v="0"/>
    <s v="NA"/>
    <s v="Attchd"/>
    <n v="1997"/>
    <s v="RFn"/>
    <n v="2"/>
    <n v="603"/>
    <s v="TA"/>
    <s v="TA"/>
    <s v="Y"/>
    <n v="403"/>
    <n v="114"/>
    <n v="185"/>
    <n v="0"/>
    <n v="0"/>
    <n v="0"/>
    <s v="NA"/>
    <s v="NA"/>
    <s v="Shed"/>
    <n v="400"/>
    <n v="5"/>
    <n v="2008"/>
    <s v="WD"/>
    <s v="Normal"/>
    <n v="200000"/>
  </r>
  <r>
    <n v="802"/>
    <n v="30"/>
    <s v="RM"/>
    <n v="40"/>
    <n v="4800"/>
    <s v="Pave"/>
    <s v="NA"/>
    <s v="Reg"/>
    <s v="Lvl"/>
    <s v="AllPub"/>
    <s v="Inside"/>
    <s v="Gtl"/>
    <x v="13"/>
    <x v="0"/>
    <s v="Norm"/>
    <x v="0"/>
    <x v="1"/>
    <n v="4"/>
    <n v="7"/>
    <x v="77"/>
    <n v="1990"/>
    <s v="Gable"/>
    <s v="CompShg"/>
    <s v="MetalSd"/>
    <s v="MetalSd"/>
    <s v="None"/>
    <n v="0"/>
    <s v="TA"/>
    <s v="TA"/>
    <s v="CBlock"/>
    <s v="TA"/>
    <s v="TA"/>
    <s v="No"/>
    <s v="LwQ"/>
    <n v="197"/>
    <s v="Unf"/>
    <n v="0"/>
    <n v="999"/>
    <n v="1196"/>
    <s v="GasA"/>
    <s v="Ex"/>
    <s v="Y"/>
    <s v="FuseA"/>
    <n v="1196"/>
    <n v="0"/>
    <n v="0"/>
    <x v="346"/>
    <n v="1"/>
    <n v="0"/>
    <n v="1"/>
    <n v="0"/>
    <n v="2"/>
    <n v="1"/>
    <s v="TA"/>
    <n v="5"/>
    <s v="Typ"/>
    <n v="0"/>
    <s v="NA"/>
    <s v="Detchd"/>
    <n v="1957"/>
    <s v="Unf"/>
    <n v="2"/>
    <n v="440"/>
    <s v="TA"/>
    <s v="TA"/>
    <s v="Y"/>
    <n v="0"/>
    <n v="0"/>
    <n v="0"/>
    <n v="0"/>
    <n v="0"/>
    <n v="0"/>
    <s v="NA"/>
    <s v="NA"/>
    <s v="NA"/>
    <n v="0"/>
    <n v="7"/>
    <n v="2007"/>
    <s v="WD"/>
    <s v="Normal"/>
    <n v="109900"/>
  </r>
  <r>
    <n v="803"/>
    <n v="60"/>
    <s v="RL"/>
    <n v="63"/>
    <n v="8199"/>
    <s v="Pave"/>
    <s v="NA"/>
    <s v="Reg"/>
    <s v="Lvl"/>
    <s v="AllPub"/>
    <s v="Inside"/>
    <s v="Gtl"/>
    <x v="0"/>
    <x v="0"/>
    <s v="Norm"/>
    <x v="0"/>
    <x v="0"/>
    <n v="7"/>
    <n v="5"/>
    <x v="11"/>
    <n v="2005"/>
    <s v="Gable"/>
    <s v="CompShg"/>
    <s v="WdShing"/>
    <s v="Wd Shng"/>
    <s v="None"/>
    <n v="0"/>
    <s v="Gd"/>
    <s v="TA"/>
    <s v="PConc"/>
    <s v="Gd"/>
    <s v="TA"/>
    <s v="Av"/>
    <s v="GLQ"/>
    <n v="648"/>
    <s v="Unf"/>
    <n v="0"/>
    <n v="80"/>
    <n v="728"/>
    <s v="GasA"/>
    <s v="Ex"/>
    <s v="Y"/>
    <s v="SBrkr"/>
    <n v="728"/>
    <n v="728"/>
    <n v="0"/>
    <x v="113"/>
    <n v="1"/>
    <n v="0"/>
    <n v="2"/>
    <n v="1"/>
    <n v="3"/>
    <n v="1"/>
    <s v="Gd"/>
    <n v="7"/>
    <s v="Typ"/>
    <n v="1"/>
    <s v="Gd"/>
    <s v="Attchd"/>
    <n v="2005"/>
    <s v="Fin"/>
    <n v="2"/>
    <n v="410"/>
    <s v="TA"/>
    <s v="TA"/>
    <s v="Y"/>
    <n v="36"/>
    <n v="18"/>
    <n v="0"/>
    <n v="0"/>
    <n v="0"/>
    <n v="0"/>
    <s v="NA"/>
    <s v="NA"/>
    <s v="NA"/>
    <n v="0"/>
    <n v="10"/>
    <n v="2008"/>
    <s v="WD"/>
    <s v="Normal"/>
    <n v="189000"/>
  </r>
  <r>
    <n v="804"/>
    <n v="60"/>
    <s v="RL"/>
    <n v="107"/>
    <n v="13891"/>
    <s v="Pave"/>
    <s v="NA"/>
    <s v="Reg"/>
    <s v="Lvl"/>
    <s v="AllPub"/>
    <s v="Inside"/>
    <s v="Gtl"/>
    <x v="10"/>
    <x v="0"/>
    <s v="Norm"/>
    <x v="0"/>
    <x v="0"/>
    <n v="9"/>
    <n v="5"/>
    <x v="74"/>
    <n v="2009"/>
    <s v="Hip"/>
    <s v="CompShg"/>
    <s v="VinylSd"/>
    <s v="VinylSd"/>
    <s v="Stone"/>
    <n v="424"/>
    <s v="Ex"/>
    <s v="TA"/>
    <s v="PConc"/>
    <s v="Ex"/>
    <s v="TA"/>
    <s v="Gd"/>
    <s v="Unf"/>
    <n v="0"/>
    <s v="Unf"/>
    <n v="0"/>
    <n v="1734"/>
    <n v="1734"/>
    <s v="GasA"/>
    <s v="Ex"/>
    <s v="Y"/>
    <s v="SBrkr"/>
    <n v="1734"/>
    <n v="1088"/>
    <n v="0"/>
    <x v="581"/>
    <n v="0"/>
    <n v="0"/>
    <n v="3"/>
    <n v="1"/>
    <n v="4"/>
    <n v="1"/>
    <s v="Ex"/>
    <n v="12"/>
    <s v="Typ"/>
    <n v="1"/>
    <s v="Gd"/>
    <s v="BuiltIn"/>
    <n v="2009"/>
    <s v="RFn"/>
    <n v="3"/>
    <n v="1020"/>
    <s v="TA"/>
    <s v="TA"/>
    <s v="Y"/>
    <n v="52"/>
    <n v="170"/>
    <n v="0"/>
    <n v="0"/>
    <n v="192"/>
    <n v="0"/>
    <s v="NA"/>
    <s v="NA"/>
    <s v="NA"/>
    <n v="0"/>
    <n v="1"/>
    <n v="2009"/>
    <s v="New"/>
    <s v="Partial"/>
    <n v="582933"/>
  </r>
  <r>
    <n v="805"/>
    <n v="20"/>
    <s v="RL"/>
    <n v="75"/>
    <n v="9000"/>
    <s v="Pave"/>
    <s v="NA"/>
    <s v="Reg"/>
    <s v="Lvl"/>
    <s v="AllPub"/>
    <s v="Inside"/>
    <s v="Gtl"/>
    <x v="11"/>
    <x v="0"/>
    <s v="Norm"/>
    <x v="0"/>
    <x v="1"/>
    <n v="5"/>
    <n v="5"/>
    <x v="30"/>
    <n v="1954"/>
    <s v="Gable"/>
    <s v="CompShg"/>
    <s v="Wd Sdng"/>
    <s v="Wd Sdng"/>
    <s v="None"/>
    <n v="0"/>
    <s v="TA"/>
    <s v="TA"/>
    <s v="CBlock"/>
    <s v="TA"/>
    <s v="TA"/>
    <s v="No"/>
    <s v="LwQ"/>
    <n v="812"/>
    <s v="Unf"/>
    <n v="0"/>
    <n v="124"/>
    <n v="936"/>
    <s v="GasA"/>
    <s v="TA"/>
    <s v="Y"/>
    <s v="SBrkr"/>
    <n v="1128"/>
    <n v="0"/>
    <n v="0"/>
    <x v="582"/>
    <n v="0"/>
    <n v="0"/>
    <n v="1"/>
    <n v="0"/>
    <n v="2"/>
    <n v="1"/>
    <s v="TA"/>
    <n v="5"/>
    <s v="Min1"/>
    <n v="0"/>
    <s v="NA"/>
    <s v="Attchd"/>
    <n v="1954"/>
    <s v="Unf"/>
    <n v="1"/>
    <n v="286"/>
    <s v="TA"/>
    <s v="TA"/>
    <s v="Y"/>
    <n v="0"/>
    <n v="0"/>
    <n v="0"/>
    <n v="0"/>
    <n v="0"/>
    <n v="0"/>
    <s v="NA"/>
    <s v="GdWo"/>
    <s v="NA"/>
    <n v="0"/>
    <n v="6"/>
    <n v="2006"/>
    <s v="WD"/>
    <s v="Family"/>
    <n v="118000"/>
  </r>
  <r>
    <n v="806"/>
    <n v="20"/>
    <s v="RL"/>
    <n v="91"/>
    <n v="12274"/>
    <s v="Pave"/>
    <s v="NA"/>
    <s v="IR1"/>
    <s v="Lvl"/>
    <s v="AllPub"/>
    <s v="FR2"/>
    <s v="Gtl"/>
    <x v="5"/>
    <x v="0"/>
    <s v="Norm"/>
    <x v="0"/>
    <x v="1"/>
    <n v="7"/>
    <n v="5"/>
    <x v="74"/>
    <n v="2008"/>
    <s v="Gable"/>
    <s v="CompShg"/>
    <s v="VinylSd"/>
    <s v="VinylSd"/>
    <s v="Stone"/>
    <n v="256"/>
    <s v="Gd"/>
    <s v="TA"/>
    <s v="PConc"/>
    <s v="Gd"/>
    <s v="TA"/>
    <s v="No"/>
    <s v="Unf"/>
    <n v="0"/>
    <s v="Unf"/>
    <n v="0"/>
    <n v="1417"/>
    <n v="1417"/>
    <s v="GasA"/>
    <s v="Ex"/>
    <s v="Y"/>
    <s v="SBrkr"/>
    <n v="1428"/>
    <n v="0"/>
    <n v="0"/>
    <x v="583"/>
    <n v="0"/>
    <n v="0"/>
    <n v="2"/>
    <n v="0"/>
    <n v="3"/>
    <n v="1"/>
    <s v="Ex"/>
    <n v="6"/>
    <s v="Typ"/>
    <n v="0"/>
    <s v="NA"/>
    <s v="Attchd"/>
    <n v="2008"/>
    <s v="RFn"/>
    <n v="2"/>
    <n v="554"/>
    <s v="TA"/>
    <s v="TA"/>
    <s v="Y"/>
    <n v="0"/>
    <n v="60"/>
    <n v="0"/>
    <n v="0"/>
    <n v="0"/>
    <n v="0"/>
    <s v="NA"/>
    <s v="NA"/>
    <s v="NA"/>
    <n v="0"/>
    <n v="7"/>
    <n v="2008"/>
    <s v="New"/>
    <s v="Partial"/>
    <n v="227680"/>
  </r>
  <r>
    <n v="807"/>
    <n v="80"/>
    <s v="RL"/>
    <n v="75"/>
    <n v="9750"/>
    <s v="Pave"/>
    <s v="NA"/>
    <s v="Reg"/>
    <s v="Lvl"/>
    <s v="AllPub"/>
    <s v="Inside"/>
    <s v="Gtl"/>
    <x v="11"/>
    <x v="0"/>
    <s v="Norm"/>
    <x v="0"/>
    <x v="5"/>
    <n v="5"/>
    <n v="5"/>
    <x v="17"/>
    <n v="1967"/>
    <s v="Gable"/>
    <s v="CompShg"/>
    <s v="VinylSd"/>
    <s v="VinylSd"/>
    <s v="None"/>
    <n v="0"/>
    <s v="TA"/>
    <s v="TA"/>
    <s v="PConc"/>
    <s v="TA"/>
    <s v="TA"/>
    <s v="Av"/>
    <s v="ALQ"/>
    <n v="400"/>
    <s v="Rec"/>
    <n v="480"/>
    <n v="100"/>
    <n v="980"/>
    <s v="GasA"/>
    <s v="Gd"/>
    <s v="Y"/>
    <s v="SBrkr"/>
    <n v="980"/>
    <n v="0"/>
    <n v="0"/>
    <x v="480"/>
    <n v="0"/>
    <n v="0"/>
    <n v="2"/>
    <n v="0"/>
    <n v="3"/>
    <n v="1"/>
    <s v="TA"/>
    <n v="6"/>
    <s v="Typ"/>
    <n v="0"/>
    <s v="NA"/>
    <s v="Attchd"/>
    <n v="1967"/>
    <s v="Fin"/>
    <n v="1"/>
    <n v="384"/>
    <s v="TA"/>
    <s v="TA"/>
    <s v="Y"/>
    <n v="68"/>
    <n v="0"/>
    <n v="0"/>
    <n v="0"/>
    <n v="0"/>
    <n v="0"/>
    <s v="NA"/>
    <s v="NA"/>
    <s v="NA"/>
    <n v="0"/>
    <n v="10"/>
    <n v="2006"/>
    <s v="WD"/>
    <s v="Normal"/>
    <n v="135500"/>
  </r>
  <r>
    <n v="808"/>
    <n v="70"/>
    <s v="RL"/>
    <n v="144"/>
    <n v="21384"/>
    <s v="Pave"/>
    <s v="NA"/>
    <s v="Reg"/>
    <s v="Lvl"/>
    <s v="AllPub"/>
    <s v="Inside"/>
    <s v="Gtl"/>
    <x v="8"/>
    <x v="0"/>
    <s v="Norm"/>
    <x v="0"/>
    <x v="0"/>
    <n v="5"/>
    <n v="6"/>
    <x v="66"/>
    <n v="2004"/>
    <s v="Gable"/>
    <s v="CompShg"/>
    <s v="Wd Sdng"/>
    <s v="Wd Sdng"/>
    <s v="None"/>
    <n v="0"/>
    <s v="TA"/>
    <s v="TA"/>
    <s v="CBlock"/>
    <s v="TA"/>
    <s v="TA"/>
    <s v="Gd"/>
    <s v="GLQ"/>
    <n v="1309"/>
    <s v="Unf"/>
    <n v="0"/>
    <n v="15"/>
    <n v="1324"/>
    <s v="GasA"/>
    <s v="Ex"/>
    <s v="Y"/>
    <s v="SBrkr"/>
    <n v="1072"/>
    <n v="504"/>
    <n v="0"/>
    <x v="584"/>
    <n v="2"/>
    <n v="0"/>
    <n v="1"/>
    <n v="1"/>
    <n v="3"/>
    <n v="1"/>
    <s v="Gd"/>
    <n v="6"/>
    <s v="Typ"/>
    <n v="1"/>
    <s v="TA"/>
    <s v="Attchd"/>
    <n v="1923"/>
    <s v="RFn"/>
    <n v="2"/>
    <n v="528"/>
    <s v="TA"/>
    <s v="TA"/>
    <s v="Y"/>
    <n v="0"/>
    <n v="312"/>
    <n v="0"/>
    <n v="0"/>
    <n v="0"/>
    <n v="0"/>
    <s v="NA"/>
    <s v="NA"/>
    <s v="NA"/>
    <n v="0"/>
    <n v="5"/>
    <n v="2009"/>
    <s v="WD"/>
    <s v="Normal"/>
    <n v="223500"/>
  </r>
  <r>
    <n v="809"/>
    <n v="80"/>
    <s v="RL"/>
    <n v="85"/>
    <n v="13400"/>
    <s v="Pave"/>
    <s v="NA"/>
    <s v="Reg"/>
    <s v="Lvl"/>
    <s v="AllPub"/>
    <s v="Inside"/>
    <s v="Gtl"/>
    <x v="11"/>
    <x v="0"/>
    <s v="Norm"/>
    <x v="0"/>
    <x v="5"/>
    <n v="5"/>
    <n v="5"/>
    <x v="27"/>
    <n v="1966"/>
    <s v="Gable"/>
    <s v="CompShg"/>
    <s v="VinylSd"/>
    <s v="VinylSd"/>
    <s v="BrkFace"/>
    <n v="1047"/>
    <s v="TA"/>
    <s v="TA"/>
    <s v="CBlock"/>
    <s v="TA"/>
    <s v="TA"/>
    <s v="Av"/>
    <s v="ALQ"/>
    <n v="516"/>
    <s v="BLQ"/>
    <n v="128"/>
    <n v="380"/>
    <n v="1024"/>
    <s v="GasA"/>
    <s v="TA"/>
    <s v="Y"/>
    <s v="SBrkr"/>
    <n v="1086"/>
    <n v="0"/>
    <n v="0"/>
    <x v="70"/>
    <n v="1"/>
    <n v="0"/>
    <n v="1"/>
    <n v="0"/>
    <n v="3"/>
    <n v="1"/>
    <s v="TA"/>
    <n v="6"/>
    <s v="Typ"/>
    <n v="1"/>
    <s v="Gd"/>
    <s v="Attchd"/>
    <n v="1966"/>
    <s v="RFn"/>
    <n v="2"/>
    <n v="484"/>
    <s v="TA"/>
    <s v="TA"/>
    <s v="Y"/>
    <n v="0"/>
    <n v="0"/>
    <n v="0"/>
    <n v="0"/>
    <n v="0"/>
    <n v="0"/>
    <s v="NA"/>
    <s v="GdWo"/>
    <s v="NA"/>
    <n v="0"/>
    <n v="6"/>
    <n v="2006"/>
    <s v="WD"/>
    <s v="Normal"/>
    <n v="159950"/>
  </r>
  <r>
    <n v="810"/>
    <n v="75"/>
    <s v="RM"/>
    <n v="90"/>
    <n v="8100"/>
    <s v="Pave"/>
    <s v="NA"/>
    <s v="Reg"/>
    <s v="Lvl"/>
    <s v="AllPub"/>
    <s v="Corner"/>
    <s v="Gtl"/>
    <x v="7"/>
    <x v="0"/>
    <s v="Norm"/>
    <x v="0"/>
    <x v="6"/>
    <n v="5"/>
    <n v="5"/>
    <x v="104"/>
    <n v="1965"/>
    <s v="Hip"/>
    <s v="CompShg"/>
    <s v="AsbShng"/>
    <s v="AsbShng"/>
    <s v="None"/>
    <n v="0"/>
    <s v="TA"/>
    <s v="TA"/>
    <s v="PConc"/>
    <s v="TA"/>
    <s v="TA"/>
    <s v="No"/>
    <s v="Unf"/>
    <n v="0"/>
    <s v="Unf"/>
    <n v="0"/>
    <n v="849"/>
    <n v="849"/>
    <s v="GasA"/>
    <s v="TA"/>
    <s v="N"/>
    <s v="FuseA"/>
    <n v="1075"/>
    <n v="1063"/>
    <n v="0"/>
    <x v="585"/>
    <n v="0"/>
    <n v="0"/>
    <n v="2"/>
    <n v="0"/>
    <n v="2"/>
    <n v="3"/>
    <s v="TA"/>
    <n v="11"/>
    <s v="Typ"/>
    <n v="0"/>
    <s v="NA"/>
    <s v="Detchd"/>
    <n v="1910"/>
    <s v="Unf"/>
    <n v="2"/>
    <n v="360"/>
    <s v="Fa"/>
    <s v="Po"/>
    <s v="N"/>
    <n v="40"/>
    <n v="156"/>
    <n v="0"/>
    <n v="0"/>
    <n v="0"/>
    <n v="0"/>
    <s v="NA"/>
    <s v="MnPrv"/>
    <s v="NA"/>
    <n v="0"/>
    <n v="11"/>
    <n v="2009"/>
    <s v="WD"/>
    <s v="Normal"/>
    <n v="106000"/>
  </r>
  <r>
    <n v="811"/>
    <n v="20"/>
    <s v="RL"/>
    <n v="78"/>
    <n v="10140"/>
    <s v="Pave"/>
    <s v="NA"/>
    <s v="Reg"/>
    <s v="Lvl"/>
    <s v="AllPub"/>
    <s v="Inside"/>
    <s v="Gtl"/>
    <x v="6"/>
    <x v="0"/>
    <s v="Norm"/>
    <x v="0"/>
    <x v="1"/>
    <n v="6"/>
    <n v="6"/>
    <x v="99"/>
    <n v="1999"/>
    <s v="Hip"/>
    <s v="CompShg"/>
    <s v="HdBoard"/>
    <s v="HdBoard"/>
    <s v="BrkFace"/>
    <n v="99"/>
    <s v="TA"/>
    <s v="TA"/>
    <s v="CBlock"/>
    <s v="TA"/>
    <s v="TA"/>
    <s v="No"/>
    <s v="ALQ"/>
    <n v="663"/>
    <s v="LwQ"/>
    <n v="377"/>
    <n v="0"/>
    <n v="1040"/>
    <s v="GasA"/>
    <s v="Fa"/>
    <s v="Y"/>
    <s v="SBrkr"/>
    <n v="1309"/>
    <n v="0"/>
    <n v="0"/>
    <x v="586"/>
    <n v="1"/>
    <n v="0"/>
    <n v="1"/>
    <n v="1"/>
    <n v="3"/>
    <n v="1"/>
    <s v="Gd"/>
    <n v="5"/>
    <s v="Typ"/>
    <n v="1"/>
    <s v="Fa"/>
    <s v="Attchd"/>
    <n v="1974"/>
    <s v="RFn"/>
    <n v="2"/>
    <n v="484"/>
    <s v="TA"/>
    <s v="TA"/>
    <s v="Y"/>
    <n v="265"/>
    <n v="0"/>
    <n v="0"/>
    <n v="0"/>
    <n v="0"/>
    <n v="648"/>
    <s v="Fa"/>
    <s v="GdPrv"/>
    <s v="NA"/>
    <n v="0"/>
    <n v="1"/>
    <n v="2006"/>
    <s v="WD"/>
    <s v="Normal"/>
    <n v="181000"/>
  </r>
  <r>
    <n v="812"/>
    <n v="120"/>
    <s v="RM"/>
    <s v="NA"/>
    <n v="4438"/>
    <s v="Pave"/>
    <s v="NA"/>
    <s v="Reg"/>
    <s v="Lvl"/>
    <s v="AllPub"/>
    <s v="Inside"/>
    <s v="Gtl"/>
    <x v="0"/>
    <x v="0"/>
    <s v="Norm"/>
    <x v="3"/>
    <x v="1"/>
    <n v="6"/>
    <n v="5"/>
    <x v="6"/>
    <n v="2004"/>
    <s v="Gable"/>
    <s v="CompShg"/>
    <s v="VinylSd"/>
    <s v="VinylSd"/>
    <s v="BrkFace"/>
    <n v="169"/>
    <s v="Gd"/>
    <s v="TA"/>
    <s v="PConc"/>
    <s v="Gd"/>
    <s v="TA"/>
    <s v="Gd"/>
    <s v="GLQ"/>
    <n v="662"/>
    <s v="Unf"/>
    <n v="0"/>
    <n v="186"/>
    <n v="848"/>
    <s v="GasA"/>
    <s v="Ex"/>
    <s v="Y"/>
    <s v="SBrkr"/>
    <n v="848"/>
    <n v="0"/>
    <n v="0"/>
    <x v="182"/>
    <n v="1"/>
    <n v="0"/>
    <n v="1"/>
    <n v="0"/>
    <n v="1"/>
    <n v="1"/>
    <s v="Gd"/>
    <n v="4"/>
    <s v="Typ"/>
    <n v="1"/>
    <s v="Gd"/>
    <s v="Attchd"/>
    <n v="2004"/>
    <s v="Fin"/>
    <n v="2"/>
    <n v="420"/>
    <s v="TA"/>
    <s v="TA"/>
    <s v="Y"/>
    <n v="140"/>
    <n v="0"/>
    <n v="0"/>
    <n v="0"/>
    <n v="0"/>
    <n v="0"/>
    <s v="NA"/>
    <s v="NA"/>
    <s v="NA"/>
    <n v="0"/>
    <n v="6"/>
    <n v="2008"/>
    <s v="ConLD"/>
    <s v="Normal"/>
    <n v="144500"/>
  </r>
  <r>
    <n v="813"/>
    <n v="20"/>
    <s v="C (all)"/>
    <n v="66"/>
    <n v="8712"/>
    <s v="Grvl"/>
    <s v="NA"/>
    <s v="Reg"/>
    <s v="Bnk"/>
    <s v="AllPub"/>
    <s v="Inside"/>
    <s v="Mod"/>
    <x v="13"/>
    <x v="0"/>
    <s v="Norm"/>
    <x v="0"/>
    <x v="1"/>
    <n v="5"/>
    <n v="5"/>
    <x v="64"/>
    <n v="1952"/>
    <s v="Hip"/>
    <s v="CompShg"/>
    <s v="Wd Sdng"/>
    <s v="Wd Sdng"/>
    <s v="None"/>
    <n v="0"/>
    <s v="Fa"/>
    <s v="TA"/>
    <s v="CBlock"/>
    <s v="TA"/>
    <s v="TA"/>
    <s v="Av"/>
    <s v="Unf"/>
    <n v="0"/>
    <s v="Unf"/>
    <n v="0"/>
    <n v="540"/>
    <n v="540"/>
    <s v="GasA"/>
    <s v="TA"/>
    <s v="N"/>
    <s v="FuseA"/>
    <n v="1044"/>
    <n v="0"/>
    <n v="0"/>
    <x v="587"/>
    <n v="0"/>
    <n v="0"/>
    <n v="1"/>
    <n v="0"/>
    <n v="2"/>
    <n v="1"/>
    <s v="Fa"/>
    <n v="4"/>
    <s v="Typ"/>
    <n v="0"/>
    <s v="NA"/>
    <s v="Basment"/>
    <n v="1952"/>
    <s v="Unf"/>
    <n v="2"/>
    <n v="504"/>
    <s v="TA"/>
    <s v="TA"/>
    <s v="N"/>
    <n v="0"/>
    <n v="0"/>
    <n v="0"/>
    <n v="0"/>
    <n v="0"/>
    <n v="0"/>
    <s v="NA"/>
    <s v="NA"/>
    <s v="Shed"/>
    <n v="54"/>
    <n v="6"/>
    <n v="2010"/>
    <s v="WD"/>
    <s v="Alloca"/>
    <n v="55993"/>
  </r>
  <r>
    <n v="814"/>
    <n v="20"/>
    <s v="RL"/>
    <n v="75"/>
    <n v="9750"/>
    <s v="Pave"/>
    <s v="NA"/>
    <s v="Reg"/>
    <s v="Lvl"/>
    <s v="AllPub"/>
    <s v="Inside"/>
    <s v="Gtl"/>
    <x v="11"/>
    <x v="0"/>
    <s v="Norm"/>
    <x v="0"/>
    <x v="1"/>
    <n v="6"/>
    <n v="6"/>
    <x v="18"/>
    <n v="1958"/>
    <s v="Gable"/>
    <s v="CompShg"/>
    <s v="MetalSd"/>
    <s v="MetalSd"/>
    <s v="BrkFace"/>
    <n v="243"/>
    <s v="TA"/>
    <s v="TA"/>
    <s v="CBlock"/>
    <s v="TA"/>
    <s v="TA"/>
    <s v="No"/>
    <s v="Rec"/>
    <n v="608"/>
    <s v="Unf"/>
    <n v="0"/>
    <n v="834"/>
    <n v="1442"/>
    <s v="GasA"/>
    <s v="Gd"/>
    <s v="Y"/>
    <s v="SBrkr"/>
    <n v="1442"/>
    <n v="0"/>
    <n v="0"/>
    <x v="184"/>
    <n v="0"/>
    <n v="0"/>
    <n v="1"/>
    <n v="1"/>
    <n v="4"/>
    <n v="1"/>
    <s v="TA"/>
    <n v="7"/>
    <s v="Typ"/>
    <n v="0"/>
    <s v="NA"/>
    <s v="Attchd"/>
    <n v="1958"/>
    <s v="RFn"/>
    <n v="1"/>
    <n v="301"/>
    <s v="TA"/>
    <s v="TA"/>
    <s v="Y"/>
    <n v="0"/>
    <n v="0"/>
    <n v="275"/>
    <n v="0"/>
    <n v="0"/>
    <n v="0"/>
    <s v="NA"/>
    <s v="NA"/>
    <s v="Shed"/>
    <n v="500"/>
    <n v="4"/>
    <n v="2007"/>
    <s v="COD"/>
    <s v="Normal"/>
    <n v="157900"/>
  </r>
  <r>
    <n v="815"/>
    <n v="50"/>
    <s v="RL"/>
    <n v="45"/>
    <n v="8248"/>
    <s v="Pave"/>
    <s v="Grvl"/>
    <s v="Reg"/>
    <s v="Lvl"/>
    <s v="AllPub"/>
    <s v="Inside"/>
    <s v="Gtl"/>
    <x v="15"/>
    <x v="0"/>
    <s v="Norm"/>
    <x v="0"/>
    <x v="2"/>
    <n v="5"/>
    <n v="7"/>
    <x v="79"/>
    <n v="1950"/>
    <s v="Gable"/>
    <s v="CompShg"/>
    <s v="Stucco"/>
    <s v="Stucco"/>
    <s v="None"/>
    <n v="0"/>
    <s v="TA"/>
    <s v="TA"/>
    <s v="BrkTil"/>
    <s v="TA"/>
    <s v="TA"/>
    <s v="No"/>
    <s v="Unf"/>
    <n v="0"/>
    <s v="Unf"/>
    <n v="0"/>
    <n v="686"/>
    <n v="686"/>
    <s v="GasW"/>
    <s v="Gd"/>
    <s v="Y"/>
    <s v="SBrkr"/>
    <n v="686"/>
    <n v="564"/>
    <n v="0"/>
    <x v="242"/>
    <n v="0"/>
    <n v="1"/>
    <n v="1"/>
    <n v="1"/>
    <n v="3"/>
    <n v="1"/>
    <s v="Fa"/>
    <n v="7"/>
    <s v="Typ"/>
    <n v="0"/>
    <s v="NA"/>
    <s v="Detchd"/>
    <n v="1955"/>
    <s v="Unf"/>
    <n v="1"/>
    <n v="280"/>
    <s v="TA"/>
    <s v="TA"/>
    <s v="P"/>
    <n v="207"/>
    <n v="0"/>
    <n v="96"/>
    <n v="0"/>
    <n v="0"/>
    <n v="0"/>
    <s v="NA"/>
    <s v="NA"/>
    <s v="NA"/>
    <n v="0"/>
    <n v="7"/>
    <n v="2006"/>
    <s v="WD"/>
    <s v="Normal"/>
    <n v="116000"/>
  </r>
  <r>
    <n v="816"/>
    <n v="20"/>
    <s v="RL"/>
    <n v="48"/>
    <n v="12137"/>
    <s v="Pave"/>
    <s v="NA"/>
    <s v="IR2"/>
    <s v="Lvl"/>
    <s v="AllPub"/>
    <s v="CulDSac"/>
    <s v="Gtl"/>
    <x v="0"/>
    <x v="0"/>
    <s v="Norm"/>
    <x v="0"/>
    <x v="1"/>
    <n v="7"/>
    <n v="5"/>
    <x v="45"/>
    <n v="1998"/>
    <s v="Gable"/>
    <s v="CompShg"/>
    <s v="VinylSd"/>
    <s v="VinylSd"/>
    <s v="BrkFace"/>
    <n v="442"/>
    <s v="TA"/>
    <s v="TA"/>
    <s v="PConc"/>
    <s v="Gd"/>
    <s v="TA"/>
    <s v="No"/>
    <s v="Unf"/>
    <n v="0"/>
    <s v="Unf"/>
    <n v="0"/>
    <n v="1649"/>
    <n v="1649"/>
    <s v="GasA"/>
    <s v="Ex"/>
    <s v="Y"/>
    <s v="SBrkr"/>
    <n v="1661"/>
    <n v="0"/>
    <n v="0"/>
    <x v="354"/>
    <n v="0"/>
    <n v="0"/>
    <n v="2"/>
    <n v="0"/>
    <n v="3"/>
    <n v="1"/>
    <s v="Gd"/>
    <n v="6"/>
    <s v="Typ"/>
    <n v="0"/>
    <s v="NA"/>
    <s v="Attchd"/>
    <n v="1998"/>
    <s v="RFn"/>
    <n v="2"/>
    <n v="598"/>
    <s v="TA"/>
    <s v="TA"/>
    <s v="Y"/>
    <n v="0"/>
    <n v="34"/>
    <n v="0"/>
    <n v="0"/>
    <n v="0"/>
    <n v="0"/>
    <s v="NA"/>
    <s v="NA"/>
    <s v="NA"/>
    <n v="0"/>
    <n v="5"/>
    <n v="2010"/>
    <s v="WD"/>
    <s v="Normal"/>
    <n v="224900"/>
  </r>
  <r>
    <n v="817"/>
    <n v="20"/>
    <s v="RL"/>
    <s v="NA"/>
    <n v="11425"/>
    <s v="Pave"/>
    <s v="NA"/>
    <s v="IR1"/>
    <s v="Lvl"/>
    <s v="AllPub"/>
    <s v="Corner"/>
    <s v="Gtl"/>
    <x v="11"/>
    <x v="0"/>
    <s v="Norm"/>
    <x v="0"/>
    <x v="1"/>
    <n v="5"/>
    <n v="6"/>
    <x v="30"/>
    <n v="1954"/>
    <s v="Gable"/>
    <s v="CompShg"/>
    <s v="BrkFace"/>
    <s v="BrkFace"/>
    <s v="None"/>
    <n v="0"/>
    <s v="TA"/>
    <s v="TA"/>
    <s v="CBlock"/>
    <s v="TA"/>
    <s v="TA"/>
    <s v="No"/>
    <s v="BLQ"/>
    <n v="486"/>
    <s v="Unf"/>
    <n v="0"/>
    <n v="522"/>
    <n v="1008"/>
    <s v="GasA"/>
    <s v="Gd"/>
    <s v="Y"/>
    <s v="SBrkr"/>
    <n v="1008"/>
    <n v="0"/>
    <n v="0"/>
    <x v="588"/>
    <n v="0"/>
    <n v="0"/>
    <n v="1"/>
    <n v="0"/>
    <n v="2"/>
    <n v="1"/>
    <s v="TA"/>
    <n v="4"/>
    <s v="Typ"/>
    <n v="1"/>
    <s v="Gd"/>
    <s v="Attchd"/>
    <n v="1954"/>
    <s v="RFn"/>
    <n v="1"/>
    <n v="275"/>
    <s v="TA"/>
    <s v="TA"/>
    <s v="Y"/>
    <n v="0"/>
    <n v="0"/>
    <n v="120"/>
    <n v="0"/>
    <n v="0"/>
    <n v="0"/>
    <s v="NA"/>
    <s v="NA"/>
    <s v="NA"/>
    <n v="0"/>
    <n v="7"/>
    <n v="2006"/>
    <s v="WD"/>
    <s v="Normal"/>
    <n v="137000"/>
  </r>
  <r>
    <n v="818"/>
    <n v="20"/>
    <s v="RL"/>
    <s v="NA"/>
    <n v="13265"/>
    <s v="Pave"/>
    <s v="NA"/>
    <s v="IR1"/>
    <s v="Lvl"/>
    <s v="AllPub"/>
    <s v="CulDSac"/>
    <s v="Gtl"/>
    <x v="4"/>
    <x v="0"/>
    <s v="Norm"/>
    <x v="0"/>
    <x v="1"/>
    <n v="8"/>
    <n v="5"/>
    <x v="20"/>
    <n v="2002"/>
    <s v="Hip"/>
    <s v="CompShg"/>
    <s v="CemntBd"/>
    <s v="CmentBd"/>
    <s v="BrkFace"/>
    <n v="148"/>
    <s v="Gd"/>
    <s v="TA"/>
    <s v="PConc"/>
    <s v="Gd"/>
    <s v="TA"/>
    <s v="No"/>
    <s v="GLQ"/>
    <n v="1218"/>
    <s v="Unf"/>
    <n v="0"/>
    <n v="350"/>
    <n v="1568"/>
    <s v="GasA"/>
    <s v="Ex"/>
    <s v="Y"/>
    <s v="SBrkr"/>
    <n v="1689"/>
    <n v="0"/>
    <n v="0"/>
    <x v="359"/>
    <n v="1"/>
    <n v="0"/>
    <n v="2"/>
    <n v="0"/>
    <n v="3"/>
    <n v="1"/>
    <s v="Gd"/>
    <n v="7"/>
    <s v="Typ"/>
    <n v="2"/>
    <s v="Gd"/>
    <s v="Attchd"/>
    <n v="2002"/>
    <s v="RFn"/>
    <n v="3"/>
    <n v="857"/>
    <s v="TA"/>
    <s v="TA"/>
    <s v="Y"/>
    <n v="150"/>
    <n v="59"/>
    <n v="0"/>
    <n v="0"/>
    <n v="0"/>
    <n v="0"/>
    <s v="NA"/>
    <s v="NA"/>
    <s v="NA"/>
    <n v="0"/>
    <n v="7"/>
    <n v="2008"/>
    <s v="WD"/>
    <s v="Normal"/>
    <n v="271000"/>
  </r>
  <r>
    <n v="819"/>
    <n v="80"/>
    <s v="RL"/>
    <n v="80"/>
    <n v="8816"/>
    <s v="Pave"/>
    <s v="NA"/>
    <s v="Reg"/>
    <s v="Lvl"/>
    <s v="AllPub"/>
    <s v="Inside"/>
    <s v="Gtl"/>
    <x v="19"/>
    <x v="0"/>
    <s v="Norm"/>
    <x v="0"/>
    <x v="5"/>
    <n v="6"/>
    <n v="7"/>
    <x v="63"/>
    <n v="1971"/>
    <s v="Gable"/>
    <s v="CompShg"/>
    <s v="HdBoard"/>
    <s v="HdBoard"/>
    <s v="BrkFace"/>
    <n v="80"/>
    <s v="TA"/>
    <s v="TA"/>
    <s v="CBlock"/>
    <s v="TA"/>
    <s v="TA"/>
    <s v="Av"/>
    <s v="GLQ"/>
    <n v="504"/>
    <s v="Unf"/>
    <n v="0"/>
    <n v="506"/>
    <n v="1010"/>
    <s v="GasA"/>
    <s v="Gd"/>
    <s v="Y"/>
    <s v="SBrkr"/>
    <n v="1052"/>
    <n v="0"/>
    <n v="0"/>
    <x v="589"/>
    <n v="1"/>
    <n v="0"/>
    <n v="1"/>
    <n v="0"/>
    <n v="3"/>
    <n v="1"/>
    <s v="TA"/>
    <n v="6"/>
    <s v="Typ"/>
    <n v="0"/>
    <s v="NA"/>
    <s v="Attchd"/>
    <n v="1971"/>
    <s v="Unf"/>
    <n v="2"/>
    <n v="440"/>
    <s v="TA"/>
    <s v="TA"/>
    <s v="Y"/>
    <n v="0"/>
    <n v="0"/>
    <n v="0"/>
    <n v="0"/>
    <n v="0"/>
    <n v="0"/>
    <s v="NA"/>
    <s v="MnPrv"/>
    <s v="NA"/>
    <n v="0"/>
    <n v="6"/>
    <n v="2010"/>
    <s v="WD"/>
    <s v="Normal"/>
    <n v="155000"/>
  </r>
  <r>
    <n v="820"/>
    <n v="120"/>
    <s v="RL"/>
    <n v="44"/>
    <n v="6371"/>
    <s v="Pave"/>
    <s v="NA"/>
    <s v="IR1"/>
    <s v="Lvl"/>
    <s v="AllPub"/>
    <s v="Inside"/>
    <s v="Gtl"/>
    <x v="10"/>
    <x v="0"/>
    <s v="Norm"/>
    <x v="3"/>
    <x v="1"/>
    <n v="7"/>
    <n v="5"/>
    <x v="51"/>
    <n v="2010"/>
    <s v="Gable"/>
    <s v="CompShg"/>
    <s v="VinylSd"/>
    <s v="VinylSd"/>
    <s v="Stone"/>
    <n v="128"/>
    <s v="Gd"/>
    <s v="TA"/>
    <s v="PConc"/>
    <s v="Gd"/>
    <s v="TA"/>
    <s v="Mn"/>
    <s v="GLQ"/>
    <n v="733"/>
    <s v="Unf"/>
    <n v="0"/>
    <n v="625"/>
    <n v="1358"/>
    <s v="GasA"/>
    <s v="Ex"/>
    <s v="Y"/>
    <s v="SBrkr"/>
    <n v="1358"/>
    <n v="0"/>
    <n v="0"/>
    <x v="280"/>
    <n v="1"/>
    <n v="0"/>
    <n v="2"/>
    <n v="0"/>
    <n v="2"/>
    <n v="1"/>
    <s v="Gd"/>
    <n v="6"/>
    <s v="Typ"/>
    <n v="1"/>
    <s v="Gd"/>
    <s v="Attchd"/>
    <n v="2010"/>
    <s v="RFn"/>
    <n v="2"/>
    <n v="484"/>
    <s v="TA"/>
    <s v="TA"/>
    <s v="Y"/>
    <n v="192"/>
    <n v="35"/>
    <n v="0"/>
    <n v="0"/>
    <n v="0"/>
    <n v="0"/>
    <s v="NA"/>
    <s v="NA"/>
    <s v="NA"/>
    <n v="0"/>
    <n v="6"/>
    <n v="2010"/>
    <s v="New"/>
    <s v="Partial"/>
    <n v="224000"/>
  </r>
  <r>
    <n v="821"/>
    <n v="60"/>
    <s v="RL"/>
    <n v="72"/>
    <n v="7226"/>
    <s v="Pave"/>
    <s v="NA"/>
    <s v="IR1"/>
    <s v="Lvl"/>
    <s v="AllPub"/>
    <s v="CulDSac"/>
    <s v="Gtl"/>
    <x v="0"/>
    <x v="0"/>
    <s v="Norm"/>
    <x v="0"/>
    <x v="0"/>
    <n v="7"/>
    <n v="5"/>
    <x v="0"/>
    <n v="2003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98"/>
    <n v="798"/>
    <s v="GasA"/>
    <s v="Ex"/>
    <s v="Y"/>
    <s v="SBrkr"/>
    <n v="798"/>
    <n v="842"/>
    <n v="0"/>
    <x v="220"/>
    <n v="0"/>
    <n v="0"/>
    <n v="2"/>
    <n v="1"/>
    <n v="3"/>
    <n v="1"/>
    <s v="Gd"/>
    <n v="6"/>
    <s v="Typ"/>
    <n v="0"/>
    <s v="NA"/>
    <s v="Attchd"/>
    <n v="2003"/>
    <s v="RFn"/>
    <n v="2"/>
    <n v="595"/>
    <s v="TA"/>
    <s v="TA"/>
    <s v="Y"/>
    <n v="0"/>
    <n v="45"/>
    <n v="0"/>
    <n v="0"/>
    <n v="0"/>
    <n v="0"/>
    <s v="NA"/>
    <s v="NA"/>
    <s v="NA"/>
    <n v="0"/>
    <n v="6"/>
    <n v="2008"/>
    <s v="WD"/>
    <s v="Normal"/>
    <n v="183000"/>
  </r>
  <r>
    <n v="822"/>
    <n v="20"/>
    <s v="RM"/>
    <n v="60"/>
    <n v="6000"/>
    <s v="Pave"/>
    <s v="Pave"/>
    <s v="Reg"/>
    <s v="Bnk"/>
    <s v="AllPub"/>
    <s v="Inside"/>
    <s v="Mod"/>
    <x v="7"/>
    <x v="0"/>
    <s v="Norm"/>
    <x v="1"/>
    <x v="1"/>
    <n v="4"/>
    <n v="4"/>
    <x v="31"/>
    <n v="1953"/>
    <s v="Gable"/>
    <s v="CompShg"/>
    <s v="MetalSd"/>
    <s v="MetalSd"/>
    <s v="None"/>
    <n v="0"/>
    <s v="Fa"/>
    <s v="TA"/>
    <s v="CBlock"/>
    <s v="Fa"/>
    <s v="TA"/>
    <s v="No"/>
    <s v="Unf"/>
    <n v="0"/>
    <s v="Unf"/>
    <n v="0"/>
    <n v="936"/>
    <n v="936"/>
    <s v="GasA"/>
    <s v="TA"/>
    <s v="N"/>
    <s v="SBrkr"/>
    <n v="936"/>
    <n v="0"/>
    <n v="0"/>
    <x v="590"/>
    <n v="0"/>
    <n v="0"/>
    <n v="1"/>
    <n v="0"/>
    <n v="2"/>
    <n v="1"/>
    <s v="TA"/>
    <n v="4"/>
    <s v="Min2"/>
    <n v="0"/>
    <s v="NA"/>
    <s v="Detchd"/>
    <n v="1974"/>
    <s v="Unf"/>
    <n v="2"/>
    <n v="576"/>
    <s v="TA"/>
    <s v="TA"/>
    <s v="Y"/>
    <n v="0"/>
    <n v="32"/>
    <n v="112"/>
    <n v="0"/>
    <n v="0"/>
    <n v="0"/>
    <s v="NA"/>
    <s v="NA"/>
    <s v="NA"/>
    <n v="0"/>
    <n v="2"/>
    <n v="2009"/>
    <s v="WD"/>
    <s v="Normal"/>
    <n v="93000"/>
  </r>
  <r>
    <n v="823"/>
    <n v="60"/>
    <s v="RL"/>
    <s v="NA"/>
    <n v="12394"/>
    <s v="Pave"/>
    <s v="NA"/>
    <s v="IR1"/>
    <s v="Lvl"/>
    <s v="AllPub"/>
    <s v="Corner"/>
    <s v="Gtl"/>
    <x v="17"/>
    <x v="0"/>
    <s v="Norm"/>
    <x v="0"/>
    <x v="0"/>
    <n v="7"/>
    <n v="5"/>
    <x v="0"/>
    <n v="2003"/>
    <s v="Gable"/>
    <s v="CompShg"/>
    <s v="VinylSd"/>
    <s v="VinylSd"/>
    <s v="None"/>
    <n v="0"/>
    <s v="Gd"/>
    <s v="TA"/>
    <s v="PConc"/>
    <s v="Gd"/>
    <s v="TA"/>
    <s v="Gd"/>
    <s v="Unf"/>
    <n v="0"/>
    <s v="Unf"/>
    <n v="0"/>
    <n v="847"/>
    <n v="847"/>
    <s v="GasA"/>
    <s v="Ex"/>
    <s v="Y"/>
    <s v="SBrkr"/>
    <n v="847"/>
    <n v="886"/>
    <n v="0"/>
    <x v="591"/>
    <n v="0"/>
    <n v="0"/>
    <n v="2"/>
    <n v="1"/>
    <n v="3"/>
    <n v="1"/>
    <s v="Gd"/>
    <n v="7"/>
    <s v="Typ"/>
    <n v="1"/>
    <s v="Gd"/>
    <s v="BuiltIn"/>
    <n v="2003"/>
    <s v="Fin"/>
    <n v="2"/>
    <n v="433"/>
    <s v="TA"/>
    <s v="TA"/>
    <s v="Y"/>
    <n v="100"/>
    <n v="48"/>
    <n v="0"/>
    <n v="0"/>
    <n v="0"/>
    <n v="0"/>
    <s v="NA"/>
    <s v="NA"/>
    <s v="NA"/>
    <n v="0"/>
    <n v="10"/>
    <n v="2007"/>
    <s v="WD"/>
    <s v="Family"/>
    <n v="225000"/>
  </r>
  <r>
    <n v="824"/>
    <n v="50"/>
    <s v="RL"/>
    <n v="60"/>
    <n v="9900"/>
    <s v="Pave"/>
    <s v="NA"/>
    <s v="Reg"/>
    <s v="Lvl"/>
    <s v="AllPub"/>
    <s v="Inside"/>
    <s v="Gtl"/>
    <x v="23"/>
    <x v="0"/>
    <s v="Norm"/>
    <x v="0"/>
    <x v="2"/>
    <n v="6"/>
    <n v="7"/>
    <x v="70"/>
    <n v="1950"/>
    <s v="Gable"/>
    <s v="CompShg"/>
    <s v="VinylSd"/>
    <s v="VinylSd"/>
    <s v="None"/>
    <n v="0"/>
    <s v="TA"/>
    <s v="TA"/>
    <s v="BrkTil"/>
    <s v="TA"/>
    <s v="TA"/>
    <s v="No"/>
    <s v="Unf"/>
    <n v="0"/>
    <s v="Unf"/>
    <n v="0"/>
    <n v="778"/>
    <n v="778"/>
    <s v="GasA"/>
    <s v="TA"/>
    <s v="Y"/>
    <s v="SBrkr"/>
    <n v="944"/>
    <n v="545"/>
    <n v="0"/>
    <x v="592"/>
    <n v="0"/>
    <n v="0"/>
    <n v="2"/>
    <n v="0"/>
    <n v="3"/>
    <n v="1"/>
    <s v="TA"/>
    <n v="7"/>
    <s v="Typ"/>
    <n v="1"/>
    <s v="Gd"/>
    <s v="Detchd"/>
    <n v="1940"/>
    <s v="Unf"/>
    <n v="1"/>
    <n v="240"/>
    <s v="TA"/>
    <s v="TA"/>
    <s v="Y"/>
    <n v="335"/>
    <n v="0"/>
    <n v="0"/>
    <n v="0"/>
    <n v="0"/>
    <n v="0"/>
    <s v="NA"/>
    <s v="GdWo"/>
    <s v="NA"/>
    <n v="0"/>
    <n v="7"/>
    <n v="2009"/>
    <s v="WD"/>
    <s v="Normal"/>
    <n v="139500"/>
  </r>
  <r>
    <n v="825"/>
    <n v="20"/>
    <s v="FV"/>
    <n v="81"/>
    <n v="11216"/>
    <s v="Pave"/>
    <s v="NA"/>
    <s v="Reg"/>
    <s v="Lvl"/>
    <s v="AllPub"/>
    <s v="Inside"/>
    <s v="Gtl"/>
    <x v="5"/>
    <x v="0"/>
    <s v="Norm"/>
    <x v="0"/>
    <x v="1"/>
    <n v="8"/>
    <n v="5"/>
    <x v="13"/>
    <n v="2006"/>
    <s v="Gable"/>
    <s v="CompShg"/>
    <s v="VinylSd"/>
    <s v="VinylSd"/>
    <s v="None"/>
    <n v="0"/>
    <s v="Gd"/>
    <s v="TA"/>
    <s v="PConc"/>
    <s v="Gd"/>
    <s v="Gd"/>
    <s v="No"/>
    <s v="Unf"/>
    <n v="0"/>
    <s v="Unf"/>
    <n v="0"/>
    <n v="1489"/>
    <n v="1489"/>
    <s v="GasA"/>
    <s v="Ex"/>
    <s v="Y"/>
    <s v="SBrkr"/>
    <n v="1489"/>
    <n v="0"/>
    <n v="0"/>
    <x v="592"/>
    <n v="0"/>
    <n v="0"/>
    <n v="2"/>
    <n v="0"/>
    <n v="3"/>
    <n v="1"/>
    <s v="Gd"/>
    <n v="7"/>
    <s v="Typ"/>
    <n v="1"/>
    <s v="Gd"/>
    <s v="Attchd"/>
    <n v="2006"/>
    <s v="RFn"/>
    <n v="2"/>
    <n v="776"/>
    <s v="TA"/>
    <s v="TA"/>
    <s v="Y"/>
    <n v="0"/>
    <n v="140"/>
    <n v="0"/>
    <n v="0"/>
    <n v="0"/>
    <n v="0"/>
    <s v="NA"/>
    <s v="NA"/>
    <s v="NA"/>
    <n v="0"/>
    <n v="6"/>
    <n v="2006"/>
    <s v="New"/>
    <s v="Partial"/>
    <n v="232600"/>
  </r>
  <r>
    <n v="826"/>
    <n v="20"/>
    <s v="RL"/>
    <n v="114"/>
    <n v="14803"/>
    <s v="Pave"/>
    <s v="NA"/>
    <s v="Reg"/>
    <s v="Lvl"/>
    <s v="AllPub"/>
    <s v="Inside"/>
    <s v="Gtl"/>
    <x v="10"/>
    <x v="2"/>
    <s v="PosN"/>
    <x v="0"/>
    <x v="1"/>
    <n v="10"/>
    <n v="5"/>
    <x v="22"/>
    <n v="2008"/>
    <s v="Hip"/>
    <s v="CompShg"/>
    <s v="CemntBd"/>
    <s v="CmentBd"/>
    <s v="BrkFace"/>
    <n v="816"/>
    <s v="Ex"/>
    <s v="TA"/>
    <s v="PConc"/>
    <s v="Ex"/>
    <s v="TA"/>
    <s v="Av"/>
    <s v="GLQ"/>
    <n v="1636"/>
    <s v="Unf"/>
    <n v="0"/>
    <n v="442"/>
    <n v="2078"/>
    <s v="GasA"/>
    <s v="Ex"/>
    <s v="Y"/>
    <s v="SBrkr"/>
    <n v="2084"/>
    <n v="0"/>
    <n v="0"/>
    <x v="570"/>
    <n v="1"/>
    <n v="0"/>
    <n v="2"/>
    <n v="0"/>
    <n v="2"/>
    <n v="1"/>
    <s v="Ex"/>
    <n v="7"/>
    <s v="Typ"/>
    <n v="1"/>
    <s v="Gd"/>
    <s v="Attchd"/>
    <n v="2007"/>
    <s v="Fin"/>
    <n v="3"/>
    <n v="1220"/>
    <s v="TA"/>
    <s v="TA"/>
    <s v="Y"/>
    <n v="188"/>
    <n v="45"/>
    <n v="0"/>
    <n v="0"/>
    <n v="0"/>
    <n v="0"/>
    <s v="NA"/>
    <s v="NA"/>
    <s v="NA"/>
    <n v="0"/>
    <n v="6"/>
    <n v="2008"/>
    <s v="New"/>
    <s v="Partial"/>
    <n v="385000"/>
  </r>
  <r>
    <n v="827"/>
    <n v="45"/>
    <s v="RM"/>
    <n v="50"/>
    <n v="6130"/>
    <s v="Pave"/>
    <s v="NA"/>
    <s v="Reg"/>
    <s v="Lvl"/>
    <s v="AllPub"/>
    <s v="Inside"/>
    <s v="Gtl"/>
    <x v="8"/>
    <x v="0"/>
    <s v="Norm"/>
    <x v="0"/>
    <x v="3"/>
    <n v="5"/>
    <n v="6"/>
    <x v="67"/>
    <n v="1950"/>
    <s v="Gable"/>
    <s v="CompShg"/>
    <s v="MetalSd"/>
    <s v="MetalSd"/>
    <s v="None"/>
    <n v="0"/>
    <s v="TA"/>
    <s v="TA"/>
    <s v="BrkTil"/>
    <s v="TA"/>
    <s v="TA"/>
    <s v="No"/>
    <s v="ALQ"/>
    <n v="784"/>
    <s v="Unf"/>
    <n v="0"/>
    <n v="0"/>
    <n v="784"/>
    <s v="GasA"/>
    <s v="Gd"/>
    <s v="Y"/>
    <s v="SBrkr"/>
    <n v="784"/>
    <n v="0"/>
    <n v="0"/>
    <x v="318"/>
    <n v="1"/>
    <n v="0"/>
    <n v="1"/>
    <n v="0"/>
    <n v="2"/>
    <n v="1"/>
    <s v="Gd"/>
    <n v="5"/>
    <s v="Typ"/>
    <n v="0"/>
    <s v="NA"/>
    <s v="NA"/>
    <s v="NA"/>
    <s v="NA"/>
    <n v="0"/>
    <n v="0"/>
    <s v="NA"/>
    <s v="NA"/>
    <s v="Y"/>
    <n v="0"/>
    <n v="0"/>
    <n v="116"/>
    <n v="0"/>
    <n v="0"/>
    <n v="0"/>
    <s v="NA"/>
    <s v="NA"/>
    <s v="NA"/>
    <n v="0"/>
    <n v="5"/>
    <n v="2008"/>
    <s v="WD"/>
    <s v="Normal"/>
    <n v="109500"/>
  </r>
  <r>
    <n v="828"/>
    <n v="20"/>
    <s v="RL"/>
    <n v="65"/>
    <n v="8529"/>
    <s v="Pave"/>
    <s v="NA"/>
    <s v="IR1"/>
    <s v="Lvl"/>
    <s v="AllPub"/>
    <s v="Inside"/>
    <s v="Gtl"/>
    <x v="12"/>
    <x v="0"/>
    <s v="Norm"/>
    <x v="0"/>
    <x v="1"/>
    <n v="7"/>
    <n v="5"/>
    <x v="2"/>
    <n v="2001"/>
    <s v="Gable"/>
    <s v="CompShg"/>
    <s v="VinylSd"/>
    <s v="VinylSd"/>
    <s v="None"/>
    <n v="0"/>
    <s v="Gd"/>
    <s v="TA"/>
    <s v="PConc"/>
    <s v="Gd"/>
    <s v="TA"/>
    <s v="No"/>
    <s v="GLQ"/>
    <n v="20"/>
    <s v="Unf"/>
    <n v="0"/>
    <n v="1434"/>
    <n v="1454"/>
    <s v="GasA"/>
    <s v="Ex"/>
    <s v="Y"/>
    <s v="SBrkr"/>
    <n v="1434"/>
    <n v="0"/>
    <n v="0"/>
    <x v="593"/>
    <n v="0"/>
    <n v="0"/>
    <n v="2"/>
    <n v="0"/>
    <n v="3"/>
    <n v="1"/>
    <s v="Gd"/>
    <n v="6"/>
    <s v="Typ"/>
    <n v="1"/>
    <s v="TA"/>
    <s v="Attchd"/>
    <n v="2001"/>
    <s v="RFn"/>
    <n v="2"/>
    <n v="527"/>
    <s v="TA"/>
    <s v="TA"/>
    <s v="Y"/>
    <n v="290"/>
    <n v="39"/>
    <n v="0"/>
    <n v="0"/>
    <n v="0"/>
    <n v="0"/>
    <s v="NA"/>
    <s v="NA"/>
    <s v="NA"/>
    <n v="0"/>
    <n v="4"/>
    <n v="2009"/>
    <s v="WD"/>
    <s v="Normal"/>
    <n v="189000"/>
  </r>
  <r>
    <n v="829"/>
    <n v="60"/>
    <s v="RL"/>
    <s v="NA"/>
    <n v="28698"/>
    <s v="Pave"/>
    <s v="NA"/>
    <s v="IR2"/>
    <s v="Low"/>
    <s v="AllPub"/>
    <s v="CulDSac"/>
    <s v="Sev"/>
    <x v="19"/>
    <x v="0"/>
    <s v="Norm"/>
    <x v="0"/>
    <x v="0"/>
    <n v="5"/>
    <n v="5"/>
    <x v="17"/>
    <n v="1967"/>
    <s v="Flat"/>
    <s v="Tar&amp;Grv"/>
    <s v="Plywood"/>
    <s v="Plywood"/>
    <s v="None"/>
    <n v="0"/>
    <s v="TA"/>
    <s v="TA"/>
    <s v="PConc"/>
    <s v="TA"/>
    <s v="Gd"/>
    <s v="Gd"/>
    <s v="LwQ"/>
    <n v="249"/>
    <s v="ALQ"/>
    <n v="764"/>
    <n v="0"/>
    <n v="1013"/>
    <s v="GasA"/>
    <s v="TA"/>
    <s v="Y"/>
    <s v="SBrkr"/>
    <n v="1160"/>
    <n v="966"/>
    <n v="0"/>
    <x v="594"/>
    <n v="0"/>
    <n v="1"/>
    <n v="2"/>
    <n v="1"/>
    <n v="3"/>
    <n v="1"/>
    <s v="TA"/>
    <n v="7"/>
    <s v="Min2"/>
    <n v="0"/>
    <s v="NA"/>
    <s v="Attchd"/>
    <n v="1967"/>
    <s v="Fin"/>
    <n v="2"/>
    <n v="538"/>
    <s v="TA"/>
    <s v="TA"/>
    <s v="Y"/>
    <n v="486"/>
    <n v="0"/>
    <n v="0"/>
    <n v="0"/>
    <n v="225"/>
    <n v="0"/>
    <s v="NA"/>
    <s v="NA"/>
    <s v="NA"/>
    <n v="0"/>
    <n v="6"/>
    <n v="2009"/>
    <s v="WD"/>
    <s v="Abnorml"/>
    <n v="185000"/>
  </r>
  <r>
    <n v="830"/>
    <n v="160"/>
    <s v="FV"/>
    <n v="24"/>
    <n v="2544"/>
    <s v="Pave"/>
    <s v="Pave"/>
    <s v="Reg"/>
    <s v="Lvl"/>
    <s v="AllPub"/>
    <s v="Inside"/>
    <s v="Gtl"/>
    <x v="5"/>
    <x v="0"/>
    <s v="Norm"/>
    <x v="4"/>
    <x v="0"/>
    <n v="7"/>
    <n v="5"/>
    <x v="11"/>
    <n v="2005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00"/>
    <n v="600"/>
    <s v="GasA"/>
    <s v="Ex"/>
    <s v="Y"/>
    <s v="SBrkr"/>
    <n v="520"/>
    <n v="623"/>
    <n v="80"/>
    <x v="595"/>
    <n v="0"/>
    <n v="0"/>
    <n v="2"/>
    <n v="1"/>
    <n v="2"/>
    <n v="1"/>
    <s v="Gd"/>
    <n v="4"/>
    <s v="Typ"/>
    <n v="0"/>
    <s v="NA"/>
    <s v="Detchd"/>
    <n v="2005"/>
    <s v="RFn"/>
    <n v="2"/>
    <n v="480"/>
    <s v="TA"/>
    <s v="TA"/>
    <s v="Y"/>
    <n v="0"/>
    <n v="166"/>
    <n v="0"/>
    <n v="0"/>
    <n v="0"/>
    <n v="0"/>
    <s v="NA"/>
    <s v="NA"/>
    <s v="NA"/>
    <n v="0"/>
    <n v="7"/>
    <n v="2006"/>
    <s v="WD"/>
    <s v="Normal"/>
    <n v="147400"/>
  </r>
  <r>
    <n v="831"/>
    <n v="20"/>
    <s v="RL"/>
    <n v="80"/>
    <n v="11900"/>
    <s v="Pave"/>
    <s v="NA"/>
    <s v="IR1"/>
    <s v="Lvl"/>
    <s v="AllPub"/>
    <s v="Corner"/>
    <s v="Gtl"/>
    <x v="11"/>
    <x v="0"/>
    <s v="Norm"/>
    <x v="0"/>
    <x v="1"/>
    <n v="6"/>
    <n v="5"/>
    <x v="24"/>
    <n v="1957"/>
    <s v="Gable"/>
    <s v="CompShg"/>
    <s v="HdBoard"/>
    <s v="HdBoard"/>
    <s v="BrkFace"/>
    <n v="387"/>
    <s v="TA"/>
    <s v="TA"/>
    <s v="CBlock"/>
    <s v="TA"/>
    <s v="TA"/>
    <s v="No"/>
    <s v="Rec"/>
    <n v="1040"/>
    <s v="Unf"/>
    <n v="0"/>
    <n v="352"/>
    <n v="1392"/>
    <s v="GasA"/>
    <s v="TA"/>
    <s v="Y"/>
    <s v="FuseA"/>
    <n v="1392"/>
    <n v="0"/>
    <n v="0"/>
    <x v="189"/>
    <n v="1"/>
    <n v="0"/>
    <n v="1"/>
    <n v="1"/>
    <n v="3"/>
    <n v="1"/>
    <s v="TA"/>
    <n v="6"/>
    <s v="Typ"/>
    <n v="2"/>
    <s v="Gd"/>
    <s v="Attchd"/>
    <n v="1957"/>
    <s v="RFn"/>
    <n v="2"/>
    <n v="458"/>
    <s v="TA"/>
    <s v="TA"/>
    <s v="Y"/>
    <n v="0"/>
    <n v="0"/>
    <n v="0"/>
    <n v="0"/>
    <n v="192"/>
    <n v="0"/>
    <s v="NA"/>
    <s v="NA"/>
    <s v="NA"/>
    <n v="0"/>
    <n v="6"/>
    <n v="2008"/>
    <s v="WD"/>
    <s v="Normal"/>
    <n v="166000"/>
  </r>
  <r>
    <n v="832"/>
    <n v="160"/>
    <s v="FV"/>
    <n v="30"/>
    <n v="3180"/>
    <s v="Pave"/>
    <s v="Pave"/>
    <s v="Reg"/>
    <s v="Lvl"/>
    <s v="AllPub"/>
    <s v="Inside"/>
    <s v="Gtl"/>
    <x v="5"/>
    <x v="0"/>
    <s v="Norm"/>
    <x v="3"/>
    <x v="0"/>
    <n v="7"/>
    <n v="5"/>
    <x v="11"/>
    <n v="2005"/>
    <s v="Gable"/>
    <s v="CompShg"/>
    <s v="MetalSd"/>
    <s v="MetalSd"/>
    <s v="None"/>
    <n v="0"/>
    <s v="TA"/>
    <s v="TA"/>
    <s v="PConc"/>
    <s v="Gd"/>
    <s v="TA"/>
    <s v="No"/>
    <s v="Unf"/>
    <n v="0"/>
    <s v="Unf"/>
    <n v="0"/>
    <n v="600"/>
    <n v="600"/>
    <s v="GasA"/>
    <s v="Ex"/>
    <s v="Y"/>
    <s v="SBrkr"/>
    <n v="520"/>
    <n v="600"/>
    <n v="80"/>
    <x v="144"/>
    <n v="0"/>
    <n v="0"/>
    <n v="2"/>
    <n v="1"/>
    <n v="2"/>
    <n v="1"/>
    <s v="Gd"/>
    <n v="4"/>
    <s v="Typ"/>
    <n v="0"/>
    <s v="NA"/>
    <s v="Detchd"/>
    <n v="2005"/>
    <s v="RFn"/>
    <n v="2"/>
    <n v="480"/>
    <s v="TA"/>
    <s v="TA"/>
    <s v="Y"/>
    <n v="0"/>
    <n v="166"/>
    <n v="0"/>
    <n v="0"/>
    <n v="0"/>
    <n v="0"/>
    <s v="NA"/>
    <s v="NA"/>
    <s v="NA"/>
    <n v="0"/>
    <n v="6"/>
    <n v="2006"/>
    <s v="WD"/>
    <s v="Normal"/>
    <n v="151000"/>
  </r>
  <r>
    <n v="833"/>
    <n v="60"/>
    <s v="RL"/>
    <n v="44"/>
    <n v="9548"/>
    <s v="Pave"/>
    <s v="NA"/>
    <s v="IR1"/>
    <s v="Lvl"/>
    <s v="AllPub"/>
    <s v="CulDSac"/>
    <s v="Gtl"/>
    <x v="0"/>
    <x v="0"/>
    <s v="Norm"/>
    <x v="0"/>
    <x v="0"/>
    <n v="7"/>
    <n v="6"/>
    <x v="0"/>
    <n v="2003"/>
    <s v="Gable"/>
    <s v="CompShg"/>
    <s v="VinylSd"/>
    <s v="VinylSd"/>
    <s v="BrkFace"/>
    <n v="223"/>
    <s v="Gd"/>
    <s v="TA"/>
    <s v="PConc"/>
    <s v="Gd"/>
    <s v="TA"/>
    <s v="No"/>
    <s v="GLQ"/>
    <n v="483"/>
    <s v="Unf"/>
    <n v="0"/>
    <n v="458"/>
    <n v="941"/>
    <s v="GasA"/>
    <s v="Ex"/>
    <s v="Y"/>
    <s v="SBrkr"/>
    <n v="941"/>
    <n v="888"/>
    <n v="0"/>
    <x v="596"/>
    <n v="1"/>
    <n v="0"/>
    <n v="2"/>
    <n v="1"/>
    <n v="3"/>
    <n v="1"/>
    <s v="Gd"/>
    <n v="7"/>
    <s v="Typ"/>
    <n v="1"/>
    <s v="TA"/>
    <s v="Attchd"/>
    <n v="2003"/>
    <s v="RFn"/>
    <n v="2"/>
    <n v="613"/>
    <s v="TA"/>
    <s v="TA"/>
    <s v="Y"/>
    <n v="192"/>
    <n v="39"/>
    <n v="0"/>
    <n v="0"/>
    <n v="0"/>
    <n v="0"/>
    <s v="NA"/>
    <s v="NA"/>
    <s v="NA"/>
    <n v="0"/>
    <n v="1"/>
    <n v="2010"/>
    <s v="WD"/>
    <s v="Normal"/>
    <n v="237000"/>
  </r>
  <r>
    <n v="834"/>
    <n v="20"/>
    <s v="RL"/>
    <n v="100"/>
    <n v="10004"/>
    <s v="Pave"/>
    <s v="NA"/>
    <s v="Reg"/>
    <s v="Lvl"/>
    <s v="AllPub"/>
    <s v="Inside"/>
    <s v="Gtl"/>
    <x v="11"/>
    <x v="0"/>
    <s v="Norm"/>
    <x v="0"/>
    <x v="1"/>
    <n v="6"/>
    <n v="6"/>
    <x v="39"/>
    <n v="1964"/>
    <s v="Gable"/>
    <s v="CompShg"/>
    <s v="HdBoard"/>
    <s v="Plywood"/>
    <s v="BrkFace"/>
    <n v="180"/>
    <s v="TA"/>
    <s v="TA"/>
    <s v="CBlock"/>
    <s v="TA"/>
    <s v="TA"/>
    <s v="No"/>
    <s v="Rec"/>
    <n v="196"/>
    <s v="BLQ"/>
    <n v="345"/>
    <n v="975"/>
    <n v="1516"/>
    <s v="GasA"/>
    <s v="TA"/>
    <s v="Y"/>
    <s v="SBrkr"/>
    <n v="1516"/>
    <n v="0"/>
    <n v="0"/>
    <x v="597"/>
    <n v="0"/>
    <n v="0"/>
    <n v="1"/>
    <n v="1"/>
    <n v="3"/>
    <n v="1"/>
    <s v="TA"/>
    <n v="6"/>
    <s v="Typ"/>
    <n v="0"/>
    <s v="NA"/>
    <s v="Attchd"/>
    <n v="1964"/>
    <s v="RFn"/>
    <n v="2"/>
    <n v="472"/>
    <s v="TA"/>
    <s v="TA"/>
    <s v="Y"/>
    <n v="0"/>
    <n v="0"/>
    <n v="0"/>
    <n v="0"/>
    <n v="152"/>
    <n v="0"/>
    <s v="NA"/>
    <s v="NA"/>
    <s v="NA"/>
    <n v="0"/>
    <n v="2"/>
    <n v="2009"/>
    <s v="WD"/>
    <s v="Normal"/>
    <n v="167000"/>
  </r>
  <r>
    <n v="835"/>
    <n v="20"/>
    <s v="RL"/>
    <n v="75"/>
    <n v="7875"/>
    <s v="Pave"/>
    <s v="NA"/>
    <s v="Reg"/>
    <s v="Lvl"/>
    <s v="AllPub"/>
    <s v="Inside"/>
    <s v="Gtl"/>
    <x v="11"/>
    <x v="0"/>
    <s v="Norm"/>
    <x v="0"/>
    <x v="1"/>
    <n v="5"/>
    <n v="6"/>
    <x v="53"/>
    <n v="1961"/>
    <s v="Gable"/>
    <s v="CompShg"/>
    <s v="VinylSd"/>
    <s v="VinylSd"/>
    <s v="BrkFace"/>
    <n v="136"/>
    <s v="TA"/>
    <s v="TA"/>
    <s v="CBlock"/>
    <s v="TA"/>
    <s v="TA"/>
    <s v="No"/>
    <s v="Rec"/>
    <n v="572"/>
    <s v="Unf"/>
    <n v="0"/>
    <n v="572"/>
    <n v="1144"/>
    <s v="GasA"/>
    <s v="Gd"/>
    <s v="Y"/>
    <s v="SBrkr"/>
    <n v="1144"/>
    <n v="0"/>
    <n v="0"/>
    <x v="327"/>
    <n v="1"/>
    <n v="0"/>
    <n v="1"/>
    <n v="0"/>
    <n v="3"/>
    <n v="1"/>
    <s v="TA"/>
    <n v="6"/>
    <s v="Typ"/>
    <n v="0"/>
    <s v="NA"/>
    <s v="Attchd"/>
    <n v="1961"/>
    <s v="Unf"/>
    <n v="2"/>
    <n v="456"/>
    <s v="TA"/>
    <s v="TA"/>
    <s v="Y"/>
    <n v="0"/>
    <n v="0"/>
    <n v="0"/>
    <n v="0"/>
    <n v="0"/>
    <n v="0"/>
    <s v="NA"/>
    <s v="GdWo"/>
    <s v="NA"/>
    <n v="0"/>
    <n v="9"/>
    <n v="2008"/>
    <s v="WD"/>
    <s v="Normal"/>
    <n v="139950"/>
  </r>
  <r>
    <n v="836"/>
    <n v="20"/>
    <s v="RL"/>
    <n v="60"/>
    <n v="9600"/>
    <s v="Pave"/>
    <s v="NA"/>
    <s v="Reg"/>
    <s v="Lvl"/>
    <s v="AllPub"/>
    <s v="Inside"/>
    <s v="Gtl"/>
    <x v="9"/>
    <x v="0"/>
    <s v="Norm"/>
    <x v="0"/>
    <x v="1"/>
    <n v="4"/>
    <n v="7"/>
    <x v="52"/>
    <n v="1995"/>
    <s v="Gable"/>
    <s v="CompShg"/>
    <s v="VinylSd"/>
    <s v="HdBoard"/>
    <s v="None"/>
    <n v="0"/>
    <s v="TA"/>
    <s v="TA"/>
    <s v="CBlock"/>
    <s v="Gd"/>
    <s v="TA"/>
    <s v="No"/>
    <s v="BLQ"/>
    <n v="442"/>
    <s v="Unf"/>
    <n v="0"/>
    <n v="625"/>
    <n v="1067"/>
    <s v="GasA"/>
    <s v="TA"/>
    <s v="Y"/>
    <s v="SBrkr"/>
    <n v="1067"/>
    <n v="0"/>
    <n v="0"/>
    <x v="598"/>
    <n v="0"/>
    <n v="0"/>
    <n v="2"/>
    <n v="0"/>
    <n v="2"/>
    <n v="1"/>
    <s v="Gd"/>
    <n v="4"/>
    <s v="Min2"/>
    <n v="0"/>
    <s v="NA"/>
    <s v="Attchd"/>
    <n v="1996"/>
    <s v="Unf"/>
    <n v="2"/>
    <n v="436"/>
    <s v="TA"/>
    <s v="TA"/>
    <s v="Y"/>
    <n v="290"/>
    <n v="0"/>
    <n v="0"/>
    <n v="0"/>
    <n v="0"/>
    <n v="0"/>
    <s v="NA"/>
    <s v="NA"/>
    <s v="NA"/>
    <n v="0"/>
    <n v="2"/>
    <n v="2010"/>
    <s v="WD"/>
    <s v="Normal"/>
    <n v="128000"/>
  </r>
  <r>
    <n v="837"/>
    <n v="30"/>
    <s v="RM"/>
    <n v="90"/>
    <n v="8100"/>
    <s v="Pave"/>
    <s v="Pave"/>
    <s v="Reg"/>
    <s v="Lvl"/>
    <s v="AllPub"/>
    <s v="Inside"/>
    <s v="Gtl"/>
    <x v="7"/>
    <x v="0"/>
    <s v="Norm"/>
    <x v="0"/>
    <x v="1"/>
    <n v="5"/>
    <n v="6"/>
    <x v="47"/>
    <n v="1973"/>
    <s v="Gable"/>
    <s v="CompShg"/>
    <s v="VinylSd"/>
    <s v="VinylSd"/>
    <s v="None"/>
    <n v="0"/>
    <s v="TA"/>
    <s v="TA"/>
    <s v="BrkTil"/>
    <s v="TA"/>
    <s v="TA"/>
    <s v="No"/>
    <s v="Rec"/>
    <n v="338"/>
    <s v="Unf"/>
    <n v="0"/>
    <n v="1221"/>
    <n v="1559"/>
    <s v="GasA"/>
    <s v="Gd"/>
    <s v="Y"/>
    <s v="SBrkr"/>
    <n v="1559"/>
    <n v="0"/>
    <n v="0"/>
    <x v="599"/>
    <n v="1"/>
    <n v="0"/>
    <n v="1"/>
    <n v="0"/>
    <n v="2"/>
    <n v="1"/>
    <s v="TA"/>
    <n v="5"/>
    <s v="Min2"/>
    <n v="0"/>
    <s v="NA"/>
    <s v="Detchd"/>
    <n v="1948"/>
    <s v="Unf"/>
    <n v="2"/>
    <n v="812"/>
    <s v="TA"/>
    <s v="TA"/>
    <s v="Y"/>
    <n v="0"/>
    <n v="116"/>
    <n v="230"/>
    <n v="0"/>
    <n v="0"/>
    <n v="0"/>
    <s v="NA"/>
    <s v="GdWo"/>
    <s v="NA"/>
    <n v="0"/>
    <n v="6"/>
    <n v="2007"/>
    <s v="COD"/>
    <s v="Normal"/>
    <n v="153500"/>
  </r>
  <r>
    <n v="838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6"/>
    <n v="5"/>
    <x v="7"/>
    <n v="1973"/>
    <s v="Gable"/>
    <s v="CompShg"/>
    <s v="HdBoard"/>
    <s v="HdBoard"/>
    <s v="BrkFace"/>
    <n v="158"/>
    <s v="TA"/>
    <s v="TA"/>
    <s v="CBlock"/>
    <s v="TA"/>
    <s v="TA"/>
    <s v="No"/>
    <s v="BLQ"/>
    <n v="330"/>
    <s v="Unf"/>
    <n v="0"/>
    <n v="153"/>
    <n v="483"/>
    <s v="GasA"/>
    <s v="TA"/>
    <s v="Y"/>
    <s v="SBrkr"/>
    <n v="483"/>
    <n v="504"/>
    <n v="0"/>
    <x v="200"/>
    <n v="1"/>
    <n v="0"/>
    <n v="1"/>
    <n v="1"/>
    <n v="2"/>
    <n v="1"/>
    <s v="TA"/>
    <n v="5"/>
    <s v="Typ"/>
    <n v="0"/>
    <s v="NA"/>
    <s v="Detchd"/>
    <n v="1973"/>
    <s v="Unf"/>
    <n v="1"/>
    <n v="264"/>
    <s v="TA"/>
    <s v="TA"/>
    <s v="Y"/>
    <n v="0"/>
    <n v="0"/>
    <n v="0"/>
    <n v="0"/>
    <n v="0"/>
    <n v="0"/>
    <s v="NA"/>
    <s v="NA"/>
    <s v="NA"/>
    <n v="0"/>
    <n v="11"/>
    <n v="2008"/>
    <s v="WD"/>
    <s v="Normal"/>
    <n v="100000"/>
  </r>
  <r>
    <n v="839"/>
    <n v="20"/>
    <s v="RL"/>
    <n v="75"/>
    <n v="9525"/>
    <s v="Pave"/>
    <s v="NA"/>
    <s v="Reg"/>
    <s v="Lvl"/>
    <s v="AllPub"/>
    <s v="Inside"/>
    <s v="Gtl"/>
    <x v="0"/>
    <x v="0"/>
    <s v="Norm"/>
    <x v="0"/>
    <x v="1"/>
    <n v="5"/>
    <n v="6"/>
    <x v="49"/>
    <n v="2006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099"/>
    <n v="1099"/>
    <s v="GasA"/>
    <s v="Ex"/>
    <s v="Y"/>
    <s v="SBrkr"/>
    <n v="1099"/>
    <n v="0"/>
    <n v="0"/>
    <x v="600"/>
    <n v="0"/>
    <n v="0"/>
    <n v="1"/>
    <n v="1"/>
    <n v="3"/>
    <n v="1"/>
    <s v="Gd"/>
    <n v="6"/>
    <s v="Typ"/>
    <n v="0"/>
    <s v="NA"/>
    <s v="Attchd"/>
    <n v="1999"/>
    <s v="Unf"/>
    <n v="1"/>
    <n v="352"/>
    <s v="TA"/>
    <s v="TA"/>
    <s v="Y"/>
    <n v="278"/>
    <n v="0"/>
    <n v="0"/>
    <n v="0"/>
    <n v="0"/>
    <n v="0"/>
    <s v="NA"/>
    <s v="NA"/>
    <s v="NA"/>
    <n v="0"/>
    <n v="6"/>
    <n v="2008"/>
    <s v="WD"/>
    <s v="Normal"/>
    <n v="144000"/>
  </r>
  <r>
    <n v="840"/>
    <n v="50"/>
    <s v="RL"/>
    <n v="70"/>
    <n v="11767"/>
    <s v="Pave"/>
    <s v="NA"/>
    <s v="Reg"/>
    <s v="Lvl"/>
    <s v="AllPub"/>
    <s v="Inside"/>
    <s v="Gtl"/>
    <x v="15"/>
    <x v="0"/>
    <s v="Norm"/>
    <x v="0"/>
    <x v="2"/>
    <n v="5"/>
    <n v="6"/>
    <x v="94"/>
    <n v="1995"/>
    <s v="Gable"/>
    <s v="CompShg"/>
    <s v="MetalSd"/>
    <s v="MetalSd"/>
    <s v="None"/>
    <n v="0"/>
    <s v="TA"/>
    <s v="TA"/>
    <s v="CBlock"/>
    <s v="TA"/>
    <s v="TA"/>
    <s v="No"/>
    <s v="BLQ"/>
    <n v="352"/>
    <s v="Unf"/>
    <n v="0"/>
    <n v="416"/>
    <n v="768"/>
    <s v="GasA"/>
    <s v="Ex"/>
    <s v="Y"/>
    <s v="SBrkr"/>
    <n v="768"/>
    <n v="432"/>
    <n v="0"/>
    <x v="144"/>
    <n v="0"/>
    <n v="0"/>
    <n v="1"/>
    <n v="0"/>
    <n v="3"/>
    <n v="1"/>
    <s v="TA"/>
    <n v="6"/>
    <s v="Typ"/>
    <n v="0"/>
    <s v="NA"/>
    <s v="Detchd"/>
    <n v="1946"/>
    <s v="Unf"/>
    <n v="1"/>
    <n v="240"/>
    <s v="TA"/>
    <s v="TA"/>
    <s v="Y"/>
    <n v="0"/>
    <n v="0"/>
    <n v="0"/>
    <n v="0"/>
    <n v="0"/>
    <n v="0"/>
    <s v="NA"/>
    <s v="NA"/>
    <s v="NA"/>
    <n v="0"/>
    <n v="5"/>
    <n v="2008"/>
    <s v="WD"/>
    <s v="Normal"/>
    <n v="130500"/>
  </r>
  <r>
    <n v="841"/>
    <n v="70"/>
    <s v="RH"/>
    <s v="NA"/>
    <n v="12155"/>
    <s v="Pave"/>
    <s v="NA"/>
    <s v="IR1"/>
    <s v="Lvl"/>
    <s v="AllPub"/>
    <s v="Inside"/>
    <s v="Gtl"/>
    <x v="23"/>
    <x v="0"/>
    <s v="Norm"/>
    <x v="0"/>
    <x v="0"/>
    <n v="6"/>
    <n v="8"/>
    <x v="82"/>
    <n v="1950"/>
    <s v="Gable"/>
    <s v="CompShg"/>
    <s v="Wd Sdng"/>
    <s v="Wd Sdng"/>
    <s v="None"/>
    <n v="0"/>
    <s v="TA"/>
    <s v="TA"/>
    <s v="BrkTil"/>
    <s v="TA"/>
    <s v="TA"/>
    <s v="No"/>
    <s v="BLQ"/>
    <n v="156"/>
    <s v="Unf"/>
    <n v="0"/>
    <n v="516"/>
    <n v="672"/>
    <s v="GasA"/>
    <s v="TA"/>
    <s v="N"/>
    <s v="SBrkr"/>
    <n v="810"/>
    <n v="672"/>
    <n v="0"/>
    <x v="601"/>
    <n v="0"/>
    <n v="0"/>
    <n v="2"/>
    <n v="0"/>
    <n v="4"/>
    <n v="1"/>
    <s v="Fa"/>
    <n v="7"/>
    <s v="Typ"/>
    <n v="0"/>
    <s v="NA"/>
    <s v="Detchd"/>
    <n v="1934"/>
    <s v="Unf"/>
    <n v="1"/>
    <n v="400"/>
    <s v="TA"/>
    <s v="TA"/>
    <s v="P"/>
    <n v="0"/>
    <n v="0"/>
    <n v="254"/>
    <n v="0"/>
    <n v="0"/>
    <n v="0"/>
    <s v="NA"/>
    <s v="NA"/>
    <s v="NA"/>
    <n v="0"/>
    <n v="3"/>
    <n v="2008"/>
    <s v="WD"/>
    <s v="Normal"/>
    <n v="140000"/>
  </r>
  <r>
    <n v="842"/>
    <n v="70"/>
    <s v="RM"/>
    <n v="60"/>
    <n v="10440"/>
    <s v="Pave"/>
    <s v="Grvl"/>
    <s v="Reg"/>
    <s v="Lvl"/>
    <s v="AllPub"/>
    <s v="Inside"/>
    <s v="Gtl"/>
    <x v="7"/>
    <x v="0"/>
    <s v="Norm"/>
    <x v="0"/>
    <x v="0"/>
    <n v="5"/>
    <n v="8"/>
    <x v="105"/>
    <n v="2002"/>
    <s v="Gable"/>
    <s v="CompShg"/>
    <s v="MetalSd"/>
    <s v="MetalSd"/>
    <s v="None"/>
    <n v="0"/>
    <s v="TA"/>
    <s v="TA"/>
    <s v="PConc"/>
    <s v="TA"/>
    <s v="TA"/>
    <s v="No"/>
    <s v="Unf"/>
    <n v="0"/>
    <s v="Unf"/>
    <n v="0"/>
    <n v="650"/>
    <n v="650"/>
    <s v="GasA"/>
    <s v="Gd"/>
    <s v="Y"/>
    <s v="SBrkr"/>
    <n v="958"/>
    <n v="581"/>
    <n v="0"/>
    <x v="525"/>
    <n v="0"/>
    <n v="0"/>
    <n v="2"/>
    <n v="0"/>
    <n v="3"/>
    <n v="1"/>
    <s v="Gd"/>
    <n v="8"/>
    <s v="Typ"/>
    <n v="1"/>
    <s v="Po"/>
    <s v="Detchd"/>
    <n v="1983"/>
    <s v="Unf"/>
    <n v="2"/>
    <n v="686"/>
    <s v="Gd"/>
    <s v="TA"/>
    <s v="P"/>
    <n v="70"/>
    <n v="78"/>
    <n v="68"/>
    <n v="0"/>
    <n v="0"/>
    <n v="0"/>
    <s v="NA"/>
    <s v="NA"/>
    <s v="NA"/>
    <n v="0"/>
    <n v="6"/>
    <n v="2008"/>
    <s v="WD"/>
    <s v="Normal"/>
    <n v="157500"/>
  </r>
  <r>
    <n v="843"/>
    <n v="80"/>
    <s v="RL"/>
    <n v="82"/>
    <n v="9020"/>
    <s v="Pave"/>
    <s v="NA"/>
    <s v="Reg"/>
    <s v="Lvl"/>
    <s v="AllPub"/>
    <s v="Inside"/>
    <s v="Gtl"/>
    <x v="11"/>
    <x v="0"/>
    <s v="Norm"/>
    <x v="0"/>
    <x v="5"/>
    <n v="6"/>
    <n v="7"/>
    <x v="27"/>
    <n v="1966"/>
    <s v="Gable"/>
    <s v="CompShg"/>
    <s v="HdBoard"/>
    <s v="HdBoard"/>
    <s v="BrkFace"/>
    <n v="183"/>
    <s v="TA"/>
    <s v="TA"/>
    <s v="CBlock"/>
    <s v="TA"/>
    <s v="TA"/>
    <s v="Gd"/>
    <s v="Rec"/>
    <n v="312"/>
    <s v="ALQ"/>
    <n v="539"/>
    <n v="276"/>
    <n v="1127"/>
    <s v="GasA"/>
    <s v="TA"/>
    <s v="Y"/>
    <s v="SBrkr"/>
    <n v="1165"/>
    <n v="0"/>
    <n v="0"/>
    <x v="602"/>
    <n v="1"/>
    <n v="0"/>
    <n v="1"/>
    <n v="1"/>
    <n v="3"/>
    <n v="1"/>
    <s v="TA"/>
    <n v="6"/>
    <s v="Typ"/>
    <n v="0"/>
    <s v="NA"/>
    <s v="Attchd"/>
    <n v="1966"/>
    <s v="RFn"/>
    <n v="2"/>
    <n v="490"/>
    <s v="Gd"/>
    <s v="Gd"/>
    <s v="Y"/>
    <n v="0"/>
    <n v="129"/>
    <n v="0"/>
    <n v="0"/>
    <n v="0"/>
    <n v="0"/>
    <s v="NA"/>
    <s v="GdPrv"/>
    <s v="NA"/>
    <n v="0"/>
    <n v="5"/>
    <n v="2008"/>
    <s v="WD"/>
    <s v="Normal"/>
    <n v="174900"/>
  </r>
  <r>
    <n v="844"/>
    <n v="90"/>
    <s v="RL"/>
    <n v="80"/>
    <n v="8000"/>
    <s v="Pave"/>
    <s v="NA"/>
    <s v="Reg"/>
    <s v="Lvl"/>
    <s v="AllPub"/>
    <s v="Corner"/>
    <s v="Gtl"/>
    <x v="11"/>
    <x v="3"/>
    <s v="Norm"/>
    <x v="2"/>
    <x v="1"/>
    <n v="5"/>
    <n v="4"/>
    <x v="53"/>
    <n v="1961"/>
    <s v="Gable"/>
    <s v="CompShg"/>
    <s v="BrkFace"/>
    <s v="BrkFace"/>
    <s v="None"/>
    <n v="0"/>
    <s v="TA"/>
    <s v="TA"/>
    <s v="CBlock"/>
    <s v="TA"/>
    <s v="TA"/>
    <s v="No"/>
    <s v="Unf"/>
    <n v="0"/>
    <s v="Unf"/>
    <n v="0"/>
    <n v="1800"/>
    <n v="1800"/>
    <s v="GasA"/>
    <s v="Ex"/>
    <s v="N"/>
    <s v="SBrkr"/>
    <n v="1800"/>
    <n v="0"/>
    <n v="0"/>
    <x v="314"/>
    <n v="0"/>
    <n v="0"/>
    <n v="2"/>
    <n v="0"/>
    <n v="6"/>
    <n v="2"/>
    <s v="TA"/>
    <n v="10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7"/>
    <n v="2007"/>
    <s v="WD"/>
    <s v="Normal"/>
    <n v="141000"/>
  </r>
  <r>
    <n v="845"/>
    <n v="50"/>
    <s v="RM"/>
    <n v="100"/>
    <n v="12665"/>
    <s v="Pave"/>
    <s v="Grvl"/>
    <s v="IR1"/>
    <s v="Lvl"/>
    <s v="AllPub"/>
    <s v="Inside"/>
    <s v="Gtl"/>
    <x v="7"/>
    <x v="3"/>
    <s v="Norm"/>
    <x v="0"/>
    <x v="2"/>
    <n v="5"/>
    <n v="8"/>
    <x v="3"/>
    <n v="1950"/>
    <s v="Gable"/>
    <s v="CompShg"/>
    <s v="Wd Sdng"/>
    <s v="Wd Sdng"/>
    <s v="None"/>
    <n v="0"/>
    <s v="TA"/>
    <s v="TA"/>
    <s v="BrkTil"/>
    <s v="TA"/>
    <s v="TA"/>
    <s v="Mn"/>
    <s v="Unf"/>
    <n v="0"/>
    <s v="Unf"/>
    <n v="0"/>
    <n v="876"/>
    <n v="876"/>
    <s v="GasA"/>
    <s v="Gd"/>
    <s v="Y"/>
    <s v="SBrkr"/>
    <n v="876"/>
    <n v="540"/>
    <n v="0"/>
    <x v="603"/>
    <n v="0"/>
    <n v="0"/>
    <n v="1"/>
    <n v="1"/>
    <n v="4"/>
    <n v="1"/>
    <s v="TA"/>
    <n v="7"/>
    <s v="Typ"/>
    <n v="1"/>
    <s v="Gd"/>
    <s v="Detchd"/>
    <n v="1949"/>
    <s v="Unf"/>
    <n v="3"/>
    <n v="720"/>
    <s v="TA"/>
    <s v="TA"/>
    <s v="Y"/>
    <n v="418"/>
    <n v="0"/>
    <n v="194"/>
    <n v="0"/>
    <n v="0"/>
    <n v="0"/>
    <s v="NA"/>
    <s v="NA"/>
    <s v="NA"/>
    <n v="0"/>
    <n v="6"/>
    <n v="2008"/>
    <s v="WD"/>
    <s v="Normal"/>
    <n v="153900"/>
  </r>
  <r>
    <n v="846"/>
    <n v="85"/>
    <s v="RL"/>
    <s v="NA"/>
    <n v="16647"/>
    <s v="Pave"/>
    <s v="NA"/>
    <s v="IR1"/>
    <s v="Lvl"/>
    <s v="AllPub"/>
    <s v="CulDSac"/>
    <s v="Gtl"/>
    <x v="9"/>
    <x v="4"/>
    <s v="Norm"/>
    <x v="0"/>
    <x v="4"/>
    <n v="5"/>
    <n v="5"/>
    <x v="34"/>
    <n v="1981"/>
    <s v="Gable"/>
    <s v="CompShg"/>
    <s v="HdBoard"/>
    <s v="HdBoard"/>
    <s v="None"/>
    <n v="0"/>
    <s v="TA"/>
    <s v="TA"/>
    <s v="CBlock"/>
    <s v="Gd"/>
    <s v="TA"/>
    <s v="Gd"/>
    <s v="ALQ"/>
    <n v="1390"/>
    <s v="Unf"/>
    <n v="0"/>
    <n v="0"/>
    <n v="1390"/>
    <s v="GasA"/>
    <s v="TA"/>
    <s v="Y"/>
    <s v="SBrkr"/>
    <n v="1701"/>
    <n v="0"/>
    <n v="0"/>
    <x v="604"/>
    <n v="1"/>
    <n v="0"/>
    <n v="2"/>
    <n v="0"/>
    <n v="3"/>
    <n v="1"/>
    <s v="TA"/>
    <n v="6"/>
    <s v="Min2"/>
    <n v="2"/>
    <s v="TA"/>
    <s v="Basment"/>
    <n v="1975"/>
    <s v="Fin"/>
    <n v="2"/>
    <n v="611"/>
    <s v="TA"/>
    <s v="TA"/>
    <s v="Y"/>
    <n v="0"/>
    <n v="0"/>
    <n v="0"/>
    <n v="0"/>
    <n v="0"/>
    <n v="0"/>
    <s v="NA"/>
    <s v="NA"/>
    <s v="NA"/>
    <n v="0"/>
    <n v="1"/>
    <n v="2007"/>
    <s v="WD"/>
    <s v="Normal"/>
    <n v="171000"/>
  </r>
  <r>
    <n v="847"/>
    <n v="60"/>
    <s v="RL"/>
    <n v="75"/>
    <n v="9317"/>
    <s v="Pave"/>
    <s v="NA"/>
    <s v="Reg"/>
    <s v="Lvl"/>
    <s v="AllPub"/>
    <s v="Inside"/>
    <s v="Gtl"/>
    <x v="12"/>
    <x v="0"/>
    <s v="Norm"/>
    <x v="0"/>
    <x v="0"/>
    <n v="7"/>
    <n v="5"/>
    <x v="5"/>
    <n v="1993"/>
    <s v="Gable"/>
    <s v="CompShg"/>
    <s v="HdBoard"/>
    <s v="HdBoard"/>
    <s v="BrkFace"/>
    <n v="137"/>
    <s v="Gd"/>
    <s v="TA"/>
    <s v="PConc"/>
    <s v="Gd"/>
    <s v="TA"/>
    <s v="No"/>
    <s v="ALQ"/>
    <n v="513"/>
    <s v="Unf"/>
    <n v="0"/>
    <n v="227"/>
    <n v="740"/>
    <s v="GasA"/>
    <s v="Ex"/>
    <s v="Y"/>
    <s v="SBrkr"/>
    <n v="1006"/>
    <n v="769"/>
    <n v="0"/>
    <x v="605"/>
    <n v="1"/>
    <n v="0"/>
    <n v="2"/>
    <n v="1"/>
    <n v="3"/>
    <n v="1"/>
    <s v="Gd"/>
    <n v="7"/>
    <s v="Typ"/>
    <n v="1"/>
    <s v="TA"/>
    <s v="Attchd"/>
    <n v="1993"/>
    <s v="Unf"/>
    <n v="2"/>
    <n v="425"/>
    <s v="TA"/>
    <s v="TA"/>
    <s v="Y"/>
    <n v="234"/>
    <n v="72"/>
    <n v="192"/>
    <n v="0"/>
    <n v="0"/>
    <n v="0"/>
    <s v="NA"/>
    <s v="NA"/>
    <s v="NA"/>
    <n v="0"/>
    <n v="7"/>
    <n v="2009"/>
    <s v="WD"/>
    <s v="Normal"/>
    <n v="213000"/>
  </r>
  <r>
    <n v="848"/>
    <n v="20"/>
    <s v="RL"/>
    <n v="36"/>
    <n v="15523"/>
    <s v="Pave"/>
    <s v="NA"/>
    <s v="IR1"/>
    <s v="Lvl"/>
    <s v="AllPub"/>
    <s v="CulDSac"/>
    <s v="Gtl"/>
    <x v="0"/>
    <x v="0"/>
    <s v="Norm"/>
    <x v="0"/>
    <x v="1"/>
    <n v="5"/>
    <n v="6"/>
    <x v="41"/>
    <n v="1972"/>
    <s v="Gable"/>
    <s v="CompShg"/>
    <s v="HdBoard"/>
    <s v="Plywood"/>
    <s v="None"/>
    <n v="0"/>
    <s v="TA"/>
    <s v="TA"/>
    <s v="CBlock"/>
    <s v="TA"/>
    <s v="TA"/>
    <s v="Av"/>
    <s v="BLQ"/>
    <n v="460"/>
    <s v="Unf"/>
    <n v="0"/>
    <n v="404"/>
    <n v="864"/>
    <s v="GasA"/>
    <s v="Ex"/>
    <s v="Y"/>
    <s v="SBrkr"/>
    <n v="864"/>
    <n v="0"/>
    <n v="0"/>
    <x v="132"/>
    <n v="1"/>
    <n v="0"/>
    <n v="1"/>
    <n v="0"/>
    <n v="3"/>
    <n v="1"/>
    <s v="TA"/>
    <n v="5"/>
    <s v="Typ"/>
    <n v="1"/>
    <s v="Fa"/>
    <s v="Attchd"/>
    <n v="1972"/>
    <s v="Unf"/>
    <n v="1"/>
    <n v="338"/>
    <s v="TA"/>
    <s v="TA"/>
    <s v="Y"/>
    <n v="0"/>
    <n v="0"/>
    <n v="0"/>
    <n v="0"/>
    <n v="0"/>
    <n v="0"/>
    <s v="NA"/>
    <s v="NA"/>
    <s v="NA"/>
    <n v="0"/>
    <n v="8"/>
    <n v="2009"/>
    <s v="WD"/>
    <s v="Normal"/>
    <n v="133500"/>
  </r>
  <r>
    <n v="849"/>
    <n v="50"/>
    <s v="RL"/>
    <n v="75"/>
    <n v="45600"/>
    <s v="Pave"/>
    <s v="NA"/>
    <s v="IR2"/>
    <s v="Bnk"/>
    <s v="AllPub"/>
    <s v="Inside"/>
    <s v="Gtl"/>
    <x v="19"/>
    <x v="0"/>
    <s v="Norm"/>
    <x v="0"/>
    <x v="2"/>
    <n v="6"/>
    <n v="8"/>
    <x v="75"/>
    <n v="1997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907"/>
    <n v="907"/>
    <s v="GasA"/>
    <s v="TA"/>
    <s v="Y"/>
    <s v="SBrkr"/>
    <n v="1307"/>
    <n v="1051"/>
    <n v="0"/>
    <x v="606"/>
    <n v="0"/>
    <n v="0"/>
    <n v="3"/>
    <n v="0"/>
    <n v="5"/>
    <n v="1"/>
    <s v="TA"/>
    <n v="10"/>
    <s v="Typ"/>
    <n v="1"/>
    <s v="Gd"/>
    <s v="Detchd"/>
    <n v="1908"/>
    <s v="Unf"/>
    <n v="2"/>
    <n v="360"/>
    <s v="Fa"/>
    <s v="TA"/>
    <s v="Y"/>
    <n v="486"/>
    <n v="40"/>
    <n v="0"/>
    <n v="0"/>
    <n v="175"/>
    <n v="0"/>
    <s v="NA"/>
    <s v="NA"/>
    <s v="NA"/>
    <n v="0"/>
    <n v="9"/>
    <n v="2008"/>
    <s v="WD"/>
    <s v="Normal"/>
    <n v="240000"/>
  </r>
  <r>
    <n v="850"/>
    <n v="80"/>
    <s v="RL"/>
    <n v="80"/>
    <n v="9600"/>
    <s v="Pave"/>
    <s v="NA"/>
    <s v="Reg"/>
    <s v="Lvl"/>
    <s v="AllPub"/>
    <s v="FR2"/>
    <s v="Gtl"/>
    <x v="1"/>
    <x v="1"/>
    <s v="Norm"/>
    <x v="0"/>
    <x v="5"/>
    <n v="6"/>
    <n v="7"/>
    <x v="1"/>
    <n v="1994"/>
    <s v="Hip"/>
    <s v="CompShg"/>
    <s v="Plywood"/>
    <s v="Plywood"/>
    <s v="BrkFace"/>
    <n v="360"/>
    <s v="Gd"/>
    <s v="Gd"/>
    <s v="CBlock"/>
    <s v="TA"/>
    <s v="TA"/>
    <s v="No"/>
    <s v="Unf"/>
    <n v="0"/>
    <s v="Unf"/>
    <n v="0"/>
    <n v="528"/>
    <n v="528"/>
    <s v="GasA"/>
    <s v="Ex"/>
    <s v="Y"/>
    <s v="SBrkr"/>
    <n v="1094"/>
    <n v="761"/>
    <n v="0"/>
    <x v="104"/>
    <n v="0"/>
    <n v="0"/>
    <n v="2"/>
    <n v="1"/>
    <n v="3"/>
    <n v="1"/>
    <s v="TA"/>
    <n v="7"/>
    <s v="Typ"/>
    <n v="1"/>
    <s v="TA"/>
    <s v="Attchd"/>
    <n v="1976"/>
    <s v="RFn"/>
    <n v="2"/>
    <n v="512"/>
    <s v="TA"/>
    <s v="TA"/>
    <s v="Y"/>
    <n v="113"/>
    <n v="100"/>
    <n v="0"/>
    <n v="0"/>
    <n v="0"/>
    <n v="0"/>
    <s v="NA"/>
    <s v="NA"/>
    <s v="NA"/>
    <n v="0"/>
    <n v="8"/>
    <n v="2007"/>
    <s v="WD"/>
    <s v="Normal"/>
    <n v="187000"/>
  </r>
  <r>
    <n v="851"/>
    <n v="120"/>
    <s v="RM"/>
    <n v="36"/>
    <n v="4435"/>
    <s v="Pave"/>
    <s v="NA"/>
    <s v="Reg"/>
    <s v="Lvl"/>
    <s v="AllPub"/>
    <s v="Inside"/>
    <s v="Gtl"/>
    <x v="0"/>
    <x v="0"/>
    <s v="Norm"/>
    <x v="3"/>
    <x v="1"/>
    <n v="6"/>
    <n v="5"/>
    <x v="0"/>
    <n v="2003"/>
    <s v="Gable"/>
    <s v="CompShg"/>
    <s v="VinylSd"/>
    <s v="VinylSd"/>
    <s v="BrkFace"/>
    <n v="170"/>
    <s v="Gd"/>
    <s v="TA"/>
    <s v="PConc"/>
    <s v="Gd"/>
    <s v="TA"/>
    <s v="Av"/>
    <s v="GLQ"/>
    <n v="659"/>
    <s v="Unf"/>
    <n v="0"/>
    <n v="189"/>
    <n v="848"/>
    <s v="GasA"/>
    <s v="Ex"/>
    <s v="Y"/>
    <s v="SBrkr"/>
    <n v="848"/>
    <n v="0"/>
    <n v="0"/>
    <x v="182"/>
    <n v="1"/>
    <n v="0"/>
    <n v="1"/>
    <n v="0"/>
    <n v="1"/>
    <n v="1"/>
    <s v="Gd"/>
    <n v="3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11"/>
    <n v="2007"/>
    <s v="WD"/>
    <s v="Normal"/>
    <n v="131500"/>
  </r>
  <r>
    <n v="852"/>
    <n v="120"/>
    <s v="RL"/>
    <s v="NA"/>
    <n v="3196"/>
    <s v="Pave"/>
    <s v="NA"/>
    <s v="Reg"/>
    <s v="Lvl"/>
    <s v="AllPub"/>
    <s v="Inside"/>
    <s v="Gtl"/>
    <x v="21"/>
    <x v="0"/>
    <s v="Norm"/>
    <x v="3"/>
    <x v="1"/>
    <n v="8"/>
    <n v="5"/>
    <x v="0"/>
    <n v="2003"/>
    <s v="Gable"/>
    <s v="CompShg"/>
    <s v="VinylSd"/>
    <s v="VinylSd"/>
    <s v="BrkFace"/>
    <n v="40"/>
    <s v="Gd"/>
    <s v="TA"/>
    <s v="PConc"/>
    <s v="Gd"/>
    <s v="TA"/>
    <s v="Gd"/>
    <s v="Unf"/>
    <n v="0"/>
    <s v="Unf"/>
    <n v="0"/>
    <n v="1273"/>
    <n v="1273"/>
    <s v="GasA"/>
    <s v="Ex"/>
    <s v="Y"/>
    <s v="SBrkr"/>
    <n v="1456"/>
    <n v="0"/>
    <n v="0"/>
    <x v="113"/>
    <n v="0"/>
    <n v="0"/>
    <n v="2"/>
    <n v="0"/>
    <n v="2"/>
    <n v="1"/>
    <s v="Gd"/>
    <n v="7"/>
    <s v="Typ"/>
    <n v="1"/>
    <s v="TA"/>
    <s v="Attchd"/>
    <n v="2003"/>
    <s v="Fin"/>
    <n v="2"/>
    <n v="400"/>
    <s v="TA"/>
    <s v="TA"/>
    <s v="Y"/>
    <n v="143"/>
    <n v="20"/>
    <n v="0"/>
    <n v="0"/>
    <n v="0"/>
    <n v="0"/>
    <s v="NA"/>
    <s v="NA"/>
    <s v="NA"/>
    <n v="0"/>
    <n v="5"/>
    <n v="2006"/>
    <s v="WD"/>
    <s v="Normal"/>
    <n v="215000"/>
  </r>
  <r>
    <n v="853"/>
    <n v="75"/>
    <s v="RL"/>
    <n v="53"/>
    <n v="7128"/>
    <s v="Pave"/>
    <s v="NA"/>
    <s v="Reg"/>
    <s v="Lvl"/>
    <s v="AllPub"/>
    <s v="Inside"/>
    <s v="Gtl"/>
    <x v="2"/>
    <x v="0"/>
    <s v="Norm"/>
    <x v="0"/>
    <x v="6"/>
    <n v="7"/>
    <n v="5"/>
    <x v="71"/>
    <n v="1950"/>
    <s v="Gable"/>
    <s v="CompShg"/>
    <s v="MetalSd"/>
    <s v="MetalSd"/>
    <s v="None"/>
    <n v="0"/>
    <s v="TA"/>
    <s v="Gd"/>
    <s v="CBlock"/>
    <s v="TA"/>
    <s v="TA"/>
    <s v="No"/>
    <s v="Rec"/>
    <n v="364"/>
    <s v="Unf"/>
    <n v="0"/>
    <n v="554"/>
    <n v="918"/>
    <s v="GasA"/>
    <s v="Gd"/>
    <s v="Y"/>
    <s v="SBrkr"/>
    <n v="918"/>
    <n v="728"/>
    <n v="0"/>
    <x v="607"/>
    <n v="0"/>
    <n v="0"/>
    <n v="2"/>
    <n v="0"/>
    <n v="4"/>
    <n v="1"/>
    <s v="TA"/>
    <n v="7"/>
    <s v="Typ"/>
    <n v="2"/>
    <s v="Gd"/>
    <s v="Detchd"/>
    <n v="1941"/>
    <s v="Unf"/>
    <n v="1"/>
    <n v="240"/>
    <s v="TA"/>
    <s v="TA"/>
    <s v="Y"/>
    <n v="0"/>
    <n v="0"/>
    <n v="0"/>
    <n v="0"/>
    <n v="126"/>
    <n v="0"/>
    <s v="NA"/>
    <s v="MnPrv"/>
    <s v="NA"/>
    <n v="0"/>
    <n v="8"/>
    <n v="2007"/>
    <s v="WD"/>
    <s v="Normal"/>
    <n v="164000"/>
  </r>
  <r>
    <n v="854"/>
    <n v="80"/>
    <s v="RL"/>
    <s v="NA"/>
    <n v="12095"/>
    <s v="Pave"/>
    <s v="NA"/>
    <s v="IR1"/>
    <s v="Lvl"/>
    <s v="AllPub"/>
    <s v="Corner"/>
    <s v="Gtl"/>
    <x v="11"/>
    <x v="0"/>
    <s v="Norm"/>
    <x v="0"/>
    <x v="5"/>
    <n v="6"/>
    <n v="6"/>
    <x v="39"/>
    <n v="1964"/>
    <s v="Gable"/>
    <s v="CompShg"/>
    <s v="MetalSd"/>
    <s v="HdBoard"/>
    <s v="BrkFace"/>
    <n v="115"/>
    <s v="TA"/>
    <s v="Gd"/>
    <s v="CBlock"/>
    <s v="TA"/>
    <s v="TA"/>
    <s v="Gd"/>
    <s v="Rec"/>
    <n v="564"/>
    <s v="Unf"/>
    <n v="0"/>
    <n v="563"/>
    <n v="1127"/>
    <s v="GasA"/>
    <s v="TA"/>
    <s v="Y"/>
    <s v="SBrkr"/>
    <n v="1445"/>
    <n v="0"/>
    <n v="0"/>
    <x v="608"/>
    <n v="0"/>
    <n v="0"/>
    <n v="1"/>
    <n v="1"/>
    <n v="3"/>
    <n v="1"/>
    <s v="TA"/>
    <n v="7"/>
    <s v="Typ"/>
    <n v="1"/>
    <s v="Fa"/>
    <s v="Attchd"/>
    <n v="1964"/>
    <s v="RFn"/>
    <n v="2"/>
    <n v="645"/>
    <s v="TA"/>
    <s v="TA"/>
    <s v="Y"/>
    <n v="180"/>
    <n v="0"/>
    <n v="0"/>
    <n v="0"/>
    <n v="0"/>
    <n v="0"/>
    <s v="NA"/>
    <s v="MnPrv"/>
    <s v="NA"/>
    <n v="0"/>
    <n v="8"/>
    <n v="2009"/>
    <s v="WD"/>
    <s v="Normal"/>
    <n v="158000"/>
  </r>
  <r>
    <n v="855"/>
    <n v="20"/>
    <s v="RL"/>
    <n v="102"/>
    <n v="17920"/>
    <s v="Pave"/>
    <s v="NA"/>
    <s v="Reg"/>
    <s v="Lvl"/>
    <s v="AllPub"/>
    <s v="Inside"/>
    <s v="Gtl"/>
    <x v="9"/>
    <x v="0"/>
    <s v="Norm"/>
    <x v="0"/>
    <x v="1"/>
    <n v="5"/>
    <n v="4"/>
    <x v="32"/>
    <n v="1974"/>
    <s v="Hip"/>
    <s v="CompShg"/>
    <s v="Wd Sdng"/>
    <s v="Plywood"/>
    <s v="None"/>
    <n v="0"/>
    <s v="TA"/>
    <s v="TA"/>
    <s v="CBlock"/>
    <s v="TA"/>
    <s v="TA"/>
    <s v="Mn"/>
    <s v="ALQ"/>
    <n v="306"/>
    <s v="Rec"/>
    <n v="1085"/>
    <n v="372"/>
    <n v="1763"/>
    <s v="GasA"/>
    <s v="TA"/>
    <s v="Y"/>
    <s v="SBrkr"/>
    <n v="1779"/>
    <n v="0"/>
    <n v="0"/>
    <x v="609"/>
    <n v="1"/>
    <n v="0"/>
    <n v="1"/>
    <n v="1"/>
    <n v="3"/>
    <n v="1"/>
    <s v="TA"/>
    <n v="6"/>
    <s v="Typ"/>
    <n v="1"/>
    <s v="Gd"/>
    <s v="Attchd"/>
    <n v="1955"/>
    <s v="Unf"/>
    <n v="2"/>
    <n v="454"/>
    <s v="TA"/>
    <s v="TA"/>
    <s v="Y"/>
    <n v="0"/>
    <n v="418"/>
    <n v="0"/>
    <n v="0"/>
    <n v="312"/>
    <n v="0"/>
    <s v="NA"/>
    <s v="NA"/>
    <s v="NA"/>
    <n v="0"/>
    <n v="7"/>
    <n v="2006"/>
    <s v="WD"/>
    <s v="Abnorml"/>
    <n v="170000"/>
  </r>
  <r>
    <n v="856"/>
    <n v="20"/>
    <s v="RL"/>
    <s v="NA"/>
    <n v="6897"/>
    <s v="Pave"/>
    <s v="NA"/>
    <s v="IR1"/>
    <s v="Lvl"/>
    <s v="AllPub"/>
    <s v="Corner"/>
    <s v="Gtl"/>
    <x v="9"/>
    <x v="0"/>
    <s v="Norm"/>
    <x v="0"/>
    <x v="1"/>
    <n v="5"/>
    <n v="8"/>
    <x v="12"/>
    <n v="2010"/>
    <s v="Gable"/>
    <s v="CompShg"/>
    <s v="HdBoard"/>
    <s v="HdBoard"/>
    <s v="None"/>
    <n v="0"/>
    <s v="TA"/>
    <s v="Gd"/>
    <s v="CBlock"/>
    <s v="TA"/>
    <s v="TA"/>
    <s v="No"/>
    <s v="ALQ"/>
    <n v="659"/>
    <s v="Unf"/>
    <n v="0"/>
    <n v="381"/>
    <n v="1040"/>
    <s v="GasA"/>
    <s v="Ex"/>
    <s v="Y"/>
    <s v="SBrkr"/>
    <n v="1040"/>
    <n v="0"/>
    <n v="0"/>
    <x v="10"/>
    <n v="1"/>
    <n v="0"/>
    <n v="1"/>
    <n v="1"/>
    <n v="3"/>
    <n v="1"/>
    <s v="TA"/>
    <n v="6"/>
    <s v="Typ"/>
    <n v="0"/>
    <s v="NA"/>
    <s v="Detchd"/>
    <n v="1962"/>
    <s v="Unf"/>
    <n v="1"/>
    <n v="260"/>
    <s v="TA"/>
    <s v="TA"/>
    <s v="Y"/>
    <n v="0"/>
    <n v="104"/>
    <n v="0"/>
    <n v="0"/>
    <n v="0"/>
    <n v="0"/>
    <s v="NA"/>
    <s v="NA"/>
    <s v="NA"/>
    <n v="0"/>
    <n v="4"/>
    <n v="2010"/>
    <s v="WD"/>
    <s v="Normal"/>
    <n v="127000"/>
  </r>
  <r>
    <n v="857"/>
    <n v="80"/>
    <s v="RL"/>
    <s v="NA"/>
    <n v="10970"/>
    <s v="Pave"/>
    <s v="NA"/>
    <s v="IR1"/>
    <s v="Low"/>
    <s v="AllPub"/>
    <s v="Inside"/>
    <s v="Mod"/>
    <x v="0"/>
    <x v="0"/>
    <s v="Norm"/>
    <x v="0"/>
    <x v="5"/>
    <n v="6"/>
    <n v="6"/>
    <x v="90"/>
    <n v="1978"/>
    <s v="Gable"/>
    <s v="CompShg"/>
    <s v="Plywood"/>
    <s v="HdBoard"/>
    <s v="None"/>
    <n v="0"/>
    <s v="TA"/>
    <s v="TA"/>
    <s v="CBlock"/>
    <s v="Gd"/>
    <s v="Gd"/>
    <s v="Gd"/>
    <s v="GLQ"/>
    <n v="505"/>
    <s v="LwQ"/>
    <n v="435"/>
    <n v="0"/>
    <n v="940"/>
    <s v="GasA"/>
    <s v="TA"/>
    <s v="Y"/>
    <s v="SBrkr"/>
    <n v="1026"/>
    <n v="0"/>
    <n v="0"/>
    <x v="552"/>
    <n v="1"/>
    <n v="0"/>
    <n v="1"/>
    <n v="0"/>
    <n v="3"/>
    <n v="1"/>
    <s v="TA"/>
    <n v="5"/>
    <s v="Typ"/>
    <n v="0"/>
    <s v="NA"/>
    <s v="Detchd"/>
    <n v="1981"/>
    <s v="Unf"/>
    <n v="2"/>
    <n v="576"/>
    <s v="TA"/>
    <s v="Fa"/>
    <s v="Y"/>
    <n v="0"/>
    <n v="0"/>
    <n v="34"/>
    <n v="0"/>
    <n v="0"/>
    <n v="0"/>
    <s v="NA"/>
    <s v="MnPrv"/>
    <s v="NA"/>
    <n v="0"/>
    <n v="10"/>
    <n v="2008"/>
    <s v="WD"/>
    <s v="Normal"/>
    <n v="147000"/>
  </r>
  <r>
    <n v="858"/>
    <n v="60"/>
    <s v="RL"/>
    <n v="65"/>
    <n v="8125"/>
    <s v="Pave"/>
    <s v="NA"/>
    <s v="Reg"/>
    <s v="Lvl"/>
    <s v="AllPub"/>
    <s v="Inside"/>
    <s v="Gtl"/>
    <x v="17"/>
    <x v="0"/>
    <s v="Norm"/>
    <x v="0"/>
    <x v="0"/>
    <n v="6"/>
    <n v="5"/>
    <x v="29"/>
    <n v="1995"/>
    <s v="Gable"/>
    <s v="CompShg"/>
    <s v="HdBoard"/>
    <s v="HdBoard"/>
    <s v="None"/>
    <n v="0"/>
    <s v="TA"/>
    <s v="TA"/>
    <s v="PConc"/>
    <s v="Gd"/>
    <s v="TA"/>
    <s v="No"/>
    <s v="Unf"/>
    <n v="0"/>
    <s v="Unf"/>
    <n v="0"/>
    <n v="702"/>
    <n v="702"/>
    <s v="GasA"/>
    <s v="Gd"/>
    <s v="Y"/>
    <s v="SBrkr"/>
    <n v="702"/>
    <n v="779"/>
    <n v="0"/>
    <x v="610"/>
    <n v="0"/>
    <n v="0"/>
    <n v="2"/>
    <n v="1"/>
    <n v="3"/>
    <n v="1"/>
    <s v="TA"/>
    <n v="6"/>
    <s v="Typ"/>
    <n v="1"/>
    <s v="TA"/>
    <s v="Attchd"/>
    <n v="1994"/>
    <s v="Fin"/>
    <n v="2"/>
    <n v="343"/>
    <s v="TA"/>
    <s v="TA"/>
    <s v="Y"/>
    <n v="0"/>
    <n v="36"/>
    <n v="0"/>
    <n v="0"/>
    <n v="0"/>
    <n v="0"/>
    <s v="NA"/>
    <s v="NA"/>
    <s v="NA"/>
    <n v="0"/>
    <n v="3"/>
    <n v="2009"/>
    <s v="WD"/>
    <s v="Normal"/>
    <n v="174000"/>
  </r>
  <r>
    <n v="859"/>
    <n v="20"/>
    <s v="RL"/>
    <n v="80"/>
    <n v="10400"/>
    <s v="Pave"/>
    <s v="NA"/>
    <s v="Reg"/>
    <s v="Lvl"/>
    <s v="AllPub"/>
    <s v="Inside"/>
    <s v="Gtl"/>
    <x v="6"/>
    <x v="0"/>
    <s v="Norm"/>
    <x v="0"/>
    <x v="1"/>
    <n v="7"/>
    <n v="5"/>
    <x v="1"/>
    <n v="1976"/>
    <s v="Gable"/>
    <s v="CompShg"/>
    <s v="HdBoard"/>
    <s v="HdBoard"/>
    <s v="BrkFace"/>
    <n v="189"/>
    <s v="TA"/>
    <s v="TA"/>
    <s v="CBlock"/>
    <s v="Gd"/>
    <s v="TA"/>
    <s v="No"/>
    <s v="Unf"/>
    <n v="0"/>
    <s v="Unf"/>
    <n v="0"/>
    <n v="1090"/>
    <n v="1090"/>
    <s v="GasA"/>
    <s v="TA"/>
    <s v="Y"/>
    <s v="SBrkr"/>
    <n v="1370"/>
    <n v="0"/>
    <n v="0"/>
    <x v="60"/>
    <n v="0"/>
    <n v="0"/>
    <n v="2"/>
    <n v="0"/>
    <n v="3"/>
    <n v="1"/>
    <s v="TA"/>
    <n v="6"/>
    <s v="Typ"/>
    <n v="1"/>
    <s v="TA"/>
    <s v="Attchd"/>
    <n v="1976"/>
    <s v="RFn"/>
    <n v="2"/>
    <n v="479"/>
    <s v="TA"/>
    <s v="TA"/>
    <s v="Y"/>
    <n v="0"/>
    <n v="0"/>
    <n v="0"/>
    <n v="0"/>
    <n v="0"/>
    <n v="0"/>
    <s v="NA"/>
    <s v="MnPrv"/>
    <s v="NA"/>
    <n v="0"/>
    <n v="6"/>
    <n v="2009"/>
    <s v="WD"/>
    <s v="Family"/>
    <n v="152000"/>
  </r>
  <r>
    <n v="860"/>
    <n v="60"/>
    <s v="RL"/>
    <s v="NA"/>
    <n v="11029"/>
    <s v="Pave"/>
    <s v="NA"/>
    <s v="IR1"/>
    <s v="Lvl"/>
    <s v="AllPub"/>
    <s v="Corner"/>
    <s v="Gtl"/>
    <x v="6"/>
    <x v="7"/>
    <s v="Norm"/>
    <x v="0"/>
    <x v="0"/>
    <n v="6"/>
    <n v="7"/>
    <x v="21"/>
    <n v="1984"/>
    <s v="Gable"/>
    <s v="CompShg"/>
    <s v="HdBoard"/>
    <s v="HdBoard"/>
    <s v="BrkFace"/>
    <n v="220"/>
    <s v="TA"/>
    <s v="TA"/>
    <s v="CBlock"/>
    <s v="TA"/>
    <s v="TA"/>
    <s v="Mn"/>
    <s v="BLQ"/>
    <n v="619"/>
    <s v="Unf"/>
    <n v="0"/>
    <n v="435"/>
    <n v="1054"/>
    <s v="GasA"/>
    <s v="TA"/>
    <s v="Y"/>
    <s v="SBrkr"/>
    <n v="1512"/>
    <n v="1142"/>
    <n v="0"/>
    <x v="611"/>
    <n v="1"/>
    <n v="0"/>
    <n v="2"/>
    <n v="1"/>
    <n v="4"/>
    <n v="1"/>
    <s v="Gd"/>
    <n v="9"/>
    <s v="Typ"/>
    <n v="1"/>
    <s v="Gd"/>
    <s v="Attchd"/>
    <n v="1968"/>
    <s v="Unf"/>
    <n v="2"/>
    <n v="619"/>
    <s v="TA"/>
    <s v="TA"/>
    <s v="Y"/>
    <n v="0"/>
    <n v="65"/>
    <n v="0"/>
    <n v="0"/>
    <n v="222"/>
    <n v="0"/>
    <s v="NA"/>
    <s v="NA"/>
    <s v="NA"/>
    <n v="0"/>
    <n v="8"/>
    <n v="2006"/>
    <s v="WD"/>
    <s v="Normal"/>
    <n v="250000"/>
  </r>
  <r>
    <n v="861"/>
    <n v="50"/>
    <s v="RL"/>
    <n v="55"/>
    <n v="7642"/>
    <s v="Pave"/>
    <s v="NA"/>
    <s v="Reg"/>
    <s v="Lvl"/>
    <s v="AllPub"/>
    <s v="Corner"/>
    <s v="Gtl"/>
    <x v="2"/>
    <x v="0"/>
    <s v="Norm"/>
    <x v="0"/>
    <x v="2"/>
    <n v="7"/>
    <n v="8"/>
    <x v="79"/>
    <n v="1998"/>
    <s v="Gable"/>
    <s v="CompShg"/>
    <s v="Wd Sdng"/>
    <s v="Wd Sdng"/>
    <s v="None"/>
    <n v="0"/>
    <s v="Gd"/>
    <s v="TA"/>
    <s v="BrkTil"/>
    <s v="TA"/>
    <s v="TA"/>
    <s v="No"/>
    <s v="Unf"/>
    <n v="0"/>
    <s v="Unf"/>
    <n v="0"/>
    <n v="912"/>
    <n v="912"/>
    <s v="GasA"/>
    <s v="Gd"/>
    <s v="Y"/>
    <s v="SBrkr"/>
    <n v="912"/>
    <n v="514"/>
    <n v="0"/>
    <x v="612"/>
    <n v="0"/>
    <n v="0"/>
    <n v="1"/>
    <n v="1"/>
    <n v="3"/>
    <n v="1"/>
    <s v="Gd"/>
    <n v="7"/>
    <s v="Typ"/>
    <n v="1"/>
    <s v="Gd"/>
    <s v="Detchd"/>
    <n v="1925"/>
    <s v="Unf"/>
    <n v="1"/>
    <n v="216"/>
    <s v="TA"/>
    <s v="TA"/>
    <s v="Y"/>
    <n v="0"/>
    <n v="240"/>
    <n v="0"/>
    <n v="0"/>
    <n v="0"/>
    <n v="0"/>
    <s v="NA"/>
    <s v="GdPrv"/>
    <s v="NA"/>
    <n v="0"/>
    <n v="6"/>
    <n v="2007"/>
    <s v="WD"/>
    <s v="Normal"/>
    <n v="189950"/>
  </r>
  <r>
    <n v="862"/>
    <n v="190"/>
    <s v="RL"/>
    <n v="75"/>
    <n v="11625"/>
    <s v="Pave"/>
    <s v="NA"/>
    <s v="Reg"/>
    <s v="Lvl"/>
    <s v="AllPub"/>
    <s v="Inside"/>
    <s v="Gtl"/>
    <x v="9"/>
    <x v="0"/>
    <s v="Norm"/>
    <x v="1"/>
    <x v="1"/>
    <n v="5"/>
    <n v="4"/>
    <x v="10"/>
    <n v="1965"/>
    <s v="Hip"/>
    <s v="CompShg"/>
    <s v="Plywood"/>
    <s v="HdBoard"/>
    <s v="None"/>
    <n v="0"/>
    <s v="TA"/>
    <s v="TA"/>
    <s v="PConc"/>
    <s v="TA"/>
    <s v="TA"/>
    <s v="Mn"/>
    <s v="BLQ"/>
    <n v="841"/>
    <s v="Unf"/>
    <n v="0"/>
    <n v="198"/>
    <n v="1039"/>
    <s v="GasA"/>
    <s v="Ex"/>
    <s v="Y"/>
    <s v="SBrkr"/>
    <n v="1039"/>
    <n v="0"/>
    <n v="0"/>
    <x v="613"/>
    <n v="1"/>
    <n v="0"/>
    <n v="1"/>
    <n v="1"/>
    <n v="3"/>
    <n v="1"/>
    <s v="TA"/>
    <n v="6"/>
    <s v="Typ"/>
    <n v="0"/>
    <s v="NA"/>
    <s v="Attchd"/>
    <n v="1965"/>
    <s v="Unf"/>
    <n v="2"/>
    <n v="504"/>
    <s v="TA"/>
    <s v="TA"/>
    <s v="Y"/>
    <n v="0"/>
    <n v="0"/>
    <n v="0"/>
    <n v="0"/>
    <n v="0"/>
    <n v="0"/>
    <s v="NA"/>
    <s v="NA"/>
    <s v="NA"/>
    <n v="0"/>
    <n v="4"/>
    <n v="2010"/>
    <s v="WD"/>
    <s v="Normal"/>
    <n v="131500"/>
  </r>
  <r>
    <n v="863"/>
    <n v="20"/>
    <s v="RL"/>
    <n v="81"/>
    <n v="9672"/>
    <s v="Pave"/>
    <s v="NA"/>
    <s v="Reg"/>
    <s v="Lvl"/>
    <s v="AllPub"/>
    <s v="Corner"/>
    <s v="Gtl"/>
    <x v="12"/>
    <x v="0"/>
    <s v="Norm"/>
    <x v="0"/>
    <x v="1"/>
    <n v="6"/>
    <n v="5"/>
    <x v="68"/>
    <n v="1985"/>
    <s v="Hip"/>
    <s v="CompShg"/>
    <s v="HdBoard"/>
    <s v="Plywood"/>
    <s v="None"/>
    <n v="0"/>
    <s v="TA"/>
    <s v="TA"/>
    <s v="PConc"/>
    <s v="Gd"/>
    <s v="TA"/>
    <s v="No"/>
    <s v="GLQ"/>
    <n v="338"/>
    <s v="Unf"/>
    <n v="0"/>
    <n v="702"/>
    <n v="1040"/>
    <s v="GasA"/>
    <s v="TA"/>
    <s v="Y"/>
    <s v="SBrkr"/>
    <n v="1097"/>
    <n v="0"/>
    <n v="0"/>
    <x v="34"/>
    <n v="0"/>
    <n v="0"/>
    <n v="2"/>
    <n v="0"/>
    <n v="3"/>
    <n v="1"/>
    <s v="TA"/>
    <n v="6"/>
    <s v="Typ"/>
    <n v="0"/>
    <s v="NA"/>
    <s v="Attchd"/>
    <n v="1986"/>
    <s v="Unf"/>
    <n v="2"/>
    <n v="480"/>
    <s v="TA"/>
    <s v="TA"/>
    <s v="Y"/>
    <n v="0"/>
    <n v="0"/>
    <n v="0"/>
    <n v="0"/>
    <n v="0"/>
    <n v="0"/>
    <s v="NA"/>
    <s v="GdPrv"/>
    <s v="NA"/>
    <n v="0"/>
    <n v="5"/>
    <n v="2010"/>
    <s v="WD"/>
    <s v="Normal"/>
    <n v="152000"/>
  </r>
  <r>
    <n v="864"/>
    <n v="20"/>
    <s v="RL"/>
    <n v="70"/>
    <n v="7931"/>
    <s v="Pave"/>
    <s v="NA"/>
    <s v="Reg"/>
    <s v="Lvl"/>
    <s v="AllPub"/>
    <s v="Inside"/>
    <s v="Gtl"/>
    <x v="11"/>
    <x v="0"/>
    <s v="Norm"/>
    <x v="0"/>
    <x v="1"/>
    <n v="5"/>
    <n v="5"/>
    <x v="28"/>
    <n v="1959"/>
    <s v="Hip"/>
    <s v="CompShg"/>
    <s v="BrkFace"/>
    <s v="Plywood"/>
    <s v="None"/>
    <n v="0"/>
    <s v="TA"/>
    <s v="TA"/>
    <s v="CBlock"/>
    <s v="TA"/>
    <s v="TA"/>
    <s v="No"/>
    <s v="BLQ"/>
    <n v="1148"/>
    <s v="Unf"/>
    <n v="0"/>
    <n v="0"/>
    <n v="1148"/>
    <s v="GasA"/>
    <s v="TA"/>
    <s v="Y"/>
    <s v="SBrkr"/>
    <n v="1148"/>
    <n v="0"/>
    <n v="0"/>
    <x v="528"/>
    <n v="1"/>
    <n v="0"/>
    <n v="1"/>
    <n v="0"/>
    <n v="3"/>
    <n v="1"/>
    <s v="TA"/>
    <n v="6"/>
    <s v="Typ"/>
    <n v="0"/>
    <s v="NA"/>
    <s v="Attchd"/>
    <n v="1959"/>
    <s v="Unf"/>
    <n v="1"/>
    <n v="672"/>
    <s v="TA"/>
    <s v="TA"/>
    <s v="Y"/>
    <n v="0"/>
    <n v="0"/>
    <n v="0"/>
    <n v="0"/>
    <n v="0"/>
    <n v="0"/>
    <s v="NA"/>
    <s v="GdPrv"/>
    <s v="NA"/>
    <n v="0"/>
    <n v="7"/>
    <n v="2009"/>
    <s v="WD"/>
    <s v="Normal"/>
    <n v="132500"/>
  </r>
  <r>
    <n v="865"/>
    <n v="20"/>
    <s v="FV"/>
    <n v="72"/>
    <n v="8640"/>
    <s v="Pave"/>
    <s v="NA"/>
    <s v="Reg"/>
    <s v="Lvl"/>
    <s v="AllPub"/>
    <s v="Inside"/>
    <s v="Gtl"/>
    <x v="5"/>
    <x v="0"/>
    <s v="Norm"/>
    <x v="0"/>
    <x v="1"/>
    <n v="7"/>
    <n v="5"/>
    <x v="22"/>
    <n v="2008"/>
    <s v="Gable"/>
    <s v="CompShg"/>
    <s v="VinylSd"/>
    <s v="VinylSd"/>
    <s v="None"/>
    <n v="0"/>
    <s v="Gd"/>
    <s v="TA"/>
    <s v="PConc"/>
    <s v="Ex"/>
    <s v="TA"/>
    <s v="No"/>
    <s v="Unf"/>
    <n v="0"/>
    <s v="Unf"/>
    <n v="0"/>
    <n v="1372"/>
    <n v="1372"/>
    <s v="GasA"/>
    <s v="Ex"/>
    <s v="Y"/>
    <s v="SBrkr"/>
    <n v="1372"/>
    <n v="0"/>
    <n v="0"/>
    <x v="614"/>
    <n v="0"/>
    <n v="0"/>
    <n v="2"/>
    <n v="0"/>
    <n v="3"/>
    <n v="1"/>
    <s v="Gd"/>
    <n v="6"/>
    <s v="Typ"/>
    <n v="0"/>
    <s v="NA"/>
    <s v="Attchd"/>
    <n v="2008"/>
    <s v="Fin"/>
    <n v="2"/>
    <n v="529"/>
    <s v="TA"/>
    <s v="TA"/>
    <s v="Y"/>
    <n v="0"/>
    <n v="140"/>
    <n v="0"/>
    <n v="0"/>
    <n v="0"/>
    <n v="0"/>
    <s v="NA"/>
    <s v="NA"/>
    <s v="NA"/>
    <n v="0"/>
    <n v="5"/>
    <n v="2008"/>
    <s v="New"/>
    <s v="Partial"/>
    <n v="250580"/>
  </r>
  <r>
    <n v="866"/>
    <n v="20"/>
    <s v="RL"/>
    <s v="NA"/>
    <n v="8750"/>
    <s v="Pave"/>
    <s v="NA"/>
    <s v="IR1"/>
    <s v="Lvl"/>
    <s v="AllPub"/>
    <s v="Inside"/>
    <s v="Gtl"/>
    <x v="11"/>
    <x v="0"/>
    <s v="Norm"/>
    <x v="0"/>
    <x v="1"/>
    <n v="5"/>
    <n v="6"/>
    <x v="16"/>
    <n v="1970"/>
    <s v="Gable"/>
    <s v="CompShg"/>
    <s v="MetalSd"/>
    <s v="MetalSd"/>
    <s v="BrkFace"/>
    <n v="76"/>
    <s v="TA"/>
    <s v="TA"/>
    <s v="CBlock"/>
    <s v="TA"/>
    <s v="TA"/>
    <s v="No"/>
    <s v="BLQ"/>
    <n v="828"/>
    <s v="Unf"/>
    <n v="0"/>
    <n v="174"/>
    <n v="1002"/>
    <s v="GasA"/>
    <s v="TA"/>
    <s v="Y"/>
    <s v="SBrkr"/>
    <n v="1002"/>
    <n v="0"/>
    <n v="0"/>
    <x v="615"/>
    <n v="1"/>
    <n v="0"/>
    <n v="1"/>
    <n v="0"/>
    <n v="3"/>
    <n v="1"/>
    <s v="TA"/>
    <n v="5"/>
    <s v="Typ"/>
    <n v="0"/>
    <s v="NA"/>
    <s v="Detchd"/>
    <n v="1973"/>
    <s v="Unf"/>
    <n v="2"/>
    <n v="902"/>
    <s v="TA"/>
    <s v="TA"/>
    <s v="Y"/>
    <n v="0"/>
    <n v="0"/>
    <n v="0"/>
    <n v="0"/>
    <n v="0"/>
    <n v="0"/>
    <s v="NA"/>
    <s v="MnPrv"/>
    <s v="NA"/>
    <n v="0"/>
    <n v="8"/>
    <n v="2009"/>
    <s v="WD"/>
    <s v="Normal"/>
    <n v="148500"/>
  </r>
  <r>
    <n v="867"/>
    <n v="20"/>
    <s v="RL"/>
    <n v="67"/>
    <n v="10656"/>
    <s v="Pave"/>
    <s v="NA"/>
    <s v="IR1"/>
    <s v="HLS"/>
    <s v="AllPub"/>
    <s v="Inside"/>
    <s v="Gtl"/>
    <x v="16"/>
    <x v="0"/>
    <s v="Norm"/>
    <x v="0"/>
    <x v="1"/>
    <n v="8"/>
    <n v="5"/>
    <x v="13"/>
    <n v="2007"/>
    <s v="Gable"/>
    <s v="CompShg"/>
    <s v="VinylSd"/>
    <s v="VinylSd"/>
    <s v="Stone"/>
    <n v="274"/>
    <s v="Gd"/>
    <s v="TA"/>
    <s v="PConc"/>
    <s v="Gd"/>
    <s v="TA"/>
    <s v="Av"/>
    <s v="Unf"/>
    <n v="0"/>
    <s v="Unf"/>
    <n v="0"/>
    <n v="1638"/>
    <n v="1638"/>
    <s v="GasA"/>
    <s v="Ex"/>
    <s v="Y"/>
    <s v="SBrkr"/>
    <n v="1646"/>
    <n v="0"/>
    <n v="0"/>
    <x v="607"/>
    <n v="0"/>
    <n v="0"/>
    <n v="2"/>
    <n v="0"/>
    <n v="3"/>
    <n v="1"/>
    <s v="Gd"/>
    <n v="6"/>
    <s v="Typ"/>
    <n v="1"/>
    <s v="Gd"/>
    <s v="Attchd"/>
    <n v="2007"/>
    <s v="RFn"/>
    <n v="3"/>
    <n v="870"/>
    <s v="TA"/>
    <s v="TA"/>
    <s v="Y"/>
    <n v="192"/>
    <n v="80"/>
    <n v="0"/>
    <n v="0"/>
    <n v="0"/>
    <n v="0"/>
    <s v="NA"/>
    <s v="NA"/>
    <s v="NA"/>
    <n v="0"/>
    <n v="11"/>
    <n v="2007"/>
    <s v="New"/>
    <s v="Partial"/>
    <n v="248900"/>
  </r>
  <r>
    <n v="868"/>
    <n v="20"/>
    <s v="RL"/>
    <n v="85"/>
    <n v="6970"/>
    <s v="Pave"/>
    <s v="NA"/>
    <s v="Reg"/>
    <s v="Lvl"/>
    <s v="AllPub"/>
    <s v="Corner"/>
    <s v="Gtl"/>
    <x v="9"/>
    <x v="1"/>
    <s v="Norm"/>
    <x v="0"/>
    <x v="1"/>
    <n v="4"/>
    <n v="5"/>
    <x v="53"/>
    <n v="1961"/>
    <s v="Gable"/>
    <s v="CompShg"/>
    <s v="VinylSd"/>
    <s v="VinylSd"/>
    <s v="None"/>
    <n v="0"/>
    <s v="TA"/>
    <s v="TA"/>
    <s v="CBlock"/>
    <s v="TA"/>
    <s v="TA"/>
    <s v="No"/>
    <s v="ALQ"/>
    <n v="932"/>
    <s v="Unf"/>
    <n v="0"/>
    <n v="108"/>
    <n v="1040"/>
    <s v="GasA"/>
    <s v="TA"/>
    <s v="Y"/>
    <s v="SBrkr"/>
    <n v="1120"/>
    <n v="0"/>
    <n v="0"/>
    <x v="474"/>
    <n v="1"/>
    <n v="0"/>
    <n v="1"/>
    <n v="1"/>
    <n v="3"/>
    <n v="1"/>
    <s v="Fa"/>
    <n v="5"/>
    <s v="Typ"/>
    <n v="0"/>
    <s v="NA"/>
    <s v="Attchd"/>
    <n v="1961"/>
    <s v="RFn"/>
    <n v="2"/>
    <n v="544"/>
    <s v="TA"/>
    <s v="TA"/>
    <s v="Y"/>
    <n v="168"/>
    <n v="0"/>
    <n v="0"/>
    <n v="0"/>
    <n v="0"/>
    <n v="0"/>
    <s v="NA"/>
    <s v="NA"/>
    <s v="Shed"/>
    <n v="400"/>
    <n v="5"/>
    <n v="2007"/>
    <s v="WD"/>
    <s v="Normal"/>
    <n v="129000"/>
  </r>
  <r>
    <n v="869"/>
    <n v="60"/>
    <s v="RL"/>
    <s v="NA"/>
    <n v="14762"/>
    <s v="Pave"/>
    <s v="NA"/>
    <s v="IR2"/>
    <s v="Lvl"/>
    <s v="AllPub"/>
    <s v="Corner"/>
    <s v="Gtl"/>
    <x v="17"/>
    <x v="1"/>
    <s v="Norm"/>
    <x v="0"/>
    <x v="0"/>
    <n v="5"/>
    <n v="6"/>
    <x v="47"/>
    <n v="1950"/>
    <s v="Gable"/>
    <s v="CompShg"/>
    <s v="Plywood"/>
    <s v="Plywood"/>
    <s v="None"/>
    <n v="0"/>
    <s v="TA"/>
    <s v="TA"/>
    <s v="Slab"/>
    <s v="NA"/>
    <s v="NA"/>
    <s v="NA"/>
    <s v="NA"/>
    <n v="0"/>
    <s v="NA"/>
    <n v="0"/>
    <n v="0"/>
    <n v="0"/>
    <s v="GasA"/>
    <s v="Gd"/>
    <s v="Y"/>
    <s v="SBrkr"/>
    <n v="1547"/>
    <n v="720"/>
    <n v="53"/>
    <x v="108"/>
    <n v="0"/>
    <n v="0"/>
    <n v="2"/>
    <n v="0"/>
    <n v="2"/>
    <n v="1"/>
    <s v="TA"/>
    <n v="7"/>
    <s v="Typ"/>
    <n v="1"/>
    <s v="TA"/>
    <s v="Attchd"/>
    <n v="1979"/>
    <s v="Unf"/>
    <n v="2"/>
    <n v="672"/>
    <s v="TA"/>
    <s v="TA"/>
    <s v="P"/>
    <n v="120"/>
    <n v="144"/>
    <n v="0"/>
    <n v="0"/>
    <n v="0"/>
    <n v="0"/>
    <s v="NA"/>
    <s v="NA"/>
    <s v="NA"/>
    <n v="0"/>
    <n v="5"/>
    <n v="2006"/>
    <s v="WD"/>
    <s v="Normal"/>
    <n v="169000"/>
  </r>
  <r>
    <n v="870"/>
    <n v="60"/>
    <s v="RL"/>
    <n v="80"/>
    <n v="9938"/>
    <s v="Pave"/>
    <s v="NA"/>
    <s v="Reg"/>
    <s v="Lvl"/>
    <s v="AllPub"/>
    <s v="Inside"/>
    <s v="Gtl"/>
    <x v="12"/>
    <x v="0"/>
    <s v="Norm"/>
    <x v="0"/>
    <x v="0"/>
    <n v="7"/>
    <n v="5"/>
    <x v="5"/>
    <n v="1994"/>
    <s v="Gable"/>
    <s v="CompShg"/>
    <s v="MetalSd"/>
    <s v="MetalSd"/>
    <s v="BrkFace"/>
    <n v="246"/>
    <s v="Gd"/>
    <s v="TA"/>
    <s v="PConc"/>
    <s v="Gd"/>
    <s v="TA"/>
    <s v="No"/>
    <s v="GLQ"/>
    <n v="750"/>
    <s v="Unf"/>
    <n v="0"/>
    <n v="300"/>
    <n v="1050"/>
    <s v="GasA"/>
    <s v="Ex"/>
    <s v="Y"/>
    <s v="SBrkr"/>
    <n v="1062"/>
    <n v="887"/>
    <n v="0"/>
    <x v="616"/>
    <n v="1"/>
    <n v="0"/>
    <n v="2"/>
    <n v="1"/>
    <n v="3"/>
    <n v="1"/>
    <s v="Gd"/>
    <n v="8"/>
    <s v="Typ"/>
    <n v="1"/>
    <s v="TA"/>
    <s v="Attchd"/>
    <n v="1993"/>
    <s v="Fin"/>
    <n v="2"/>
    <n v="574"/>
    <s v="TA"/>
    <s v="TA"/>
    <s v="Y"/>
    <n v="156"/>
    <n v="90"/>
    <n v="0"/>
    <n v="0"/>
    <n v="0"/>
    <n v="0"/>
    <s v="NA"/>
    <s v="GdPrv"/>
    <s v="NA"/>
    <n v="0"/>
    <n v="6"/>
    <n v="2010"/>
    <s v="WD"/>
    <s v="Normal"/>
    <n v="236000"/>
  </r>
  <r>
    <n v="871"/>
    <n v="20"/>
    <s v="RL"/>
    <n v="60"/>
    <n v="6600"/>
    <s v="Pave"/>
    <s v="NA"/>
    <s v="Reg"/>
    <s v="Lvl"/>
    <s v="AllPub"/>
    <s v="Inside"/>
    <s v="Gtl"/>
    <x v="11"/>
    <x v="2"/>
    <s v="Norm"/>
    <x v="0"/>
    <x v="1"/>
    <n v="5"/>
    <n v="5"/>
    <x v="12"/>
    <n v="1962"/>
    <s v="Hip"/>
    <s v="CompShg"/>
    <s v="MetalSd"/>
    <s v="MetalSd"/>
    <s v="None"/>
    <n v="0"/>
    <s v="TA"/>
    <s v="TA"/>
    <s v="CBlock"/>
    <s v="TA"/>
    <s v="TA"/>
    <s v="No"/>
    <s v="Unf"/>
    <n v="0"/>
    <s v="Unf"/>
    <n v="0"/>
    <n v="894"/>
    <n v="894"/>
    <s v="GasA"/>
    <s v="Gd"/>
    <s v="N"/>
    <s v="SBrkr"/>
    <n v="894"/>
    <n v="0"/>
    <n v="0"/>
    <x v="204"/>
    <n v="0"/>
    <n v="0"/>
    <n v="1"/>
    <n v="0"/>
    <n v="2"/>
    <n v="1"/>
    <s v="TA"/>
    <n v="5"/>
    <s v="Typ"/>
    <n v="0"/>
    <s v="NA"/>
    <s v="Detchd"/>
    <n v="1962"/>
    <s v="Unf"/>
    <n v="1"/>
    <n v="308"/>
    <s v="TA"/>
    <s v="TA"/>
    <s v="Y"/>
    <n v="0"/>
    <n v="0"/>
    <n v="0"/>
    <n v="0"/>
    <n v="0"/>
    <n v="0"/>
    <s v="NA"/>
    <s v="NA"/>
    <s v="NA"/>
    <n v="0"/>
    <n v="8"/>
    <n v="2009"/>
    <s v="WD"/>
    <s v="Normal"/>
    <n v="109500"/>
  </r>
  <r>
    <n v="872"/>
    <n v="60"/>
    <s v="RL"/>
    <n v="70"/>
    <n v="8750"/>
    <s v="Pave"/>
    <s v="NA"/>
    <s v="Reg"/>
    <s v="Lvl"/>
    <s v="AllPub"/>
    <s v="Inside"/>
    <s v="Gtl"/>
    <x v="0"/>
    <x v="0"/>
    <s v="Norm"/>
    <x v="0"/>
    <x v="0"/>
    <n v="6"/>
    <n v="5"/>
    <x v="45"/>
    <n v="1998"/>
    <s v="Gable"/>
    <s v="CompShg"/>
    <s v="VinylSd"/>
    <s v="VinylSd"/>
    <s v="BrkFace"/>
    <n v="116"/>
    <s v="TA"/>
    <s v="TA"/>
    <s v="PConc"/>
    <s v="Gd"/>
    <s v="TA"/>
    <s v="No"/>
    <s v="GLQ"/>
    <n v="505"/>
    <s v="Unf"/>
    <n v="0"/>
    <n v="299"/>
    <n v="804"/>
    <s v="GasA"/>
    <s v="Ex"/>
    <s v="Y"/>
    <s v="SBrkr"/>
    <n v="804"/>
    <n v="878"/>
    <n v="0"/>
    <x v="127"/>
    <n v="0"/>
    <n v="0"/>
    <n v="2"/>
    <n v="1"/>
    <n v="3"/>
    <n v="1"/>
    <s v="Gd"/>
    <n v="7"/>
    <s v="Typ"/>
    <n v="0"/>
    <s v="NA"/>
    <s v="Attchd"/>
    <n v="1998"/>
    <s v="RFn"/>
    <n v="2"/>
    <n v="523"/>
    <s v="TA"/>
    <s v="TA"/>
    <s v="Y"/>
    <n v="0"/>
    <n v="77"/>
    <n v="0"/>
    <n v="0"/>
    <n v="0"/>
    <n v="0"/>
    <s v="NA"/>
    <s v="NA"/>
    <s v="NA"/>
    <n v="0"/>
    <n v="6"/>
    <n v="2010"/>
    <s v="WD"/>
    <s v="Normal"/>
    <n v="200500"/>
  </r>
  <r>
    <n v="873"/>
    <n v="20"/>
    <s v="RL"/>
    <n v="74"/>
    <n v="8892"/>
    <s v="Pave"/>
    <s v="NA"/>
    <s v="Reg"/>
    <s v="Lvl"/>
    <s v="AllPub"/>
    <s v="Corner"/>
    <s v="Gtl"/>
    <x v="11"/>
    <x v="0"/>
    <s v="Norm"/>
    <x v="0"/>
    <x v="1"/>
    <n v="5"/>
    <n v="7"/>
    <x v="31"/>
    <n v="1996"/>
    <s v="Gable"/>
    <s v="CompShg"/>
    <s v="WdShing"/>
    <s v="Wd Shng"/>
    <s v="None"/>
    <n v="0"/>
    <s v="Gd"/>
    <s v="TA"/>
    <s v="Stone"/>
    <s v="TA"/>
    <s v="TA"/>
    <s v="Av"/>
    <s v="Unf"/>
    <n v="0"/>
    <s v="Unf"/>
    <n v="0"/>
    <n v="105"/>
    <n v="105"/>
    <s v="GasA"/>
    <s v="Gd"/>
    <s v="Y"/>
    <s v="SBrkr"/>
    <n v="910"/>
    <n v="0"/>
    <n v="0"/>
    <x v="617"/>
    <n v="0"/>
    <n v="0"/>
    <n v="1"/>
    <n v="0"/>
    <n v="3"/>
    <n v="1"/>
    <s v="Gd"/>
    <n v="5"/>
    <s v="Typ"/>
    <n v="0"/>
    <s v="NA"/>
    <s v="Attchd"/>
    <n v="1953"/>
    <s v="Unf"/>
    <n v="2"/>
    <n v="414"/>
    <s v="TA"/>
    <s v="TA"/>
    <s v="Y"/>
    <n v="196"/>
    <n v="0"/>
    <n v="150"/>
    <n v="0"/>
    <n v="0"/>
    <n v="0"/>
    <s v="NA"/>
    <s v="GdWo"/>
    <s v="NA"/>
    <n v="0"/>
    <n v="10"/>
    <n v="2008"/>
    <s v="WD"/>
    <s v="Normal"/>
    <n v="116000"/>
  </r>
  <r>
    <n v="874"/>
    <n v="40"/>
    <s v="RL"/>
    <n v="60"/>
    <n v="12144"/>
    <s v="Pave"/>
    <s v="NA"/>
    <s v="Reg"/>
    <s v="Lvl"/>
    <s v="AllPub"/>
    <s v="Inside"/>
    <s v="Gtl"/>
    <x v="11"/>
    <x v="0"/>
    <s v="Norm"/>
    <x v="0"/>
    <x v="1"/>
    <n v="5"/>
    <n v="7"/>
    <x v="87"/>
    <n v="1950"/>
    <s v="Gable"/>
    <s v="CompShg"/>
    <s v="HdBoard"/>
    <s v="HdBoard"/>
    <s v="None"/>
    <n v="0"/>
    <s v="Gd"/>
    <s v="TA"/>
    <s v="CBlock"/>
    <s v="TA"/>
    <s v="TA"/>
    <s v="No"/>
    <s v="Rec"/>
    <n v="375"/>
    <s v="Unf"/>
    <n v="0"/>
    <n v="457"/>
    <n v="832"/>
    <s v="GasA"/>
    <s v="Gd"/>
    <s v="Y"/>
    <s v="SBrkr"/>
    <n v="1036"/>
    <n v="0"/>
    <n v="232"/>
    <x v="305"/>
    <n v="0"/>
    <n v="0"/>
    <n v="1"/>
    <n v="0"/>
    <n v="3"/>
    <n v="1"/>
    <s v="TA"/>
    <n v="6"/>
    <s v="Typ"/>
    <n v="1"/>
    <s v="Gd"/>
    <s v="Attchd"/>
    <n v="1949"/>
    <s v="Unf"/>
    <n v="1"/>
    <n v="288"/>
    <s v="TA"/>
    <s v="TA"/>
    <s v="Y"/>
    <n v="0"/>
    <n v="28"/>
    <n v="0"/>
    <n v="0"/>
    <n v="0"/>
    <n v="0"/>
    <s v="NA"/>
    <s v="NA"/>
    <s v="Othr"/>
    <n v="0"/>
    <n v="9"/>
    <n v="2009"/>
    <s v="WD"/>
    <s v="Normal"/>
    <n v="133000"/>
  </r>
  <r>
    <n v="875"/>
    <n v="50"/>
    <s v="RM"/>
    <n v="52"/>
    <n v="5720"/>
    <s v="Pave"/>
    <s v="NA"/>
    <s v="Reg"/>
    <s v="Lvl"/>
    <s v="AllPub"/>
    <s v="Inside"/>
    <s v="Gtl"/>
    <x v="7"/>
    <x v="3"/>
    <s v="Norm"/>
    <x v="0"/>
    <x v="2"/>
    <n v="5"/>
    <n v="6"/>
    <x v="71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676"/>
    <n v="676"/>
    <s v="GasA"/>
    <s v="Ex"/>
    <s v="Y"/>
    <s v="SBrkr"/>
    <n v="676"/>
    <n v="455"/>
    <n v="0"/>
    <x v="385"/>
    <n v="0"/>
    <n v="0"/>
    <n v="1"/>
    <n v="1"/>
    <n v="3"/>
    <n v="1"/>
    <s v="TA"/>
    <n v="5"/>
    <s v="Typ"/>
    <n v="0"/>
    <s v="NA"/>
    <s v="Detchd"/>
    <n v="1941"/>
    <s v="Unf"/>
    <n v="1"/>
    <n v="200"/>
    <s v="TA"/>
    <s v="TA"/>
    <s v="Y"/>
    <n v="26"/>
    <n v="0"/>
    <n v="0"/>
    <n v="0"/>
    <n v="0"/>
    <n v="0"/>
    <s v="NA"/>
    <s v="NA"/>
    <s v="NA"/>
    <n v="0"/>
    <n v="8"/>
    <n v="2009"/>
    <s v="WD"/>
    <s v="Abnorml"/>
    <n v="66500"/>
  </r>
  <r>
    <n v="876"/>
    <n v="60"/>
    <s v="FV"/>
    <n v="75"/>
    <n v="9000"/>
    <s v="Pave"/>
    <s v="NA"/>
    <s v="Reg"/>
    <s v="Lvl"/>
    <s v="AllPub"/>
    <s v="Inside"/>
    <s v="Gtl"/>
    <x v="5"/>
    <x v="0"/>
    <s v="Norm"/>
    <x v="0"/>
    <x v="0"/>
    <n v="8"/>
    <n v="5"/>
    <x v="22"/>
    <n v="2007"/>
    <s v="Gable"/>
    <s v="CompShg"/>
    <s v="CemntBd"/>
    <s v="CmentBd"/>
    <s v="None"/>
    <n v="0"/>
    <s v="Gd"/>
    <s v="TA"/>
    <s v="PConc"/>
    <s v="Gd"/>
    <s v="TA"/>
    <s v="Av"/>
    <s v="GLQ"/>
    <n v="64"/>
    <s v="Unf"/>
    <n v="0"/>
    <n v="1120"/>
    <n v="1184"/>
    <s v="GasA"/>
    <s v="Ex"/>
    <s v="Y"/>
    <s v="SBrkr"/>
    <n v="1184"/>
    <n v="1426"/>
    <n v="0"/>
    <x v="618"/>
    <n v="0"/>
    <n v="0"/>
    <n v="2"/>
    <n v="1"/>
    <n v="4"/>
    <n v="1"/>
    <s v="Ex"/>
    <n v="11"/>
    <s v="Typ"/>
    <n v="1"/>
    <s v="Gd"/>
    <s v="BuiltIn"/>
    <n v="2007"/>
    <s v="Fin"/>
    <n v="2"/>
    <n v="550"/>
    <s v="TA"/>
    <s v="TA"/>
    <s v="Y"/>
    <n v="208"/>
    <n v="364"/>
    <n v="0"/>
    <n v="0"/>
    <n v="0"/>
    <n v="0"/>
    <s v="NA"/>
    <s v="NA"/>
    <s v="NA"/>
    <n v="0"/>
    <n v="8"/>
    <n v="2007"/>
    <s v="New"/>
    <s v="Partial"/>
    <n v="303477"/>
  </r>
  <r>
    <n v="877"/>
    <n v="20"/>
    <s v="RL"/>
    <n v="94"/>
    <n v="25286"/>
    <s v="Pave"/>
    <s v="NA"/>
    <s v="Reg"/>
    <s v="HLS"/>
    <s v="AllPub"/>
    <s v="Inside"/>
    <s v="Mod"/>
    <x v="4"/>
    <x v="0"/>
    <s v="Norm"/>
    <x v="0"/>
    <x v="1"/>
    <n v="4"/>
    <n v="5"/>
    <x v="37"/>
    <n v="1963"/>
    <s v="Gable"/>
    <s v="CompShg"/>
    <s v="HdBoard"/>
    <s v="Plywood"/>
    <s v="None"/>
    <n v="0"/>
    <s v="TA"/>
    <s v="TA"/>
    <s v="PConc"/>
    <s v="TA"/>
    <s v="TA"/>
    <s v="Gd"/>
    <s v="ALQ"/>
    <n v="633"/>
    <s v="Unf"/>
    <n v="0"/>
    <n v="431"/>
    <n v="1064"/>
    <s v="GasA"/>
    <s v="Gd"/>
    <s v="Y"/>
    <s v="SBrkr"/>
    <n v="1040"/>
    <n v="0"/>
    <n v="0"/>
    <x v="10"/>
    <n v="1"/>
    <n v="0"/>
    <n v="1"/>
    <n v="0"/>
    <n v="3"/>
    <n v="1"/>
    <s v="TA"/>
    <n v="5"/>
    <s v="Typ"/>
    <n v="0"/>
    <s v="NA"/>
    <s v="Attchd"/>
    <n v="1963"/>
    <s v="Unf"/>
    <n v="2"/>
    <n v="648"/>
    <s v="TA"/>
    <s v="TA"/>
    <s v="Y"/>
    <n v="0"/>
    <n v="0"/>
    <n v="0"/>
    <n v="0"/>
    <n v="0"/>
    <n v="0"/>
    <s v="NA"/>
    <s v="NA"/>
    <s v="NA"/>
    <n v="0"/>
    <n v="1"/>
    <n v="2007"/>
    <s v="WD"/>
    <s v="Normal"/>
    <n v="132250"/>
  </r>
  <r>
    <n v="878"/>
    <n v="60"/>
    <s v="RL"/>
    <n v="74"/>
    <n v="8834"/>
    <s v="Pave"/>
    <s v="NA"/>
    <s v="Reg"/>
    <s v="Lvl"/>
    <s v="AllPub"/>
    <s v="Inside"/>
    <s v="Gtl"/>
    <x v="10"/>
    <x v="0"/>
    <s v="Norm"/>
    <x v="0"/>
    <x v="0"/>
    <n v="9"/>
    <n v="5"/>
    <x v="6"/>
    <n v="2005"/>
    <s v="Hip"/>
    <s v="CompShg"/>
    <s v="VinylSd"/>
    <s v="VinylSd"/>
    <s v="Stone"/>
    <n v="216"/>
    <s v="Gd"/>
    <s v="TA"/>
    <s v="PConc"/>
    <s v="Ex"/>
    <s v="TA"/>
    <s v="No"/>
    <s v="GLQ"/>
    <n v="1170"/>
    <s v="Unf"/>
    <n v="0"/>
    <n v="292"/>
    <n v="1462"/>
    <s v="GasA"/>
    <s v="Ex"/>
    <s v="Y"/>
    <s v="SBrkr"/>
    <n v="1462"/>
    <n v="762"/>
    <n v="0"/>
    <x v="619"/>
    <n v="1"/>
    <n v="0"/>
    <n v="2"/>
    <n v="1"/>
    <n v="4"/>
    <n v="1"/>
    <s v="Ex"/>
    <n v="10"/>
    <s v="Typ"/>
    <n v="1"/>
    <s v="Gd"/>
    <s v="Attchd"/>
    <n v="2004"/>
    <s v="Fin"/>
    <n v="3"/>
    <n v="738"/>
    <s v="TA"/>
    <s v="TA"/>
    <s v="Y"/>
    <n v="184"/>
    <n v="0"/>
    <n v="0"/>
    <n v="0"/>
    <n v="0"/>
    <n v="0"/>
    <s v="NA"/>
    <s v="NA"/>
    <s v="NA"/>
    <n v="0"/>
    <n v="6"/>
    <n v="2009"/>
    <s v="WD"/>
    <s v="Normal"/>
    <n v="350000"/>
  </r>
  <r>
    <n v="879"/>
    <n v="85"/>
    <s v="RL"/>
    <n v="88"/>
    <n v="11782"/>
    <s v="Pave"/>
    <s v="NA"/>
    <s v="IR1"/>
    <s v="Lvl"/>
    <s v="AllPub"/>
    <s v="Inside"/>
    <s v="Gtl"/>
    <x v="9"/>
    <x v="0"/>
    <s v="Norm"/>
    <x v="0"/>
    <x v="4"/>
    <n v="5"/>
    <n v="7"/>
    <x v="53"/>
    <n v="1995"/>
    <s v="Gable"/>
    <s v="CompShg"/>
    <s v="HdBoard"/>
    <s v="HdBoard"/>
    <s v="None"/>
    <n v="0"/>
    <s v="TA"/>
    <s v="TA"/>
    <s v="CBlock"/>
    <s v="TA"/>
    <s v="TA"/>
    <s v="Av"/>
    <s v="ALQ"/>
    <n v="899"/>
    <s v="Unf"/>
    <n v="0"/>
    <n v="210"/>
    <n v="1109"/>
    <s v="GasA"/>
    <s v="TA"/>
    <s v="Y"/>
    <s v="SBrkr"/>
    <n v="1155"/>
    <n v="0"/>
    <n v="0"/>
    <x v="620"/>
    <n v="1"/>
    <n v="0"/>
    <n v="1"/>
    <n v="0"/>
    <n v="3"/>
    <n v="1"/>
    <s v="Gd"/>
    <n v="6"/>
    <s v="Min2"/>
    <n v="0"/>
    <s v="NA"/>
    <s v="Detchd"/>
    <n v="1987"/>
    <s v="Unf"/>
    <n v="2"/>
    <n v="576"/>
    <s v="TA"/>
    <s v="TA"/>
    <s v="Y"/>
    <n v="192"/>
    <n v="0"/>
    <n v="0"/>
    <n v="0"/>
    <n v="0"/>
    <n v="0"/>
    <s v="NA"/>
    <s v="MnPrv"/>
    <s v="Shed"/>
    <n v="400"/>
    <n v="6"/>
    <n v="2010"/>
    <s v="WD"/>
    <s v="Normal"/>
    <n v="148000"/>
  </r>
  <r>
    <n v="880"/>
    <n v="20"/>
    <s v="RL"/>
    <s v="NA"/>
    <n v="7000"/>
    <s v="Pave"/>
    <s v="NA"/>
    <s v="IR1"/>
    <s v="Lvl"/>
    <s v="AllPub"/>
    <s v="CulDSac"/>
    <s v="Gtl"/>
    <x v="0"/>
    <x v="0"/>
    <s v="Norm"/>
    <x v="0"/>
    <x v="1"/>
    <n v="5"/>
    <n v="8"/>
    <x v="90"/>
    <n v="2005"/>
    <s v="Gable"/>
    <s v="CompShg"/>
    <s v="VinylSd"/>
    <s v="VinylSd"/>
    <s v="BrkFace"/>
    <n v="90"/>
    <s v="Gd"/>
    <s v="Gd"/>
    <s v="CBlock"/>
    <s v="TA"/>
    <s v="TA"/>
    <s v="No"/>
    <s v="ALQ"/>
    <n v="646"/>
    <s v="Unf"/>
    <n v="0"/>
    <n v="218"/>
    <n v="864"/>
    <s v="GasA"/>
    <s v="Ex"/>
    <s v="Y"/>
    <s v="SBrkr"/>
    <n v="864"/>
    <n v="0"/>
    <n v="0"/>
    <x v="132"/>
    <n v="1"/>
    <n v="0"/>
    <n v="1"/>
    <n v="0"/>
    <n v="3"/>
    <n v="1"/>
    <s v="TA"/>
    <n v="6"/>
    <s v="Typ"/>
    <n v="0"/>
    <s v="NA"/>
    <s v="Attchd"/>
    <n v="1978"/>
    <s v="Unf"/>
    <n v="1"/>
    <n v="336"/>
    <s v="TA"/>
    <s v="TA"/>
    <s v="Y"/>
    <n v="0"/>
    <n v="0"/>
    <n v="0"/>
    <n v="0"/>
    <n v="0"/>
    <n v="0"/>
    <s v="NA"/>
    <s v="GdWo"/>
    <s v="NA"/>
    <n v="0"/>
    <n v="7"/>
    <n v="2009"/>
    <s v="WD"/>
    <s v="Normal"/>
    <n v="136500"/>
  </r>
  <r>
    <n v="881"/>
    <n v="20"/>
    <s v="RL"/>
    <n v="60"/>
    <n v="7024"/>
    <s v="Pave"/>
    <s v="NA"/>
    <s v="Reg"/>
    <s v="Lvl"/>
    <s v="AllPub"/>
    <s v="Inside"/>
    <s v="Gtl"/>
    <x v="15"/>
    <x v="0"/>
    <s v="Norm"/>
    <x v="0"/>
    <x v="1"/>
    <n v="5"/>
    <n v="5"/>
    <x v="11"/>
    <n v="2006"/>
    <s v="Gable"/>
    <s v="CompShg"/>
    <s v="VinylSd"/>
    <s v="VinylSd"/>
    <s v="None"/>
    <n v="0"/>
    <s v="TA"/>
    <s v="TA"/>
    <s v="PConc"/>
    <s v="Ex"/>
    <s v="Gd"/>
    <s v="No"/>
    <s v="ALQ"/>
    <n v="980"/>
    <s v="Unf"/>
    <n v="0"/>
    <n v="110"/>
    <n v="1090"/>
    <s v="GasA"/>
    <s v="Gd"/>
    <s v="Y"/>
    <s v="SBrkr"/>
    <n v="1090"/>
    <n v="0"/>
    <n v="0"/>
    <x v="621"/>
    <n v="1"/>
    <n v="0"/>
    <n v="1"/>
    <n v="1"/>
    <n v="2"/>
    <n v="1"/>
    <s v="TA"/>
    <n v="5"/>
    <s v="Typ"/>
    <n v="0"/>
    <s v="NA"/>
    <s v="Attchd"/>
    <n v="2005"/>
    <s v="Fin"/>
    <n v="2"/>
    <n v="450"/>
    <s v="TA"/>
    <s v="TA"/>
    <s v="Y"/>
    <n v="0"/>
    <n v="49"/>
    <n v="0"/>
    <n v="0"/>
    <n v="0"/>
    <n v="0"/>
    <s v="NA"/>
    <s v="NA"/>
    <s v="NA"/>
    <n v="0"/>
    <n v="6"/>
    <n v="2007"/>
    <s v="WD"/>
    <s v="Normal"/>
    <n v="157000"/>
  </r>
  <r>
    <n v="882"/>
    <n v="50"/>
    <s v="RL"/>
    <n v="44"/>
    <n v="13758"/>
    <s v="Pave"/>
    <s v="NA"/>
    <s v="IR1"/>
    <s v="Lvl"/>
    <s v="AllPub"/>
    <s v="CulDSac"/>
    <s v="Gtl"/>
    <x v="16"/>
    <x v="0"/>
    <s v="Norm"/>
    <x v="0"/>
    <x v="2"/>
    <n v="7"/>
    <n v="5"/>
    <x v="59"/>
    <n v="1991"/>
    <s v="Gable"/>
    <s v="CompShg"/>
    <s v="HdBoard"/>
    <s v="HdBoard"/>
    <s v="BrkFace"/>
    <n v="117"/>
    <s v="Gd"/>
    <s v="Gd"/>
    <s v="CBlock"/>
    <s v="Gd"/>
    <s v="TA"/>
    <s v="Mn"/>
    <s v="LwQ"/>
    <n v="902"/>
    <s v="Unf"/>
    <n v="0"/>
    <n v="254"/>
    <n v="1156"/>
    <s v="GasA"/>
    <s v="Ex"/>
    <s v="Y"/>
    <s v="SBrkr"/>
    <n v="1187"/>
    <n v="530"/>
    <n v="0"/>
    <x v="3"/>
    <n v="0"/>
    <n v="0"/>
    <n v="2"/>
    <n v="1"/>
    <n v="3"/>
    <n v="1"/>
    <s v="Gd"/>
    <n v="7"/>
    <s v="Typ"/>
    <n v="1"/>
    <s v="TA"/>
    <s v="Attchd"/>
    <n v="1990"/>
    <s v="RFn"/>
    <n v="2"/>
    <n v="400"/>
    <s v="TA"/>
    <s v="TA"/>
    <s v="Y"/>
    <n v="168"/>
    <n v="36"/>
    <n v="0"/>
    <n v="0"/>
    <n v="0"/>
    <n v="0"/>
    <s v="NA"/>
    <s v="NA"/>
    <s v="NA"/>
    <n v="0"/>
    <n v="4"/>
    <n v="2007"/>
    <s v="WD"/>
    <s v="Normal"/>
    <n v="187500"/>
  </r>
  <r>
    <n v="883"/>
    <n v="60"/>
    <s v="RL"/>
    <s v="NA"/>
    <n v="9636"/>
    <s v="Pave"/>
    <s v="NA"/>
    <s v="IR1"/>
    <s v="Lvl"/>
    <s v="AllPub"/>
    <s v="Corner"/>
    <s v="Gtl"/>
    <x v="17"/>
    <x v="0"/>
    <s v="Norm"/>
    <x v="0"/>
    <x v="0"/>
    <n v="6"/>
    <n v="5"/>
    <x v="86"/>
    <n v="1993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808"/>
    <n v="808"/>
    <s v="GasA"/>
    <s v="Gd"/>
    <s v="Y"/>
    <s v="SBrkr"/>
    <n v="808"/>
    <n v="785"/>
    <n v="0"/>
    <x v="172"/>
    <n v="0"/>
    <n v="0"/>
    <n v="2"/>
    <n v="1"/>
    <n v="3"/>
    <n v="1"/>
    <s v="TA"/>
    <n v="7"/>
    <s v="Typ"/>
    <n v="1"/>
    <s v="TA"/>
    <s v="BuiltIn"/>
    <n v="1993"/>
    <s v="RFn"/>
    <n v="2"/>
    <n v="389"/>
    <s v="TA"/>
    <s v="TA"/>
    <s v="Y"/>
    <n v="342"/>
    <n v="40"/>
    <n v="0"/>
    <n v="0"/>
    <n v="0"/>
    <n v="0"/>
    <s v="NA"/>
    <s v="MnPrv"/>
    <s v="NA"/>
    <n v="0"/>
    <n v="12"/>
    <n v="2009"/>
    <s v="WD"/>
    <s v="Normal"/>
    <n v="178000"/>
  </r>
  <r>
    <n v="884"/>
    <n v="75"/>
    <s v="RL"/>
    <n v="60"/>
    <n v="6204"/>
    <s v="Pave"/>
    <s v="NA"/>
    <s v="Reg"/>
    <s v="Bnk"/>
    <s v="AllPub"/>
    <s v="Inside"/>
    <s v="Gtl"/>
    <x v="23"/>
    <x v="0"/>
    <s v="Norm"/>
    <x v="0"/>
    <x v="7"/>
    <n v="4"/>
    <n v="5"/>
    <x v="80"/>
    <n v="1950"/>
    <s v="Gable"/>
    <s v="CompShg"/>
    <s v="Wd Sdng"/>
    <s v="Wd Sdng"/>
    <s v="None"/>
    <n v="0"/>
    <s v="Gd"/>
    <s v="TA"/>
    <s v="PConc"/>
    <s v="TA"/>
    <s v="Fa"/>
    <s v="No"/>
    <s v="Unf"/>
    <n v="0"/>
    <s v="Unf"/>
    <n v="0"/>
    <n v="795"/>
    <n v="795"/>
    <s v="GasA"/>
    <s v="TA"/>
    <s v="N"/>
    <s v="SBrkr"/>
    <n v="954"/>
    <n v="795"/>
    <n v="481"/>
    <x v="622"/>
    <n v="1"/>
    <n v="0"/>
    <n v="1"/>
    <n v="0"/>
    <n v="5"/>
    <n v="1"/>
    <s v="TA"/>
    <n v="10"/>
    <s v="Typ"/>
    <n v="0"/>
    <s v="NA"/>
    <s v="Detchd"/>
    <n v="1997"/>
    <s v="Unf"/>
    <n v="1"/>
    <n v="440"/>
    <s v="TA"/>
    <s v="Gd"/>
    <s v="Y"/>
    <n v="0"/>
    <n v="188"/>
    <n v="0"/>
    <n v="0"/>
    <n v="0"/>
    <n v="0"/>
    <s v="NA"/>
    <s v="NA"/>
    <s v="NA"/>
    <n v="0"/>
    <n v="3"/>
    <n v="2006"/>
    <s v="WD"/>
    <s v="Normal"/>
    <n v="118500"/>
  </r>
  <r>
    <n v="885"/>
    <n v="20"/>
    <s v="RL"/>
    <n v="65"/>
    <n v="7150"/>
    <s v="Pave"/>
    <s v="NA"/>
    <s v="Reg"/>
    <s v="Lvl"/>
    <s v="AllPub"/>
    <s v="Inside"/>
    <s v="Gtl"/>
    <x v="11"/>
    <x v="0"/>
    <s v="Norm"/>
    <x v="0"/>
    <x v="1"/>
    <n v="5"/>
    <n v="5"/>
    <x v="17"/>
    <n v="1967"/>
    <s v="Gable"/>
    <s v="CompShg"/>
    <s v="HdBoard"/>
    <s v="HdBoard"/>
    <s v="BrkFace"/>
    <n v="60"/>
    <s v="TA"/>
    <s v="TA"/>
    <s v="CBlock"/>
    <s v="TA"/>
    <s v="TA"/>
    <s v="No"/>
    <s v="BLQ"/>
    <n v="432"/>
    <s v="Unf"/>
    <n v="0"/>
    <n v="460"/>
    <n v="892"/>
    <s v="GasA"/>
    <s v="TA"/>
    <s v="Y"/>
    <s v="SBrkr"/>
    <n v="892"/>
    <n v="0"/>
    <n v="0"/>
    <x v="623"/>
    <n v="0"/>
    <n v="0"/>
    <n v="1"/>
    <n v="0"/>
    <n v="3"/>
    <n v="1"/>
    <s v="TA"/>
    <n v="5"/>
    <s v="Typ"/>
    <n v="0"/>
    <s v="NA"/>
    <s v="Attchd"/>
    <n v="1967"/>
    <s v="RFn"/>
    <n v="1"/>
    <n v="288"/>
    <s v="TA"/>
    <s v="TA"/>
    <s v="Y"/>
    <n v="0"/>
    <n v="0"/>
    <n v="0"/>
    <n v="0"/>
    <n v="0"/>
    <n v="0"/>
    <s v="NA"/>
    <s v="GdWo"/>
    <s v="NA"/>
    <n v="0"/>
    <n v="7"/>
    <n v="2009"/>
    <s v="WD"/>
    <s v="Normal"/>
    <n v="100000"/>
  </r>
  <r>
    <n v="886"/>
    <n v="120"/>
    <s v="FV"/>
    <n v="50"/>
    <n v="5119"/>
    <s v="Pave"/>
    <s v="NA"/>
    <s v="IR1"/>
    <s v="Lvl"/>
    <s v="AllPub"/>
    <s v="CulDSac"/>
    <s v="Gtl"/>
    <x v="5"/>
    <x v="0"/>
    <s v="Norm"/>
    <x v="3"/>
    <x v="1"/>
    <n v="9"/>
    <n v="5"/>
    <x v="40"/>
    <n v="2000"/>
    <s v="Gable"/>
    <s v="CompShg"/>
    <s v="MetalSd"/>
    <s v="MetalSd"/>
    <s v="BrkFace"/>
    <n v="60"/>
    <s v="Gd"/>
    <s v="TA"/>
    <s v="PConc"/>
    <s v="Ex"/>
    <s v="TA"/>
    <s v="Av"/>
    <s v="GLQ"/>
    <n v="1238"/>
    <s v="Unf"/>
    <n v="0"/>
    <n v="460"/>
    <n v="1698"/>
    <s v="GasA"/>
    <s v="Ex"/>
    <s v="Y"/>
    <s v="SBrkr"/>
    <n v="1709"/>
    <n v="0"/>
    <n v="0"/>
    <x v="137"/>
    <n v="1"/>
    <n v="0"/>
    <n v="2"/>
    <n v="0"/>
    <n v="2"/>
    <n v="1"/>
    <s v="Gd"/>
    <n v="5"/>
    <s v="Typ"/>
    <n v="1"/>
    <s v="TA"/>
    <s v="Attchd"/>
    <n v="1999"/>
    <s v="Fin"/>
    <n v="2"/>
    <n v="506"/>
    <s v="TA"/>
    <s v="TA"/>
    <s v="Y"/>
    <n v="97"/>
    <n v="65"/>
    <n v="0"/>
    <n v="0"/>
    <n v="0"/>
    <n v="0"/>
    <s v="NA"/>
    <s v="NA"/>
    <s v="NA"/>
    <n v="0"/>
    <n v="1"/>
    <n v="2008"/>
    <s v="CWD"/>
    <s v="Abnorml"/>
    <n v="328900"/>
  </r>
  <r>
    <n v="887"/>
    <n v="90"/>
    <s v="RL"/>
    <n v="70"/>
    <n v="8393"/>
    <s v="Pave"/>
    <s v="NA"/>
    <s v="Reg"/>
    <s v="Lvl"/>
    <s v="AllPub"/>
    <s v="Corner"/>
    <s v="Gtl"/>
    <x v="11"/>
    <x v="0"/>
    <s v="Norm"/>
    <x v="2"/>
    <x v="1"/>
    <n v="5"/>
    <n v="5"/>
    <x v="28"/>
    <n v="2005"/>
    <s v="Gable"/>
    <s v="CompShg"/>
    <s v="MetalSd"/>
    <s v="MetalSd"/>
    <s v="BrkFace"/>
    <n v="122"/>
    <s v="TA"/>
    <s v="TA"/>
    <s v="CBlock"/>
    <s v="TA"/>
    <s v="TA"/>
    <s v="No"/>
    <s v="LwQ"/>
    <n v="528"/>
    <s v="Unf"/>
    <n v="0"/>
    <n v="1098"/>
    <n v="1626"/>
    <s v="GasA"/>
    <s v="Ex"/>
    <s v="Y"/>
    <s v="SBrkr"/>
    <n v="1712"/>
    <n v="0"/>
    <n v="0"/>
    <x v="624"/>
    <n v="0"/>
    <n v="0"/>
    <n v="2"/>
    <n v="0"/>
    <n v="4"/>
    <n v="2"/>
    <s v="TA"/>
    <n v="8"/>
    <s v="Typ"/>
    <n v="0"/>
    <s v="NA"/>
    <s v="Attchd"/>
    <n v="2005"/>
    <s v="Fin"/>
    <n v="2"/>
    <n v="588"/>
    <s v="TA"/>
    <s v="TA"/>
    <s v="Y"/>
    <n v="272"/>
    <n v="54"/>
    <n v="0"/>
    <n v="0"/>
    <n v="0"/>
    <n v="0"/>
    <s v="NA"/>
    <s v="NA"/>
    <s v="NA"/>
    <n v="0"/>
    <n v="6"/>
    <n v="2006"/>
    <s v="WD"/>
    <s v="Family"/>
    <n v="145000"/>
  </r>
  <r>
    <n v="888"/>
    <n v="50"/>
    <s v="RL"/>
    <n v="59"/>
    <n v="16466"/>
    <s v="Pave"/>
    <s v="NA"/>
    <s v="IR1"/>
    <s v="Lvl"/>
    <s v="AllPub"/>
    <s v="Inside"/>
    <s v="Gtl"/>
    <x v="15"/>
    <x v="0"/>
    <s v="Norm"/>
    <x v="0"/>
    <x v="2"/>
    <n v="5"/>
    <n v="7"/>
    <x v="32"/>
    <n v="1955"/>
    <s v="Gable"/>
    <s v="CompShg"/>
    <s v="MetalSd"/>
    <s v="MetalSd"/>
    <s v="None"/>
    <n v="0"/>
    <s v="TA"/>
    <s v="Gd"/>
    <s v="PConc"/>
    <s v="TA"/>
    <s v="TA"/>
    <s v="No"/>
    <s v="Unf"/>
    <n v="0"/>
    <s v="Unf"/>
    <n v="0"/>
    <n v="816"/>
    <n v="816"/>
    <s v="GasA"/>
    <s v="TA"/>
    <s v="Y"/>
    <s v="SBrkr"/>
    <n v="872"/>
    <n v="521"/>
    <n v="0"/>
    <x v="625"/>
    <n v="0"/>
    <n v="0"/>
    <n v="1"/>
    <n v="1"/>
    <n v="3"/>
    <n v="1"/>
    <s v="TA"/>
    <n v="8"/>
    <s v="Typ"/>
    <n v="0"/>
    <s v="NA"/>
    <s v="Attchd"/>
    <n v="1955"/>
    <s v="Unf"/>
    <n v="1"/>
    <n v="300"/>
    <s v="TA"/>
    <s v="TA"/>
    <s v="Y"/>
    <n v="121"/>
    <n v="0"/>
    <n v="0"/>
    <n v="0"/>
    <n v="265"/>
    <n v="0"/>
    <s v="NA"/>
    <s v="NA"/>
    <s v="NA"/>
    <n v="0"/>
    <n v="4"/>
    <n v="2008"/>
    <s v="WD"/>
    <s v="Normal"/>
    <n v="135500"/>
  </r>
  <r>
    <n v="889"/>
    <n v="20"/>
    <s v="RL"/>
    <n v="95"/>
    <n v="15865"/>
    <s v="Pave"/>
    <s v="NA"/>
    <s v="IR1"/>
    <s v="Lvl"/>
    <s v="AllPub"/>
    <s v="Inside"/>
    <s v="Mod"/>
    <x v="11"/>
    <x v="0"/>
    <s v="Norm"/>
    <x v="0"/>
    <x v="1"/>
    <n v="8"/>
    <n v="6"/>
    <x v="16"/>
    <n v="1970"/>
    <s v="Flat"/>
    <s v="Tar&amp;Grv"/>
    <s v="Wd Sdng"/>
    <s v="Wd Sdng"/>
    <s v="None"/>
    <n v="0"/>
    <s v="Gd"/>
    <s v="Gd"/>
    <s v="PConc"/>
    <s v="TA"/>
    <s v="Gd"/>
    <s v="Gd"/>
    <s v="ALQ"/>
    <n v="351"/>
    <s v="Rec"/>
    <n v="823"/>
    <n v="1043"/>
    <n v="2217"/>
    <s v="GasA"/>
    <s v="Ex"/>
    <s v="Y"/>
    <s v="SBrkr"/>
    <n v="2217"/>
    <n v="0"/>
    <n v="0"/>
    <x v="626"/>
    <n v="1"/>
    <n v="0"/>
    <n v="2"/>
    <n v="0"/>
    <n v="4"/>
    <n v="1"/>
    <s v="Gd"/>
    <n v="8"/>
    <s v="Typ"/>
    <n v="1"/>
    <s v="TA"/>
    <s v="Attchd"/>
    <n v="1970"/>
    <s v="Unf"/>
    <n v="2"/>
    <n v="621"/>
    <s v="TA"/>
    <s v="TA"/>
    <s v="Y"/>
    <n v="81"/>
    <n v="207"/>
    <n v="0"/>
    <n v="0"/>
    <n v="224"/>
    <n v="0"/>
    <s v="NA"/>
    <s v="NA"/>
    <s v="NA"/>
    <n v="0"/>
    <n v="10"/>
    <n v="2007"/>
    <s v="WD"/>
    <s v="Normal"/>
    <n v="268000"/>
  </r>
  <r>
    <n v="890"/>
    <n v="20"/>
    <s v="RL"/>
    <n v="128"/>
    <n v="12160"/>
    <s v="Pave"/>
    <s v="NA"/>
    <s v="Reg"/>
    <s v="Lvl"/>
    <s v="AllPub"/>
    <s v="Inside"/>
    <s v="Gtl"/>
    <x v="11"/>
    <x v="1"/>
    <s v="Norm"/>
    <x v="0"/>
    <x v="1"/>
    <n v="6"/>
    <n v="4"/>
    <x v="31"/>
    <n v="1953"/>
    <s v="Hip"/>
    <s v="CompShg"/>
    <s v="Wd Sdng"/>
    <s v="Wd Sdng"/>
    <s v="BrkFace"/>
    <n v="90"/>
    <s v="TA"/>
    <s v="TA"/>
    <s v="CBlock"/>
    <s v="TA"/>
    <s v="TA"/>
    <s v="No"/>
    <s v="BLQ"/>
    <n v="1024"/>
    <s v="Unf"/>
    <n v="0"/>
    <n v="481"/>
    <n v="1505"/>
    <s v="GasA"/>
    <s v="Ex"/>
    <s v="Y"/>
    <s v="SBrkr"/>
    <n v="1505"/>
    <n v="0"/>
    <n v="0"/>
    <x v="302"/>
    <n v="1"/>
    <n v="0"/>
    <n v="1"/>
    <n v="0"/>
    <n v="2"/>
    <n v="1"/>
    <s v="TA"/>
    <n v="6"/>
    <s v="Typ"/>
    <n v="1"/>
    <s v="TA"/>
    <s v="Attchd"/>
    <n v="1953"/>
    <s v="RFn"/>
    <n v="2"/>
    <n v="505"/>
    <s v="TA"/>
    <s v="TA"/>
    <s v="Y"/>
    <n v="0"/>
    <n v="0"/>
    <n v="0"/>
    <n v="162"/>
    <n v="0"/>
    <n v="0"/>
    <s v="NA"/>
    <s v="NA"/>
    <s v="NA"/>
    <n v="0"/>
    <n v="2"/>
    <n v="2009"/>
    <s v="WD"/>
    <s v="Normal"/>
    <n v="149500"/>
  </r>
  <r>
    <n v="891"/>
    <n v="50"/>
    <s v="RL"/>
    <n v="60"/>
    <n v="8064"/>
    <s v="Pave"/>
    <s v="NA"/>
    <s v="Reg"/>
    <s v="Lvl"/>
    <s v="AllPub"/>
    <s v="Corner"/>
    <s v="Gtl"/>
    <x v="11"/>
    <x v="3"/>
    <s v="Norm"/>
    <x v="0"/>
    <x v="2"/>
    <n v="5"/>
    <n v="7"/>
    <x v="87"/>
    <n v="2006"/>
    <s v="Gable"/>
    <s v="CompShg"/>
    <s v="MetalSd"/>
    <s v="MetalSd"/>
    <s v="None"/>
    <n v="0"/>
    <s v="TA"/>
    <s v="Gd"/>
    <s v="CBlock"/>
    <s v="TA"/>
    <s v="TA"/>
    <s v="Mn"/>
    <s v="Unf"/>
    <n v="0"/>
    <s v="Unf"/>
    <n v="0"/>
    <n v="672"/>
    <n v="672"/>
    <s v="GasA"/>
    <s v="Ex"/>
    <s v="Y"/>
    <s v="SBrkr"/>
    <n v="672"/>
    <n v="252"/>
    <n v="0"/>
    <x v="463"/>
    <n v="0"/>
    <n v="0"/>
    <n v="1"/>
    <n v="0"/>
    <n v="3"/>
    <n v="1"/>
    <s v="TA"/>
    <n v="6"/>
    <s v="Typ"/>
    <n v="1"/>
    <s v="Po"/>
    <s v="Detchd"/>
    <n v="2003"/>
    <s v="Unf"/>
    <n v="2"/>
    <n v="576"/>
    <s v="TA"/>
    <s v="TA"/>
    <s v="Y"/>
    <n v="0"/>
    <n v="0"/>
    <n v="0"/>
    <n v="0"/>
    <n v="0"/>
    <n v="0"/>
    <s v="NA"/>
    <s v="MnPrv"/>
    <s v="Shed"/>
    <n v="2000"/>
    <n v="7"/>
    <n v="2007"/>
    <s v="WD"/>
    <s v="Normal"/>
    <n v="122900"/>
  </r>
  <r>
    <n v="892"/>
    <n v="60"/>
    <s v="RL"/>
    <n v="70"/>
    <n v="11184"/>
    <s v="Pave"/>
    <s v="NA"/>
    <s v="Reg"/>
    <s v="Lvl"/>
    <s v="AllPub"/>
    <s v="Inside"/>
    <s v="Gtl"/>
    <x v="9"/>
    <x v="0"/>
    <s v="Norm"/>
    <x v="0"/>
    <x v="0"/>
    <n v="6"/>
    <n v="5"/>
    <x v="90"/>
    <n v="1978"/>
    <s v="Hip"/>
    <s v="CompShg"/>
    <s v="HdBoard"/>
    <s v="HdBoard"/>
    <s v="BrkFace"/>
    <n v="92"/>
    <s v="TA"/>
    <s v="TA"/>
    <s v="CBlock"/>
    <s v="TA"/>
    <s v="TA"/>
    <s v="No"/>
    <s v="LwQ"/>
    <n v="226"/>
    <s v="Rec"/>
    <n v="500"/>
    <n v="192"/>
    <n v="918"/>
    <s v="GasA"/>
    <s v="Gd"/>
    <s v="Y"/>
    <s v="SBrkr"/>
    <n v="918"/>
    <n v="765"/>
    <n v="0"/>
    <x v="627"/>
    <n v="0"/>
    <n v="0"/>
    <n v="2"/>
    <n v="1"/>
    <n v="3"/>
    <n v="1"/>
    <s v="TA"/>
    <n v="7"/>
    <s v="Typ"/>
    <n v="1"/>
    <s v="TA"/>
    <s v="Attchd"/>
    <n v="1978"/>
    <s v="RFn"/>
    <n v="2"/>
    <n v="440"/>
    <s v="TA"/>
    <s v="TA"/>
    <s v="Y"/>
    <n v="243"/>
    <n v="0"/>
    <n v="0"/>
    <n v="0"/>
    <n v="0"/>
    <n v="0"/>
    <s v="NA"/>
    <s v="NA"/>
    <s v="NA"/>
    <n v="0"/>
    <n v="7"/>
    <n v="2009"/>
    <s v="WD"/>
    <s v="Normal"/>
    <n v="172500"/>
  </r>
  <r>
    <n v="893"/>
    <n v="20"/>
    <s v="RL"/>
    <n v="70"/>
    <n v="8414"/>
    <s v="Pave"/>
    <s v="NA"/>
    <s v="Reg"/>
    <s v="Lvl"/>
    <s v="AllPub"/>
    <s v="Inside"/>
    <s v="Gtl"/>
    <x v="9"/>
    <x v="0"/>
    <s v="Norm"/>
    <x v="0"/>
    <x v="1"/>
    <n v="6"/>
    <n v="8"/>
    <x v="37"/>
    <n v="2003"/>
    <s v="Hip"/>
    <s v="CompShg"/>
    <s v="HdBoard"/>
    <s v="HdBoard"/>
    <s v="None"/>
    <n v="0"/>
    <s v="TA"/>
    <s v="TA"/>
    <s v="CBlock"/>
    <s v="TA"/>
    <s v="TA"/>
    <s v="No"/>
    <s v="GLQ"/>
    <n v="663"/>
    <s v="Unf"/>
    <n v="0"/>
    <n v="396"/>
    <n v="1059"/>
    <s v="GasA"/>
    <s v="TA"/>
    <s v="Y"/>
    <s v="SBrkr"/>
    <n v="1068"/>
    <n v="0"/>
    <n v="0"/>
    <x v="628"/>
    <n v="0"/>
    <n v="1"/>
    <n v="1"/>
    <n v="0"/>
    <n v="3"/>
    <n v="1"/>
    <s v="TA"/>
    <n v="6"/>
    <s v="Typ"/>
    <n v="0"/>
    <s v="NA"/>
    <s v="Attchd"/>
    <n v="1963"/>
    <s v="RFn"/>
    <n v="1"/>
    <n v="264"/>
    <s v="TA"/>
    <s v="TA"/>
    <s v="Y"/>
    <n v="192"/>
    <n v="0"/>
    <n v="0"/>
    <n v="0"/>
    <n v="0"/>
    <n v="0"/>
    <s v="NA"/>
    <s v="MnPrv"/>
    <s v="NA"/>
    <n v="0"/>
    <n v="2"/>
    <n v="2006"/>
    <s v="WD"/>
    <s v="Normal"/>
    <n v="154500"/>
  </r>
  <r>
    <n v="894"/>
    <n v="20"/>
    <s v="RL"/>
    <s v="NA"/>
    <n v="13284"/>
    <s v="Pave"/>
    <s v="NA"/>
    <s v="Reg"/>
    <s v="Lvl"/>
    <s v="AllPub"/>
    <s v="Inside"/>
    <s v="Gtl"/>
    <x v="9"/>
    <x v="2"/>
    <s v="Norm"/>
    <x v="0"/>
    <x v="1"/>
    <n v="5"/>
    <n v="5"/>
    <x v="30"/>
    <n v="1954"/>
    <s v="Gable"/>
    <s v="CompShg"/>
    <s v="Wd Sdng"/>
    <s v="Plywood"/>
    <s v="None"/>
    <n v="0"/>
    <s v="TA"/>
    <s v="TA"/>
    <s v="PConc"/>
    <s v="Gd"/>
    <s v="TA"/>
    <s v="Mn"/>
    <s v="BLQ"/>
    <n v="1064"/>
    <s v="Unf"/>
    <n v="0"/>
    <n v="319"/>
    <n v="1383"/>
    <s v="GasA"/>
    <s v="TA"/>
    <s v="Y"/>
    <s v="SBrkr"/>
    <n v="1383"/>
    <n v="0"/>
    <n v="0"/>
    <x v="275"/>
    <n v="1"/>
    <n v="0"/>
    <n v="1"/>
    <n v="0"/>
    <n v="3"/>
    <n v="1"/>
    <s v="TA"/>
    <n v="6"/>
    <s v="Typ"/>
    <n v="1"/>
    <s v="Gd"/>
    <s v="Attchd"/>
    <n v="1954"/>
    <s v="Unf"/>
    <n v="1"/>
    <n v="354"/>
    <s v="TA"/>
    <s v="TA"/>
    <s v="Y"/>
    <n v="511"/>
    <n v="116"/>
    <n v="0"/>
    <n v="0"/>
    <n v="0"/>
    <n v="0"/>
    <s v="NA"/>
    <s v="GdPrv"/>
    <s v="NA"/>
    <n v="0"/>
    <n v="6"/>
    <n v="2008"/>
    <s v="WD"/>
    <s v="Normal"/>
    <n v="165000"/>
  </r>
  <r>
    <n v="895"/>
    <n v="90"/>
    <s v="RL"/>
    <n v="64"/>
    <n v="7018"/>
    <s v="Pave"/>
    <s v="NA"/>
    <s v="Reg"/>
    <s v="Bnk"/>
    <s v="AllPub"/>
    <s v="Inside"/>
    <s v="Gtl"/>
    <x v="12"/>
    <x v="0"/>
    <s v="Norm"/>
    <x v="2"/>
    <x v="1"/>
    <n v="5"/>
    <n v="5"/>
    <x v="56"/>
    <n v="1979"/>
    <s v="Gable"/>
    <s v="CompShg"/>
    <s v="Plywood"/>
    <s v="Plywoo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535"/>
    <n v="0"/>
    <n v="0"/>
    <x v="96"/>
    <n v="0"/>
    <n v="0"/>
    <n v="2"/>
    <n v="0"/>
    <n v="4"/>
    <n v="2"/>
    <s v="TA"/>
    <n v="8"/>
    <s v="Typ"/>
    <n v="0"/>
    <s v="NA"/>
    <s v="Attchd"/>
    <n v="1979"/>
    <s v="Unf"/>
    <n v="2"/>
    <n v="400"/>
    <s v="TA"/>
    <s v="TA"/>
    <s v="Y"/>
    <n v="0"/>
    <n v="0"/>
    <n v="0"/>
    <n v="0"/>
    <n v="0"/>
    <n v="0"/>
    <s v="NA"/>
    <s v="NA"/>
    <s v="NA"/>
    <n v="0"/>
    <n v="6"/>
    <n v="2009"/>
    <s v="WD"/>
    <s v="Alloca"/>
    <n v="118858"/>
  </r>
  <r>
    <n v="896"/>
    <n v="60"/>
    <s v="RL"/>
    <n v="71"/>
    <n v="7056"/>
    <s v="Pave"/>
    <s v="NA"/>
    <s v="Reg"/>
    <s v="Lvl"/>
    <s v="AllPub"/>
    <s v="Inside"/>
    <s v="Gtl"/>
    <x v="11"/>
    <x v="0"/>
    <s v="Norm"/>
    <x v="0"/>
    <x v="0"/>
    <n v="6"/>
    <n v="5"/>
    <x v="37"/>
    <n v="1963"/>
    <s v="Hip"/>
    <s v="CompShg"/>
    <s v="HdBoard"/>
    <s v="HdBoard"/>
    <s v="BrkFace"/>
    <n v="415"/>
    <s v="TA"/>
    <s v="TA"/>
    <s v="CBlock"/>
    <s v="TA"/>
    <s v="TA"/>
    <s v="No"/>
    <s v="BLQ"/>
    <n v="400"/>
    <s v="Unf"/>
    <n v="0"/>
    <n v="380"/>
    <n v="780"/>
    <s v="GasA"/>
    <s v="TA"/>
    <s v="Y"/>
    <s v="SBrkr"/>
    <n v="983"/>
    <n v="813"/>
    <n v="0"/>
    <x v="409"/>
    <n v="1"/>
    <n v="0"/>
    <n v="1"/>
    <n v="1"/>
    <n v="4"/>
    <n v="1"/>
    <s v="TA"/>
    <n v="8"/>
    <s v="Typ"/>
    <n v="1"/>
    <s v="TA"/>
    <s v="Attchd"/>
    <n v="1963"/>
    <s v="RFn"/>
    <n v="2"/>
    <n v="483"/>
    <s v="TA"/>
    <s v="TA"/>
    <s v="Y"/>
    <n v="0"/>
    <n v="50"/>
    <n v="0"/>
    <n v="0"/>
    <n v="0"/>
    <n v="0"/>
    <s v="NA"/>
    <s v="NA"/>
    <s v="NA"/>
    <n v="0"/>
    <n v="10"/>
    <n v="2008"/>
    <s v="WD"/>
    <s v="Normal"/>
    <n v="140000"/>
  </r>
  <r>
    <n v="897"/>
    <n v="30"/>
    <s v="RM"/>
    <n v="50"/>
    <n v="8765"/>
    <s v="Pave"/>
    <s v="Grvl"/>
    <s v="Reg"/>
    <s v="Lvl"/>
    <s v="AllPub"/>
    <s v="Inside"/>
    <s v="Gtl"/>
    <x v="13"/>
    <x v="0"/>
    <s v="Norm"/>
    <x v="0"/>
    <x v="1"/>
    <n v="4"/>
    <n v="6"/>
    <x v="65"/>
    <n v="1950"/>
    <s v="Gable"/>
    <s v="CompShg"/>
    <s v="Wd Sdng"/>
    <s v="Wd Sdng"/>
    <s v="None"/>
    <n v="0"/>
    <s v="TA"/>
    <s v="TA"/>
    <s v="BrkTil"/>
    <s v="TA"/>
    <s v="TA"/>
    <s v="No"/>
    <s v="ALQ"/>
    <n v="285"/>
    <s v="Unf"/>
    <n v="0"/>
    <n v="666"/>
    <n v="951"/>
    <s v="GasA"/>
    <s v="Ex"/>
    <s v="N"/>
    <s v="SBrkr"/>
    <n v="951"/>
    <n v="0"/>
    <n v="0"/>
    <x v="629"/>
    <n v="0"/>
    <n v="0"/>
    <n v="1"/>
    <n v="0"/>
    <n v="2"/>
    <n v="1"/>
    <s v="TA"/>
    <n v="6"/>
    <s v="Typ"/>
    <n v="0"/>
    <s v="NA"/>
    <s v="Detchd"/>
    <n v="1936"/>
    <s v="Unf"/>
    <n v="1"/>
    <n v="327"/>
    <s v="TA"/>
    <s v="TA"/>
    <s v="Y"/>
    <n v="0"/>
    <n v="28"/>
    <n v="0"/>
    <n v="0"/>
    <n v="0"/>
    <n v="0"/>
    <s v="NA"/>
    <s v="NA"/>
    <s v="NA"/>
    <n v="0"/>
    <n v="4"/>
    <n v="2006"/>
    <s v="WD"/>
    <s v="Abnorml"/>
    <n v="106500"/>
  </r>
  <r>
    <n v="898"/>
    <n v="90"/>
    <s v="RL"/>
    <n v="64"/>
    <n v="7018"/>
    <s v="Pave"/>
    <s v="NA"/>
    <s v="Reg"/>
    <s v="Lvl"/>
    <s v="AllPub"/>
    <s v="Inside"/>
    <s v="Gtl"/>
    <x v="12"/>
    <x v="1"/>
    <s v="Norm"/>
    <x v="2"/>
    <x v="0"/>
    <n v="5"/>
    <n v="5"/>
    <x v="56"/>
    <n v="1979"/>
    <s v="Gable"/>
    <s v="CompShg"/>
    <s v="Plywood"/>
    <s v="Plywoo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120"/>
    <n v="1120"/>
    <n v="0"/>
    <x v="630"/>
    <n v="0"/>
    <n v="0"/>
    <n v="2"/>
    <n v="0"/>
    <n v="6"/>
    <n v="2"/>
    <s v="TA"/>
    <n v="12"/>
    <s v="Typ"/>
    <n v="0"/>
    <s v="NA"/>
    <s v="Detchd"/>
    <n v="1979"/>
    <s v="Unf"/>
    <n v="2"/>
    <n v="528"/>
    <s v="TA"/>
    <s v="TA"/>
    <s v="Y"/>
    <n v="154"/>
    <n v="0"/>
    <n v="0"/>
    <n v="0"/>
    <n v="0"/>
    <n v="0"/>
    <s v="NA"/>
    <s v="NA"/>
    <s v="NA"/>
    <n v="0"/>
    <n v="6"/>
    <n v="2009"/>
    <s v="WD"/>
    <s v="Alloca"/>
    <n v="142953"/>
  </r>
  <r>
    <n v="899"/>
    <n v="20"/>
    <s v="RL"/>
    <n v="100"/>
    <n v="12919"/>
    <s v="Pave"/>
    <s v="NA"/>
    <s v="IR1"/>
    <s v="Lvl"/>
    <s v="AllPub"/>
    <s v="Inside"/>
    <s v="Gtl"/>
    <x v="10"/>
    <x v="0"/>
    <s v="Norm"/>
    <x v="0"/>
    <x v="1"/>
    <n v="9"/>
    <n v="5"/>
    <x v="51"/>
    <n v="2010"/>
    <s v="Hip"/>
    <s v="CompShg"/>
    <s v="VinylSd"/>
    <s v="VinylSd"/>
    <s v="Stone"/>
    <n v="760"/>
    <s v="Ex"/>
    <s v="TA"/>
    <s v="PConc"/>
    <s v="Ex"/>
    <s v="TA"/>
    <s v="Gd"/>
    <s v="GLQ"/>
    <n v="2188"/>
    <s v="Unf"/>
    <n v="0"/>
    <n v="142"/>
    <n v="2330"/>
    <s v="GasA"/>
    <s v="Ex"/>
    <s v="Y"/>
    <s v="SBrkr"/>
    <n v="2364"/>
    <n v="0"/>
    <n v="0"/>
    <x v="631"/>
    <n v="1"/>
    <n v="0"/>
    <n v="2"/>
    <n v="1"/>
    <n v="2"/>
    <n v="1"/>
    <s v="Ex"/>
    <n v="11"/>
    <s v="Typ"/>
    <n v="2"/>
    <s v="Gd"/>
    <s v="Attchd"/>
    <n v="2009"/>
    <s v="Fin"/>
    <n v="3"/>
    <n v="820"/>
    <s v="TA"/>
    <s v="TA"/>
    <s v="Y"/>
    <n v="0"/>
    <n v="67"/>
    <n v="0"/>
    <n v="0"/>
    <n v="0"/>
    <n v="0"/>
    <s v="NA"/>
    <s v="NA"/>
    <s v="NA"/>
    <n v="0"/>
    <n v="3"/>
    <n v="2010"/>
    <s v="New"/>
    <s v="Partial"/>
    <n v="611657"/>
  </r>
  <r>
    <n v="900"/>
    <n v="20"/>
    <s v="RL"/>
    <n v="65"/>
    <n v="6993"/>
    <s v="Pave"/>
    <s v="NA"/>
    <s v="Reg"/>
    <s v="Lvl"/>
    <s v="AllPub"/>
    <s v="Inside"/>
    <s v="Gtl"/>
    <x v="9"/>
    <x v="1"/>
    <s v="Norm"/>
    <x v="0"/>
    <x v="1"/>
    <n v="5"/>
    <n v="7"/>
    <x v="53"/>
    <n v="1994"/>
    <s v="Gable"/>
    <s v="CompShg"/>
    <s v="HdBoard"/>
    <s v="Plywood"/>
    <s v="None"/>
    <n v="0"/>
    <s v="TA"/>
    <s v="TA"/>
    <s v="CBlock"/>
    <s v="TA"/>
    <s v="TA"/>
    <s v="No"/>
    <s v="BLQ"/>
    <n v="465"/>
    <s v="Unf"/>
    <n v="0"/>
    <n v="447"/>
    <n v="912"/>
    <s v="GasA"/>
    <s v="TA"/>
    <s v="Y"/>
    <s v="SBrkr"/>
    <n v="1236"/>
    <n v="0"/>
    <n v="0"/>
    <x v="190"/>
    <n v="0"/>
    <n v="0"/>
    <n v="1"/>
    <n v="0"/>
    <n v="3"/>
    <n v="1"/>
    <s v="TA"/>
    <n v="6"/>
    <s v="Typ"/>
    <n v="1"/>
    <s v="TA"/>
    <s v="Attchd"/>
    <n v="1961"/>
    <s v="Unf"/>
    <n v="1"/>
    <n v="288"/>
    <s v="TA"/>
    <s v="TA"/>
    <s v="Y"/>
    <n v="0"/>
    <n v="0"/>
    <n v="0"/>
    <n v="0"/>
    <n v="0"/>
    <n v="0"/>
    <s v="NA"/>
    <s v="NA"/>
    <s v="NA"/>
    <n v="0"/>
    <n v="6"/>
    <n v="2006"/>
    <s v="WD"/>
    <s v="Normal"/>
    <n v="135000"/>
  </r>
  <r>
    <n v="901"/>
    <n v="20"/>
    <s v="RL"/>
    <s v="NA"/>
    <n v="7340"/>
    <s v="Pave"/>
    <s v="NA"/>
    <s v="IR1"/>
    <s v="Lvl"/>
    <s v="AllPub"/>
    <s v="Inside"/>
    <s v="Gtl"/>
    <x v="11"/>
    <x v="0"/>
    <s v="Norm"/>
    <x v="0"/>
    <x v="1"/>
    <n v="4"/>
    <n v="6"/>
    <x v="63"/>
    <n v="1971"/>
    <s v="Gable"/>
    <s v="CompShg"/>
    <s v="HdBoard"/>
    <s v="HdBoard"/>
    <s v="None"/>
    <n v="0"/>
    <s v="TA"/>
    <s v="TA"/>
    <s v="CBlock"/>
    <s v="TA"/>
    <s v="TA"/>
    <s v="No"/>
    <s v="ALQ"/>
    <n v="322"/>
    <s v="Unf"/>
    <n v="0"/>
    <n v="536"/>
    <n v="858"/>
    <s v="GasA"/>
    <s v="TA"/>
    <s v="Y"/>
    <s v="SBrkr"/>
    <n v="858"/>
    <n v="0"/>
    <n v="0"/>
    <x v="243"/>
    <n v="0"/>
    <n v="0"/>
    <n v="1"/>
    <n v="0"/>
    <n v="2"/>
    <n v="1"/>
    <s v="TA"/>
    <n v="4"/>
    <s v="Typ"/>
    <n v="0"/>
    <s v="NA"/>
    <s v="Detchd"/>
    <n v="1979"/>
    <s v="Unf"/>
    <n v="1"/>
    <n v="684"/>
    <s v="TA"/>
    <s v="TA"/>
    <s v="Y"/>
    <n v="0"/>
    <n v="0"/>
    <n v="0"/>
    <n v="0"/>
    <n v="0"/>
    <n v="0"/>
    <s v="NA"/>
    <s v="NA"/>
    <s v="NA"/>
    <n v="0"/>
    <n v="6"/>
    <n v="2007"/>
    <s v="WD"/>
    <s v="Normal"/>
    <n v="110000"/>
  </r>
  <r>
    <n v="902"/>
    <n v="20"/>
    <s v="RL"/>
    <n v="64"/>
    <n v="8712"/>
    <s v="Pave"/>
    <s v="NA"/>
    <s v="IR1"/>
    <s v="Lvl"/>
    <s v="AllPub"/>
    <s v="Inside"/>
    <s v="Gtl"/>
    <x v="11"/>
    <x v="0"/>
    <s v="Norm"/>
    <x v="0"/>
    <x v="1"/>
    <n v="5"/>
    <n v="7"/>
    <x v="24"/>
    <n v="2000"/>
    <s v="Hip"/>
    <s v="CompShg"/>
    <s v="MetalSd"/>
    <s v="MetalSd"/>
    <s v="None"/>
    <n v="0"/>
    <s v="TA"/>
    <s v="Gd"/>
    <s v="CBlock"/>
    <s v="TA"/>
    <s v="TA"/>
    <s v="Mn"/>
    <s v="BLQ"/>
    <n v="860"/>
    <s v="Unf"/>
    <n v="0"/>
    <n v="132"/>
    <n v="992"/>
    <s v="GasA"/>
    <s v="TA"/>
    <s v="Y"/>
    <s v="SBrkr"/>
    <n v="1306"/>
    <n v="0"/>
    <n v="0"/>
    <x v="218"/>
    <n v="1"/>
    <n v="0"/>
    <n v="1"/>
    <n v="0"/>
    <n v="2"/>
    <n v="1"/>
    <s v="TA"/>
    <n v="5"/>
    <s v="Typ"/>
    <n v="0"/>
    <s v="NA"/>
    <s v="Detchd"/>
    <n v="1968"/>
    <s v="Unf"/>
    <n v="1"/>
    <n v="756"/>
    <s v="TA"/>
    <s v="TA"/>
    <s v="Y"/>
    <n v="0"/>
    <n v="0"/>
    <n v="0"/>
    <n v="0"/>
    <n v="0"/>
    <n v="0"/>
    <s v="NA"/>
    <s v="NA"/>
    <s v="NA"/>
    <n v="0"/>
    <n v="5"/>
    <n v="2009"/>
    <s v="WD"/>
    <s v="Normal"/>
    <n v="153000"/>
  </r>
  <r>
    <n v="903"/>
    <n v="60"/>
    <s v="RL"/>
    <n v="63"/>
    <n v="7875"/>
    <s v="Pave"/>
    <s v="NA"/>
    <s v="Reg"/>
    <s v="Lvl"/>
    <s v="AllPub"/>
    <s v="Inside"/>
    <s v="Gtl"/>
    <x v="17"/>
    <x v="0"/>
    <s v="Norm"/>
    <x v="0"/>
    <x v="0"/>
    <n v="7"/>
    <n v="5"/>
    <x v="0"/>
    <n v="2003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83"/>
    <n v="783"/>
    <s v="GasA"/>
    <s v="Ex"/>
    <s v="Y"/>
    <s v="SBrkr"/>
    <n v="807"/>
    <n v="702"/>
    <n v="0"/>
    <x v="420"/>
    <n v="0"/>
    <n v="0"/>
    <n v="2"/>
    <n v="1"/>
    <n v="3"/>
    <n v="1"/>
    <s v="Gd"/>
    <n v="8"/>
    <s v="Typ"/>
    <n v="1"/>
    <s v="Gd"/>
    <s v="Attchd"/>
    <n v="2003"/>
    <s v="Fin"/>
    <n v="2"/>
    <n v="393"/>
    <s v="TA"/>
    <s v="TA"/>
    <s v="Y"/>
    <n v="0"/>
    <n v="75"/>
    <n v="0"/>
    <n v="0"/>
    <n v="0"/>
    <n v="0"/>
    <s v="NA"/>
    <s v="NA"/>
    <s v="NA"/>
    <n v="0"/>
    <n v="7"/>
    <n v="2006"/>
    <s v="WD"/>
    <s v="Normal"/>
    <n v="180000"/>
  </r>
  <r>
    <n v="904"/>
    <n v="20"/>
    <s v="RL"/>
    <n v="50"/>
    <n v="14859"/>
    <s v="Pave"/>
    <s v="NA"/>
    <s v="IR1"/>
    <s v="HLS"/>
    <s v="AllPub"/>
    <s v="CulDSac"/>
    <s v="Gtl"/>
    <x v="17"/>
    <x v="0"/>
    <s v="Norm"/>
    <x v="0"/>
    <x v="1"/>
    <n v="7"/>
    <n v="5"/>
    <x v="13"/>
    <n v="2006"/>
    <s v="Hip"/>
    <s v="CompShg"/>
    <s v="VinylSd"/>
    <s v="VinylSd"/>
    <s v="BrkFace"/>
    <n v="27"/>
    <s v="Gd"/>
    <s v="TA"/>
    <s v="PConc"/>
    <s v="Gd"/>
    <s v="TA"/>
    <s v="No"/>
    <s v="Unf"/>
    <n v="0"/>
    <s v="Unf"/>
    <n v="0"/>
    <n v="1670"/>
    <n v="1670"/>
    <s v="GasA"/>
    <s v="Ex"/>
    <s v="Y"/>
    <s v="SBrkr"/>
    <n v="1670"/>
    <n v="0"/>
    <n v="0"/>
    <x v="632"/>
    <n v="0"/>
    <n v="0"/>
    <n v="2"/>
    <n v="0"/>
    <n v="3"/>
    <n v="1"/>
    <s v="Gd"/>
    <n v="7"/>
    <s v="Typ"/>
    <n v="1"/>
    <s v="Gd"/>
    <s v="Attchd"/>
    <n v="2006"/>
    <s v="RFn"/>
    <n v="3"/>
    <n v="690"/>
    <s v="TA"/>
    <s v="TA"/>
    <s v="Y"/>
    <n v="144"/>
    <n v="60"/>
    <n v="0"/>
    <n v="0"/>
    <n v="0"/>
    <n v="0"/>
    <s v="NA"/>
    <s v="NA"/>
    <s v="NA"/>
    <n v="0"/>
    <n v="8"/>
    <n v="2006"/>
    <s v="New"/>
    <s v="Partial"/>
    <n v="240000"/>
  </r>
  <r>
    <n v="905"/>
    <n v="20"/>
    <s v="RL"/>
    <s v="NA"/>
    <n v="6173"/>
    <s v="Pave"/>
    <s v="NA"/>
    <s v="IR1"/>
    <s v="Lvl"/>
    <s v="AllPub"/>
    <s v="Inside"/>
    <s v="Gtl"/>
    <x v="9"/>
    <x v="0"/>
    <s v="Norm"/>
    <x v="0"/>
    <x v="1"/>
    <n v="5"/>
    <n v="6"/>
    <x v="17"/>
    <n v="1967"/>
    <s v="Gable"/>
    <s v="CompShg"/>
    <s v="HdBoard"/>
    <s v="Wd Sdng"/>
    <s v="BrkFace"/>
    <n v="75"/>
    <s v="TA"/>
    <s v="TA"/>
    <s v="CBlock"/>
    <s v="TA"/>
    <s v="TA"/>
    <s v="No"/>
    <s v="GLQ"/>
    <n v="599"/>
    <s v="Unf"/>
    <n v="0"/>
    <n v="277"/>
    <n v="876"/>
    <s v="GasA"/>
    <s v="TA"/>
    <s v="Y"/>
    <s v="SBrkr"/>
    <n v="902"/>
    <n v="0"/>
    <n v="0"/>
    <x v="633"/>
    <n v="0"/>
    <n v="0"/>
    <n v="1"/>
    <n v="0"/>
    <n v="3"/>
    <n v="1"/>
    <s v="TA"/>
    <n v="6"/>
    <s v="Typ"/>
    <n v="0"/>
    <s v="NA"/>
    <s v="Attchd"/>
    <n v="1967"/>
    <s v="Unf"/>
    <n v="1"/>
    <n v="288"/>
    <s v="TA"/>
    <s v="TA"/>
    <s v="Y"/>
    <n v="0"/>
    <n v="0"/>
    <n v="0"/>
    <n v="0"/>
    <n v="0"/>
    <n v="0"/>
    <s v="NA"/>
    <s v="MnPrv"/>
    <s v="NA"/>
    <n v="0"/>
    <n v="8"/>
    <n v="2007"/>
    <s v="WD"/>
    <s v="Normal"/>
    <n v="125500"/>
  </r>
  <r>
    <n v="906"/>
    <n v="20"/>
    <s v="RL"/>
    <n v="80"/>
    <n v="9920"/>
    <s v="Pave"/>
    <s v="NA"/>
    <s v="Reg"/>
    <s v="Lvl"/>
    <s v="AllPub"/>
    <s v="Inside"/>
    <s v="Gtl"/>
    <x v="11"/>
    <x v="0"/>
    <s v="Norm"/>
    <x v="0"/>
    <x v="1"/>
    <n v="5"/>
    <n v="5"/>
    <x v="30"/>
    <n v="1954"/>
    <s v="Gable"/>
    <s v="CompShg"/>
    <s v="HdBoard"/>
    <s v="HdBoard"/>
    <s v="Stone"/>
    <n v="110"/>
    <s v="TA"/>
    <s v="TA"/>
    <s v="CBlock"/>
    <s v="TA"/>
    <s v="TA"/>
    <s v="No"/>
    <s v="Rec"/>
    <n v="354"/>
    <s v="LwQ"/>
    <n v="290"/>
    <n v="412"/>
    <n v="1056"/>
    <s v="GasA"/>
    <s v="TA"/>
    <s v="Y"/>
    <s v="SBrkr"/>
    <n v="1063"/>
    <n v="0"/>
    <n v="0"/>
    <x v="634"/>
    <n v="1"/>
    <n v="0"/>
    <n v="1"/>
    <n v="0"/>
    <n v="3"/>
    <n v="1"/>
    <s v="TA"/>
    <n v="6"/>
    <s v="Typ"/>
    <n v="0"/>
    <s v="NA"/>
    <s v="Attchd"/>
    <n v="1954"/>
    <s v="RFn"/>
    <n v="1"/>
    <n v="280"/>
    <s v="TA"/>
    <s v="TA"/>
    <s v="Y"/>
    <n v="0"/>
    <n v="0"/>
    <n v="164"/>
    <n v="0"/>
    <n v="0"/>
    <n v="0"/>
    <s v="NA"/>
    <s v="MnPrv"/>
    <s v="NA"/>
    <n v="0"/>
    <n v="2"/>
    <n v="2010"/>
    <s v="WD"/>
    <s v="Normal"/>
    <n v="128000"/>
  </r>
  <r>
    <n v="907"/>
    <n v="20"/>
    <s v="RL"/>
    <n v="116"/>
    <n v="13501"/>
    <s v="Pave"/>
    <s v="NA"/>
    <s v="IR1"/>
    <s v="Lvl"/>
    <s v="AllPub"/>
    <s v="Corner"/>
    <s v="Gtl"/>
    <x v="5"/>
    <x v="0"/>
    <s v="Norm"/>
    <x v="0"/>
    <x v="1"/>
    <n v="8"/>
    <n v="5"/>
    <x v="13"/>
    <n v="2006"/>
    <s v="Gable"/>
    <s v="CompShg"/>
    <s v="VinylSd"/>
    <s v="VinylSd"/>
    <s v="Stone"/>
    <n v="208"/>
    <s v="Gd"/>
    <s v="TA"/>
    <s v="PConc"/>
    <s v="Gd"/>
    <s v="TA"/>
    <s v="No"/>
    <s v="GLQ"/>
    <n v="63"/>
    <s v="Unf"/>
    <n v="0"/>
    <n v="1560"/>
    <n v="1623"/>
    <s v="GasA"/>
    <s v="Ex"/>
    <s v="Y"/>
    <s v="SBrkr"/>
    <n v="1636"/>
    <n v="0"/>
    <n v="0"/>
    <x v="635"/>
    <n v="1"/>
    <n v="0"/>
    <n v="2"/>
    <n v="0"/>
    <n v="3"/>
    <n v="1"/>
    <s v="Gd"/>
    <n v="8"/>
    <s v="Typ"/>
    <n v="1"/>
    <s v="Gd"/>
    <s v="Attchd"/>
    <n v="2006"/>
    <s v="RFn"/>
    <n v="3"/>
    <n v="865"/>
    <s v="TA"/>
    <s v="TA"/>
    <s v="Y"/>
    <n v="0"/>
    <n v="60"/>
    <n v="0"/>
    <n v="0"/>
    <n v="0"/>
    <n v="0"/>
    <s v="NA"/>
    <s v="NA"/>
    <s v="NA"/>
    <n v="0"/>
    <n v="6"/>
    <n v="2007"/>
    <s v="WD"/>
    <s v="Normal"/>
    <n v="255000"/>
  </r>
  <r>
    <n v="908"/>
    <n v="50"/>
    <s v="RL"/>
    <n v="86"/>
    <n v="11500"/>
    <s v="Pave"/>
    <s v="NA"/>
    <s v="IR1"/>
    <s v="Lvl"/>
    <s v="AllPub"/>
    <s v="Inside"/>
    <s v="Gtl"/>
    <x v="2"/>
    <x v="0"/>
    <s v="Norm"/>
    <x v="0"/>
    <x v="2"/>
    <n v="7"/>
    <n v="7"/>
    <x v="65"/>
    <n v="1987"/>
    <s v="Gable"/>
    <s v="CompShg"/>
    <s v="BrkFace"/>
    <s v="BrkFace"/>
    <s v="None"/>
    <n v="0"/>
    <s v="Gd"/>
    <s v="TA"/>
    <s v="CBlock"/>
    <s v="Gd"/>
    <s v="TA"/>
    <s v="No"/>
    <s v="Rec"/>
    <n v="223"/>
    <s v="Unf"/>
    <n v="0"/>
    <n v="794"/>
    <n v="1017"/>
    <s v="GasA"/>
    <s v="Gd"/>
    <s v="Y"/>
    <s v="SBrkr"/>
    <n v="1020"/>
    <n v="1037"/>
    <n v="0"/>
    <x v="636"/>
    <n v="0"/>
    <n v="0"/>
    <n v="1"/>
    <n v="1"/>
    <n v="3"/>
    <n v="1"/>
    <s v="Gd"/>
    <n v="6"/>
    <s v="Typ"/>
    <n v="1"/>
    <s v="Gd"/>
    <s v="Attchd"/>
    <n v="1936"/>
    <s v="Fin"/>
    <n v="1"/>
    <n v="180"/>
    <s v="Fa"/>
    <s v="TA"/>
    <s v="Y"/>
    <n v="0"/>
    <n v="0"/>
    <n v="0"/>
    <n v="0"/>
    <n v="322"/>
    <n v="0"/>
    <s v="NA"/>
    <s v="NA"/>
    <s v="NA"/>
    <n v="0"/>
    <n v="6"/>
    <n v="2006"/>
    <s v="WD"/>
    <s v="Normal"/>
    <n v="250000"/>
  </r>
  <r>
    <n v="909"/>
    <n v="20"/>
    <s v="RL"/>
    <s v="NA"/>
    <n v="8885"/>
    <s v="Pave"/>
    <s v="NA"/>
    <s v="IR1"/>
    <s v="Low"/>
    <s v="AllPub"/>
    <s v="Inside"/>
    <s v="Mod"/>
    <x v="4"/>
    <x v="0"/>
    <s v="Norm"/>
    <x v="0"/>
    <x v="1"/>
    <n v="5"/>
    <n v="5"/>
    <x v="33"/>
    <n v="1983"/>
    <s v="Gable"/>
    <s v="CompShg"/>
    <s v="HdBoard"/>
    <s v="HdBoard"/>
    <s v="None"/>
    <n v="0"/>
    <s v="TA"/>
    <s v="TA"/>
    <s v="CBlock"/>
    <s v="Gd"/>
    <s v="TA"/>
    <s v="Av"/>
    <s v="BLQ"/>
    <n v="301"/>
    <s v="ALQ"/>
    <n v="324"/>
    <n v="239"/>
    <n v="864"/>
    <s v="GasA"/>
    <s v="TA"/>
    <s v="Y"/>
    <s v="SBrkr"/>
    <n v="902"/>
    <n v="0"/>
    <n v="0"/>
    <x v="633"/>
    <n v="1"/>
    <n v="0"/>
    <n v="1"/>
    <n v="0"/>
    <n v="2"/>
    <n v="1"/>
    <s v="TA"/>
    <n v="5"/>
    <s v="Typ"/>
    <n v="0"/>
    <s v="NA"/>
    <s v="Attchd"/>
    <n v="1983"/>
    <s v="Unf"/>
    <n v="2"/>
    <n v="484"/>
    <s v="TA"/>
    <s v="TA"/>
    <s v="Y"/>
    <n v="164"/>
    <n v="0"/>
    <n v="0"/>
    <n v="0"/>
    <n v="0"/>
    <n v="0"/>
    <s v="NA"/>
    <s v="MnPrv"/>
    <s v="NA"/>
    <n v="0"/>
    <n v="6"/>
    <n v="2006"/>
    <s v="WD"/>
    <s v="Normal"/>
    <n v="131000"/>
  </r>
  <r>
    <n v="910"/>
    <n v="60"/>
    <s v="RL"/>
    <n v="149"/>
    <n v="12589"/>
    <s v="Pave"/>
    <s v="NA"/>
    <s v="IR2"/>
    <s v="Lvl"/>
    <s v="AllPub"/>
    <s v="Inside"/>
    <s v="Gtl"/>
    <x v="17"/>
    <x v="0"/>
    <s v="Norm"/>
    <x v="0"/>
    <x v="0"/>
    <n v="6"/>
    <n v="5"/>
    <x v="11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42"/>
    <n v="742"/>
    <s v="GasA"/>
    <s v="Ex"/>
    <s v="Y"/>
    <s v="SBrkr"/>
    <n v="742"/>
    <n v="742"/>
    <n v="0"/>
    <x v="391"/>
    <n v="0"/>
    <n v="0"/>
    <n v="2"/>
    <n v="1"/>
    <n v="3"/>
    <n v="1"/>
    <s v="Gd"/>
    <n v="8"/>
    <s v="Typ"/>
    <n v="1"/>
    <s v="Gd"/>
    <s v="Attchd"/>
    <n v="2005"/>
    <s v="Fin"/>
    <n v="2"/>
    <n v="390"/>
    <s v="TA"/>
    <s v="TA"/>
    <s v="Y"/>
    <n v="36"/>
    <n v="24"/>
    <n v="0"/>
    <n v="0"/>
    <n v="0"/>
    <n v="0"/>
    <s v="NA"/>
    <s v="NA"/>
    <s v="NA"/>
    <n v="0"/>
    <n v="6"/>
    <n v="2009"/>
    <s v="WD"/>
    <s v="Normal"/>
    <n v="174000"/>
  </r>
  <r>
    <n v="911"/>
    <n v="90"/>
    <s v="RL"/>
    <n v="80"/>
    <n v="11600"/>
    <s v="Pave"/>
    <s v="NA"/>
    <s v="Reg"/>
    <s v="Lvl"/>
    <s v="AllPub"/>
    <s v="Corner"/>
    <s v="Gtl"/>
    <x v="11"/>
    <x v="1"/>
    <s v="Norm"/>
    <x v="2"/>
    <x v="0"/>
    <n v="5"/>
    <n v="5"/>
    <x v="14"/>
    <n v="1960"/>
    <s v="Gable"/>
    <s v="CompShg"/>
    <s v="MetalSd"/>
    <s v="MetalSd"/>
    <s v="BrkFace"/>
    <n v="361"/>
    <s v="TA"/>
    <s v="TA"/>
    <s v="CBlock"/>
    <s v="TA"/>
    <s v="TA"/>
    <s v="No"/>
    <s v="Rec"/>
    <n v="443"/>
    <s v="Unf"/>
    <n v="0"/>
    <n v="662"/>
    <n v="1105"/>
    <s v="GasA"/>
    <s v="TA"/>
    <s v="Y"/>
    <s v="FuseA"/>
    <n v="1105"/>
    <n v="1169"/>
    <n v="0"/>
    <x v="637"/>
    <n v="0"/>
    <n v="0"/>
    <n v="2"/>
    <n v="0"/>
    <n v="5"/>
    <n v="2"/>
    <s v="TA"/>
    <n v="12"/>
    <s v="Typ"/>
    <n v="0"/>
    <s v="NA"/>
    <s v="Detchd"/>
    <n v="1960"/>
    <s v="Unf"/>
    <n v="2"/>
    <n v="480"/>
    <s v="TA"/>
    <s v="TA"/>
    <s v="Y"/>
    <n v="0"/>
    <n v="0"/>
    <n v="0"/>
    <n v="0"/>
    <n v="0"/>
    <n v="0"/>
    <s v="NA"/>
    <s v="NA"/>
    <s v="NA"/>
    <n v="0"/>
    <n v="1"/>
    <n v="2010"/>
    <s v="WD"/>
    <s v="Normal"/>
    <n v="154300"/>
  </r>
  <r>
    <n v="912"/>
    <n v="20"/>
    <s v="RL"/>
    <s v="NA"/>
    <n v="9286"/>
    <s v="Pave"/>
    <s v="NA"/>
    <s v="IR1"/>
    <s v="Lvl"/>
    <s v="AllPub"/>
    <s v="CulDSac"/>
    <s v="Mod"/>
    <x v="0"/>
    <x v="0"/>
    <s v="Norm"/>
    <x v="0"/>
    <x v="1"/>
    <n v="5"/>
    <n v="7"/>
    <x v="54"/>
    <n v="1989"/>
    <s v="Gable"/>
    <s v="CompShg"/>
    <s v="HdBoard"/>
    <s v="Plywood"/>
    <s v="None"/>
    <n v="0"/>
    <s v="TA"/>
    <s v="TA"/>
    <s v="CBlock"/>
    <s v="Gd"/>
    <s v="Gd"/>
    <s v="Av"/>
    <s v="ALQ"/>
    <n v="196"/>
    <s v="Unf"/>
    <n v="0"/>
    <n v="1072"/>
    <n v="1268"/>
    <s v="GasA"/>
    <s v="TA"/>
    <s v="Y"/>
    <s v="SBrkr"/>
    <n v="1268"/>
    <n v="0"/>
    <n v="0"/>
    <x v="305"/>
    <n v="0"/>
    <n v="0"/>
    <n v="1"/>
    <n v="1"/>
    <n v="3"/>
    <n v="1"/>
    <s v="Gd"/>
    <n v="5"/>
    <s v="Typ"/>
    <n v="0"/>
    <s v="NA"/>
    <s v="Detchd"/>
    <n v="1978"/>
    <s v="Unf"/>
    <n v="1"/>
    <n v="252"/>
    <s v="TA"/>
    <s v="TA"/>
    <s v="Y"/>
    <n v="173"/>
    <n v="0"/>
    <n v="0"/>
    <n v="0"/>
    <n v="0"/>
    <n v="0"/>
    <s v="NA"/>
    <s v="NA"/>
    <s v="NA"/>
    <n v="0"/>
    <n v="10"/>
    <n v="2009"/>
    <s v="WD"/>
    <s v="Normal"/>
    <n v="143500"/>
  </r>
  <r>
    <n v="913"/>
    <n v="30"/>
    <s v="RM"/>
    <n v="51"/>
    <n v="6120"/>
    <s v="Pave"/>
    <s v="NA"/>
    <s v="Reg"/>
    <s v="Lvl"/>
    <s v="AllPub"/>
    <s v="Inside"/>
    <s v="Gtl"/>
    <x v="8"/>
    <x v="0"/>
    <s v="Norm"/>
    <x v="0"/>
    <x v="1"/>
    <n v="5"/>
    <n v="7"/>
    <x v="82"/>
    <n v="1950"/>
    <s v="Gable"/>
    <s v="CompShg"/>
    <s v="MetalSd"/>
    <s v="MetalSd"/>
    <s v="None"/>
    <n v="0"/>
    <s v="TA"/>
    <s v="TA"/>
    <s v="BrkTil"/>
    <s v="TA"/>
    <s v="TA"/>
    <s v="No"/>
    <s v="Rec"/>
    <n v="489"/>
    <s v="Unf"/>
    <n v="0"/>
    <n v="279"/>
    <n v="768"/>
    <s v="GasA"/>
    <s v="TA"/>
    <s v="N"/>
    <s v="SBrkr"/>
    <n v="1015"/>
    <n v="0"/>
    <n v="0"/>
    <x v="638"/>
    <n v="0"/>
    <n v="0"/>
    <n v="1"/>
    <n v="0"/>
    <n v="3"/>
    <n v="1"/>
    <s v="TA"/>
    <n v="6"/>
    <s v="Min1"/>
    <n v="0"/>
    <s v="NA"/>
    <s v="Detchd"/>
    <n v="1925"/>
    <s v="Unf"/>
    <n v="1"/>
    <n v="450"/>
    <s v="TA"/>
    <s v="TA"/>
    <s v="Y"/>
    <n v="0"/>
    <n v="0"/>
    <n v="112"/>
    <n v="0"/>
    <n v="120"/>
    <n v="0"/>
    <s v="NA"/>
    <s v="MnPrv"/>
    <s v="Shed"/>
    <n v="620"/>
    <n v="7"/>
    <n v="2006"/>
    <s v="WD"/>
    <s v="Abnorml"/>
    <n v="88000"/>
  </r>
  <r>
    <n v="914"/>
    <n v="90"/>
    <s v="RH"/>
    <n v="82"/>
    <n v="6270"/>
    <s v="Pave"/>
    <s v="NA"/>
    <s v="Reg"/>
    <s v="HLS"/>
    <s v="AllPub"/>
    <s v="Inside"/>
    <s v="Gtl"/>
    <x v="2"/>
    <x v="0"/>
    <s v="Norm"/>
    <x v="2"/>
    <x v="0"/>
    <n v="5"/>
    <n v="6"/>
    <x v="87"/>
    <n v="1950"/>
    <s v="Gable"/>
    <s v="CompShg"/>
    <s v="MetalSd"/>
    <s v="MetalSd"/>
    <s v="None"/>
    <n v="0"/>
    <s v="TA"/>
    <s v="TA"/>
    <s v="CBlock"/>
    <s v="TA"/>
    <s v="TA"/>
    <s v="No"/>
    <s v="BLQ"/>
    <n v="284"/>
    <s v="Unf"/>
    <n v="0"/>
    <n v="717"/>
    <n v="1001"/>
    <s v="GasA"/>
    <s v="TA"/>
    <s v="N"/>
    <s v="FuseA"/>
    <n v="1001"/>
    <n v="1001"/>
    <n v="0"/>
    <x v="639"/>
    <n v="0"/>
    <n v="0"/>
    <n v="2"/>
    <n v="0"/>
    <n v="4"/>
    <n v="2"/>
    <s v="TA"/>
    <n v="8"/>
    <s v="Typ"/>
    <n v="0"/>
    <s v="NA"/>
    <s v="2Types"/>
    <n v="1949"/>
    <s v="Unf"/>
    <n v="3"/>
    <n v="871"/>
    <s v="TA"/>
    <s v="TA"/>
    <s v="Y"/>
    <n v="0"/>
    <n v="0"/>
    <n v="0"/>
    <n v="0"/>
    <n v="0"/>
    <n v="0"/>
    <s v="NA"/>
    <s v="NA"/>
    <s v="NA"/>
    <n v="0"/>
    <n v="8"/>
    <n v="2007"/>
    <s v="WD"/>
    <s v="Normal"/>
    <n v="145000"/>
  </r>
  <r>
    <n v="915"/>
    <n v="160"/>
    <s v="FV"/>
    <n v="30"/>
    <n v="3000"/>
    <s v="Pave"/>
    <s v="Pave"/>
    <s v="Reg"/>
    <s v="Lvl"/>
    <s v="AllPub"/>
    <s v="Inside"/>
    <s v="Gtl"/>
    <x v="5"/>
    <x v="0"/>
    <s v="Norm"/>
    <x v="3"/>
    <x v="0"/>
    <n v="6"/>
    <n v="5"/>
    <x v="51"/>
    <n v="2009"/>
    <s v="Gable"/>
    <s v="CompShg"/>
    <s v="VinylSd"/>
    <s v="VinylSd"/>
    <s v="Stone"/>
    <n v="76"/>
    <s v="Gd"/>
    <s v="TA"/>
    <s v="PConc"/>
    <s v="Gd"/>
    <s v="TA"/>
    <s v="Av"/>
    <s v="GLQ"/>
    <n v="294"/>
    <s v="Unf"/>
    <n v="0"/>
    <n v="318"/>
    <n v="612"/>
    <s v="GasA"/>
    <s v="Ex"/>
    <s v="Y"/>
    <s v="SBrkr"/>
    <n v="612"/>
    <n v="612"/>
    <n v="0"/>
    <x v="84"/>
    <n v="0"/>
    <n v="0"/>
    <n v="2"/>
    <n v="1"/>
    <n v="2"/>
    <n v="1"/>
    <s v="Gd"/>
    <n v="4"/>
    <s v="Typ"/>
    <n v="0"/>
    <s v="NA"/>
    <s v="Detchd"/>
    <n v="2009"/>
    <s v="RFn"/>
    <n v="2"/>
    <n v="528"/>
    <s v="TA"/>
    <s v="TA"/>
    <s v="Y"/>
    <n v="0"/>
    <n v="234"/>
    <n v="0"/>
    <n v="0"/>
    <n v="0"/>
    <n v="0"/>
    <s v="NA"/>
    <s v="NA"/>
    <s v="NA"/>
    <n v="0"/>
    <n v="6"/>
    <n v="2009"/>
    <s v="New"/>
    <s v="Partial"/>
    <n v="173733"/>
  </r>
  <r>
    <n v="916"/>
    <n v="160"/>
    <s v="RM"/>
    <n v="21"/>
    <n v="2001"/>
    <s v="Pave"/>
    <s v="NA"/>
    <s v="Reg"/>
    <s v="Lvl"/>
    <s v="AllPub"/>
    <s v="Inside"/>
    <s v="Gtl"/>
    <x v="14"/>
    <x v="0"/>
    <s v="Norm"/>
    <x v="4"/>
    <x v="0"/>
    <n v="4"/>
    <n v="5"/>
    <x v="16"/>
    <n v="1970"/>
    <s v="Gable"/>
    <s v="CompShg"/>
    <s v="CemntBd"/>
    <s v="CmentBd"/>
    <s v="BrkFace"/>
    <n v="80"/>
    <s v="TA"/>
    <s v="TA"/>
    <s v="CBlock"/>
    <s v="TA"/>
    <s v="TA"/>
    <s v="No"/>
    <s v="Unf"/>
    <n v="0"/>
    <s v="Unf"/>
    <n v="0"/>
    <n v="546"/>
    <n v="546"/>
    <s v="GasA"/>
    <s v="Fa"/>
    <s v="Y"/>
    <s v="SBrkr"/>
    <n v="546"/>
    <n v="546"/>
    <n v="0"/>
    <x v="110"/>
    <n v="0"/>
    <n v="0"/>
    <n v="1"/>
    <n v="1"/>
    <n v="3"/>
    <n v="1"/>
    <s v="TA"/>
    <n v="6"/>
    <s v="Typ"/>
    <n v="0"/>
    <s v="NA"/>
    <s v="Attchd"/>
    <n v="1970"/>
    <s v="Unf"/>
    <n v="1"/>
    <n v="286"/>
    <s v="TA"/>
    <s v="TA"/>
    <s v="Y"/>
    <n v="0"/>
    <n v="0"/>
    <n v="0"/>
    <n v="0"/>
    <n v="0"/>
    <n v="0"/>
    <s v="NA"/>
    <s v="NA"/>
    <s v="NA"/>
    <n v="0"/>
    <n v="1"/>
    <n v="2007"/>
    <s v="WD"/>
    <s v="Normal"/>
    <n v="75000"/>
  </r>
  <r>
    <n v="917"/>
    <n v="20"/>
    <s v="C (all)"/>
    <n v="50"/>
    <n v="9000"/>
    <s v="Pave"/>
    <s v="NA"/>
    <s v="Reg"/>
    <s v="Lvl"/>
    <s v="AllPub"/>
    <s v="Inside"/>
    <s v="Gtl"/>
    <x v="13"/>
    <x v="0"/>
    <s v="Norm"/>
    <x v="0"/>
    <x v="1"/>
    <n v="2"/>
    <n v="3"/>
    <x v="87"/>
    <n v="1950"/>
    <s v="Gable"/>
    <s v="CompShg"/>
    <s v="AsbShng"/>
    <s v="AsbShng"/>
    <s v="None"/>
    <n v="0"/>
    <s v="TA"/>
    <s v="TA"/>
    <s v="CBlock"/>
    <s v="TA"/>
    <s v="TA"/>
    <s v="Av"/>
    <s v="BLQ"/>
    <n v="50"/>
    <s v="Unf"/>
    <n v="0"/>
    <n v="430"/>
    <n v="480"/>
    <s v="GasA"/>
    <s v="TA"/>
    <s v="N"/>
    <s v="FuseA"/>
    <n v="480"/>
    <n v="0"/>
    <n v="0"/>
    <x v="640"/>
    <n v="1"/>
    <n v="0"/>
    <n v="0"/>
    <n v="0"/>
    <n v="1"/>
    <n v="1"/>
    <s v="TA"/>
    <n v="4"/>
    <s v="Typ"/>
    <n v="0"/>
    <s v="NA"/>
    <s v="Detchd"/>
    <n v="1958"/>
    <s v="Unf"/>
    <n v="1"/>
    <n v="308"/>
    <s v="TA"/>
    <s v="TA"/>
    <s v="Y"/>
    <n v="0"/>
    <n v="0"/>
    <n v="0"/>
    <n v="0"/>
    <n v="0"/>
    <n v="0"/>
    <s v="NA"/>
    <s v="NA"/>
    <s v="NA"/>
    <n v="0"/>
    <n v="10"/>
    <n v="2006"/>
    <s v="WD"/>
    <s v="Abnorml"/>
    <n v="35311"/>
  </r>
  <r>
    <n v="918"/>
    <n v="20"/>
    <s v="RL"/>
    <s v="NA"/>
    <n v="17140"/>
    <s v="Pave"/>
    <s v="NA"/>
    <s v="Reg"/>
    <s v="Lvl"/>
    <s v="AllPub"/>
    <s v="Inside"/>
    <s v="Gtl"/>
    <x v="15"/>
    <x v="0"/>
    <s v="Norm"/>
    <x v="0"/>
    <x v="1"/>
    <n v="4"/>
    <n v="6"/>
    <x v="46"/>
    <n v="1956"/>
    <s v="Gable"/>
    <s v="CompShg"/>
    <s v="VinylSd"/>
    <s v="VinylSd"/>
    <s v="None"/>
    <n v="0"/>
    <s v="TA"/>
    <s v="TA"/>
    <s v="CBlock"/>
    <s v="TA"/>
    <s v="TA"/>
    <s v="No"/>
    <s v="ALQ"/>
    <n v="1059"/>
    <s v="Unf"/>
    <n v="0"/>
    <n v="75"/>
    <n v="1134"/>
    <s v="GasA"/>
    <s v="Ex"/>
    <s v="Y"/>
    <s v="FuseA"/>
    <n v="1229"/>
    <n v="0"/>
    <n v="0"/>
    <x v="641"/>
    <n v="0"/>
    <n v="0"/>
    <n v="1"/>
    <n v="0"/>
    <n v="3"/>
    <n v="1"/>
    <s v="TA"/>
    <n v="6"/>
    <s v="Typ"/>
    <n v="0"/>
    <s v="NA"/>
    <s v="Attchd"/>
    <n v="1956"/>
    <s v="RFn"/>
    <n v="1"/>
    <n v="284"/>
    <s v="TA"/>
    <s v="TA"/>
    <s v="Y"/>
    <n v="0"/>
    <n v="0"/>
    <n v="0"/>
    <n v="0"/>
    <n v="0"/>
    <n v="0"/>
    <s v="NA"/>
    <s v="NA"/>
    <s v="NA"/>
    <n v="0"/>
    <n v="4"/>
    <n v="2009"/>
    <s v="WD"/>
    <s v="Normal"/>
    <n v="135000"/>
  </r>
  <r>
    <n v="919"/>
    <n v="60"/>
    <s v="RL"/>
    <n v="103"/>
    <n v="13125"/>
    <s v="Pave"/>
    <s v="NA"/>
    <s v="IR1"/>
    <s v="Lvl"/>
    <s v="AllPub"/>
    <s v="Corner"/>
    <s v="Gtl"/>
    <x v="12"/>
    <x v="0"/>
    <s v="Norm"/>
    <x v="0"/>
    <x v="0"/>
    <n v="7"/>
    <n v="5"/>
    <x v="50"/>
    <n v="1991"/>
    <s v="Gable"/>
    <s v="CompShg"/>
    <s v="HdBoard"/>
    <s v="HdBoard"/>
    <s v="None"/>
    <n v="0"/>
    <s v="Gd"/>
    <s v="TA"/>
    <s v="PConc"/>
    <s v="Ex"/>
    <s v="TA"/>
    <s v="Mn"/>
    <s v="BLQ"/>
    <n v="48"/>
    <s v="GLQ"/>
    <n v="634"/>
    <n v="422"/>
    <n v="1104"/>
    <s v="GasA"/>
    <s v="Ex"/>
    <s v="Y"/>
    <s v="SBrkr"/>
    <n v="912"/>
    <n v="1215"/>
    <n v="0"/>
    <x v="642"/>
    <n v="1"/>
    <n v="0"/>
    <n v="2"/>
    <n v="1"/>
    <n v="4"/>
    <n v="1"/>
    <s v="Gd"/>
    <n v="8"/>
    <s v="Typ"/>
    <n v="1"/>
    <s v="TA"/>
    <s v="Attchd"/>
    <n v="1991"/>
    <s v="RFn"/>
    <n v="3"/>
    <n v="833"/>
    <s v="TA"/>
    <s v="TA"/>
    <s v="Y"/>
    <n v="72"/>
    <n v="192"/>
    <n v="224"/>
    <n v="0"/>
    <n v="0"/>
    <n v="0"/>
    <s v="NA"/>
    <s v="GdPrv"/>
    <s v="NA"/>
    <n v="0"/>
    <n v="11"/>
    <n v="2007"/>
    <s v="WD"/>
    <s v="Normal"/>
    <n v="238000"/>
  </r>
  <r>
    <n v="920"/>
    <n v="20"/>
    <s v="RL"/>
    <n v="87"/>
    <n v="11029"/>
    <s v="Pave"/>
    <s v="NA"/>
    <s v="IR1"/>
    <s v="Lvl"/>
    <s v="AllPub"/>
    <s v="Corner"/>
    <s v="Gtl"/>
    <x v="11"/>
    <x v="0"/>
    <s v="Norm"/>
    <x v="0"/>
    <x v="1"/>
    <n v="6"/>
    <n v="8"/>
    <x v="18"/>
    <n v="2002"/>
    <s v="Hip"/>
    <s v="CompShg"/>
    <s v="MetalSd"/>
    <s v="MetalSd"/>
    <s v="None"/>
    <n v="0"/>
    <s v="Ex"/>
    <s v="TA"/>
    <s v="CBlock"/>
    <s v="Gd"/>
    <s v="TA"/>
    <s v="No"/>
    <s v="ALQ"/>
    <n v="528"/>
    <s v="BLQ"/>
    <n v="411"/>
    <n v="245"/>
    <n v="1184"/>
    <s v="GasA"/>
    <s v="Ex"/>
    <s v="Y"/>
    <s v="SBrkr"/>
    <n v="1414"/>
    <n v="0"/>
    <n v="0"/>
    <x v="206"/>
    <n v="1"/>
    <n v="0"/>
    <n v="1"/>
    <n v="0"/>
    <n v="3"/>
    <n v="1"/>
    <s v="TA"/>
    <n v="6"/>
    <s v="Min1"/>
    <n v="1"/>
    <s v="TA"/>
    <s v="Attchd"/>
    <n v="1990"/>
    <s v="Unf"/>
    <n v="2"/>
    <n v="601"/>
    <s v="TA"/>
    <s v="TA"/>
    <s v="Y"/>
    <n v="0"/>
    <n v="51"/>
    <n v="0"/>
    <n v="0"/>
    <n v="190"/>
    <n v="0"/>
    <s v="NA"/>
    <s v="NA"/>
    <s v="NA"/>
    <n v="0"/>
    <n v="5"/>
    <n v="2008"/>
    <s v="WD"/>
    <s v="Normal"/>
    <n v="176500"/>
  </r>
  <r>
    <n v="921"/>
    <n v="60"/>
    <s v="RL"/>
    <n v="70"/>
    <n v="8462"/>
    <s v="Pave"/>
    <s v="NA"/>
    <s v="IR1"/>
    <s v="Lvl"/>
    <s v="AllPub"/>
    <s v="Inside"/>
    <s v="Gtl"/>
    <x v="12"/>
    <x v="0"/>
    <s v="Norm"/>
    <x v="0"/>
    <x v="0"/>
    <n v="6"/>
    <n v="5"/>
    <x v="29"/>
    <n v="1994"/>
    <s v="Gable"/>
    <s v="CompShg"/>
    <s v="HdBoard"/>
    <s v="HdBoard"/>
    <s v="BrkFace"/>
    <n v="105"/>
    <s v="Gd"/>
    <s v="Gd"/>
    <s v="PConc"/>
    <s v="Gd"/>
    <s v="Gd"/>
    <s v="No"/>
    <s v="GLQ"/>
    <n v="814"/>
    <s v="Unf"/>
    <n v="0"/>
    <n v="114"/>
    <n v="928"/>
    <s v="GasA"/>
    <s v="Ex"/>
    <s v="Y"/>
    <s v="SBrkr"/>
    <n v="936"/>
    <n v="785"/>
    <n v="0"/>
    <x v="126"/>
    <n v="0"/>
    <n v="1"/>
    <n v="2"/>
    <n v="1"/>
    <n v="3"/>
    <n v="1"/>
    <s v="Gd"/>
    <n v="7"/>
    <s v="Typ"/>
    <n v="0"/>
    <s v="NA"/>
    <s v="Attchd"/>
    <n v="1994"/>
    <s v="RFn"/>
    <n v="2"/>
    <n v="471"/>
    <s v="TA"/>
    <s v="TA"/>
    <s v="Y"/>
    <n v="300"/>
    <n v="87"/>
    <n v="0"/>
    <n v="0"/>
    <n v="0"/>
    <n v="0"/>
    <s v="NA"/>
    <s v="NA"/>
    <s v="NA"/>
    <n v="0"/>
    <n v="7"/>
    <n v="2007"/>
    <s v="WD"/>
    <s v="Normal"/>
    <n v="201000"/>
  </r>
  <r>
    <n v="922"/>
    <n v="90"/>
    <s v="RL"/>
    <n v="67"/>
    <n v="8777"/>
    <s v="Pave"/>
    <s v="NA"/>
    <s v="Reg"/>
    <s v="Lvl"/>
    <s v="AllPub"/>
    <s v="Inside"/>
    <s v="Gtl"/>
    <x v="15"/>
    <x v="1"/>
    <s v="Norm"/>
    <x v="2"/>
    <x v="2"/>
    <n v="5"/>
    <n v="7"/>
    <x v="83"/>
    <n v="2003"/>
    <s v="Gable"/>
    <s v="CompShg"/>
    <s v="MetalSd"/>
    <s v="MetalSd"/>
    <s v="None"/>
    <n v="0"/>
    <s v="TA"/>
    <s v="TA"/>
    <s v="CBlock"/>
    <s v="TA"/>
    <s v="TA"/>
    <s v="No"/>
    <s v="ALQ"/>
    <n v="1084"/>
    <s v="Unf"/>
    <n v="0"/>
    <n v="188"/>
    <n v="1272"/>
    <s v="GasA"/>
    <s v="Gd"/>
    <s v="Y"/>
    <s v="SBrkr"/>
    <n v="1272"/>
    <n v="928"/>
    <n v="0"/>
    <x v="643"/>
    <n v="2"/>
    <n v="0"/>
    <n v="2"/>
    <n v="2"/>
    <n v="4"/>
    <n v="2"/>
    <s v="TA"/>
    <n v="9"/>
    <s v="Typ"/>
    <n v="0"/>
    <s v="NA"/>
    <s v="NA"/>
    <s v="NA"/>
    <s v="NA"/>
    <n v="0"/>
    <n v="0"/>
    <s v="NA"/>
    <s v="NA"/>
    <s v="N"/>
    <n v="0"/>
    <n v="70"/>
    <n v="0"/>
    <n v="0"/>
    <n v="0"/>
    <n v="0"/>
    <s v="NA"/>
    <s v="GdPrv"/>
    <s v="NA"/>
    <n v="0"/>
    <n v="9"/>
    <n v="2008"/>
    <s v="WD"/>
    <s v="Normal"/>
    <n v="145900"/>
  </r>
  <r>
    <n v="923"/>
    <n v="20"/>
    <s v="RL"/>
    <n v="65"/>
    <n v="10237"/>
    <s v="Pave"/>
    <s v="NA"/>
    <s v="Reg"/>
    <s v="Lvl"/>
    <s v="AllPub"/>
    <s v="Inside"/>
    <s v="Gtl"/>
    <x v="17"/>
    <x v="6"/>
    <s v="Norm"/>
    <x v="0"/>
    <x v="1"/>
    <n v="6"/>
    <n v="5"/>
    <x v="11"/>
    <n v="2006"/>
    <s v="Gable"/>
    <s v="CompShg"/>
    <s v="VinylSd"/>
    <s v="VinylSd"/>
    <s v="None"/>
    <n v="0"/>
    <s v="Gd"/>
    <s v="TA"/>
    <s v="PConc"/>
    <s v="Gd"/>
    <s v="TA"/>
    <s v="No"/>
    <s v="GLQ"/>
    <n v="28"/>
    <s v="Unf"/>
    <n v="0"/>
    <n v="1288"/>
    <n v="1316"/>
    <s v="GasA"/>
    <s v="Ex"/>
    <s v="Y"/>
    <s v="SBrkr"/>
    <n v="1316"/>
    <n v="0"/>
    <n v="0"/>
    <x v="225"/>
    <n v="0"/>
    <n v="0"/>
    <n v="2"/>
    <n v="0"/>
    <n v="3"/>
    <n v="1"/>
    <s v="Gd"/>
    <n v="6"/>
    <s v="Typ"/>
    <n v="1"/>
    <s v="Gd"/>
    <s v="Attchd"/>
    <n v="2005"/>
    <s v="Fin"/>
    <n v="2"/>
    <n v="397"/>
    <s v="TA"/>
    <s v="TA"/>
    <s v="Y"/>
    <n v="100"/>
    <n v="0"/>
    <n v="0"/>
    <n v="23"/>
    <n v="0"/>
    <n v="0"/>
    <s v="NA"/>
    <s v="NA"/>
    <s v="NA"/>
    <n v="0"/>
    <n v="10"/>
    <n v="2006"/>
    <s v="New"/>
    <s v="Partial"/>
    <n v="169990"/>
  </r>
  <r>
    <n v="924"/>
    <n v="120"/>
    <s v="RL"/>
    <n v="50"/>
    <n v="8012"/>
    <s v="Pave"/>
    <s v="NA"/>
    <s v="Reg"/>
    <s v="Lvl"/>
    <s v="AllPub"/>
    <s v="Inside"/>
    <s v="Gtl"/>
    <x v="12"/>
    <x v="0"/>
    <s v="Norm"/>
    <x v="3"/>
    <x v="1"/>
    <n v="6"/>
    <n v="5"/>
    <x v="5"/>
    <n v="1994"/>
    <s v="Gable"/>
    <s v="CompShg"/>
    <s v="Plywood"/>
    <s v="Plywood"/>
    <s v="None"/>
    <n v="0"/>
    <s v="Gd"/>
    <s v="TA"/>
    <s v="PConc"/>
    <s v="Gd"/>
    <s v="TA"/>
    <s v="No"/>
    <s v="LwQ"/>
    <n v="165"/>
    <s v="GLQ"/>
    <n v="841"/>
    <n v="598"/>
    <n v="1604"/>
    <s v="GasA"/>
    <s v="Ex"/>
    <s v="Y"/>
    <s v="SBrkr"/>
    <n v="1617"/>
    <n v="0"/>
    <n v="0"/>
    <x v="644"/>
    <n v="1"/>
    <n v="0"/>
    <n v="2"/>
    <n v="0"/>
    <n v="2"/>
    <n v="1"/>
    <s v="Gd"/>
    <n v="5"/>
    <s v="Typ"/>
    <n v="1"/>
    <s v="Fa"/>
    <s v="Attchd"/>
    <n v="1993"/>
    <s v="RFn"/>
    <n v="2"/>
    <n v="533"/>
    <s v="TA"/>
    <s v="TA"/>
    <s v="Y"/>
    <n v="0"/>
    <n v="69"/>
    <n v="0"/>
    <n v="0"/>
    <n v="0"/>
    <n v="0"/>
    <s v="NA"/>
    <s v="NA"/>
    <s v="NA"/>
    <n v="0"/>
    <n v="7"/>
    <n v="2008"/>
    <s v="WD"/>
    <s v="Normal"/>
    <n v="193000"/>
  </r>
  <r>
    <n v="925"/>
    <n v="20"/>
    <s v="RL"/>
    <n v="79"/>
    <n v="10240"/>
    <s v="Pave"/>
    <s v="NA"/>
    <s v="Reg"/>
    <s v="Lvl"/>
    <s v="AllPub"/>
    <s v="Inside"/>
    <s v="Gtl"/>
    <x v="6"/>
    <x v="0"/>
    <s v="Norm"/>
    <x v="0"/>
    <x v="1"/>
    <n v="6"/>
    <n v="6"/>
    <x v="84"/>
    <n v="1980"/>
    <s v="Gable"/>
    <s v="CompShg"/>
    <s v="Plywood"/>
    <s v="Plywood"/>
    <s v="BrkFace"/>
    <n v="157"/>
    <s v="TA"/>
    <s v="Gd"/>
    <s v="CBlock"/>
    <s v="Gd"/>
    <s v="TA"/>
    <s v="No"/>
    <s v="BLQ"/>
    <n v="625"/>
    <s v="LwQ"/>
    <n v="1061"/>
    <n v="0"/>
    <n v="1686"/>
    <s v="GasA"/>
    <s v="TA"/>
    <s v="Y"/>
    <s v="SBrkr"/>
    <n v="1686"/>
    <n v="0"/>
    <n v="0"/>
    <x v="645"/>
    <n v="1"/>
    <n v="0"/>
    <n v="2"/>
    <n v="0"/>
    <n v="3"/>
    <n v="1"/>
    <s v="TA"/>
    <n v="7"/>
    <s v="Typ"/>
    <n v="1"/>
    <s v="TA"/>
    <s v="Attchd"/>
    <n v="1980"/>
    <s v="Unf"/>
    <n v="2"/>
    <n v="612"/>
    <s v="TA"/>
    <s v="TA"/>
    <s v="Y"/>
    <n v="384"/>
    <n v="131"/>
    <n v="0"/>
    <n v="0"/>
    <n v="0"/>
    <n v="0"/>
    <s v="NA"/>
    <s v="NA"/>
    <s v="NA"/>
    <n v="0"/>
    <n v="5"/>
    <n v="2006"/>
    <s v="WD"/>
    <s v="Normal"/>
    <n v="207500"/>
  </r>
  <r>
    <n v="926"/>
    <n v="20"/>
    <s v="RL"/>
    <s v="NA"/>
    <n v="15611"/>
    <s v="Pave"/>
    <s v="NA"/>
    <s v="IR1"/>
    <s v="Lvl"/>
    <s v="AllPub"/>
    <s v="Corner"/>
    <s v="Gtl"/>
    <x v="6"/>
    <x v="0"/>
    <s v="Norm"/>
    <x v="0"/>
    <x v="1"/>
    <n v="5"/>
    <n v="6"/>
    <x v="54"/>
    <n v="1977"/>
    <s v="Gable"/>
    <s v="CompShg"/>
    <s v="VinylSd"/>
    <s v="VinylSd"/>
    <s v="None"/>
    <n v="0"/>
    <s v="TA"/>
    <s v="TA"/>
    <s v="PConc"/>
    <s v="Gd"/>
    <s v="TA"/>
    <s v="Av"/>
    <s v="ALQ"/>
    <n v="767"/>
    <s v="LwQ"/>
    <n v="93"/>
    <n v="266"/>
    <n v="1126"/>
    <s v="GasA"/>
    <s v="TA"/>
    <s v="Y"/>
    <s v="SBrkr"/>
    <n v="1126"/>
    <n v="0"/>
    <n v="0"/>
    <x v="437"/>
    <n v="0"/>
    <n v="1"/>
    <n v="2"/>
    <n v="0"/>
    <n v="3"/>
    <n v="1"/>
    <s v="Ex"/>
    <n v="6"/>
    <s v="Typ"/>
    <n v="0"/>
    <s v="NA"/>
    <s v="Attchd"/>
    <n v="1977"/>
    <s v="RFn"/>
    <n v="2"/>
    <n v="540"/>
    <s v="TA"/>
    <s v="TA"/>
    <s v="Y"/>
    <n v="180"/>
    <n v="0"/>
    <n v="0"/>
    <n v="0"/>
    <n v="0"/>
    <n v="0"/>
    <s v="NA"/>
    <s v="NA"/>
    <s v="NA"/>
    <n v="0"/>
    <n v="3"/>
    <n v="2008"/>
    <s v="WD"/>
    <s v="Abnorml"/>
    <n v="175000"/>
  </r>
  <r>
    <n v="927"/>
    <n v="60"/>
    <s v="RL"/>
    <n v="93"/>
    <n v="11999"/>
    <s v="Pave"/>
    <s v="NA"/>
    <s v="Reg"/>
    <s v="Lvl"/>
    <s v="AllPub"/>
    <s v="Inside"/>
    <s v="Gtl"/>
    <x v="10"/>
    <x v="0"/>
    <s v="Norm"/>
    <x v="0"/>
    <x v="0"/>
    <n v="8"/>
    <n v="5"/>
    <x v="0"/>
    <n v="2004"/>
    <s v="Hip"/>
    <s v="CompShg"/>
    <s v="VinylSd"/>
    <s v="VinylSd"/>
    <s v="BrkFace"/>
    <n v="340"/>
    <s v="Gd"/>
    <s v="TA"/>
    <s v="PConc"/>
    <s v="Gd"/>
    <s v="TA"/>
    <s v="No"/>
    <s v="Unf"/>
    <n v="0"/>
    <s v="Unf"/>
    <n v="0"/>
    <n v="1181"/>
    <n v="1181"/>
    <s v="GasA"/>
    <s v="Ex"/>
    <s v="Y"/>
    <s v="SBrkr"/>
    <n v="1234"/>
    <n v="1140"/>
    <n v="0"/>
    <x v="646"/>
    <n v="0"/>
    <n v="0"/>
    <n v="2"/>
    <n v="1"/>
    <n v="4"/>
    <n v="1"/>
    <s v="Ex"/>
    <n v="10"/>
    <s v="Typ"/>
    <n v="1"/>
    <s v="Gd"/>
    <s v="BuiltIn"/>
    <n v="2003"/>
    <s v="Fin"/>
    <n v="3"/>
    <n v="656"/>
    <s v="TA"/>
    <s v="TA"/>
    <s v="Y"/>
    <n v="104"/>
    <n v="100"/>
    <n v="0"/>
    <n v="0"/>
    <n v="0"/>
    <n v="0"/>
    <s v="NA"/>
    <s v="NA"/>
    <s v="NA"/>
    <n v="0"/>
    <n v="5"/>
    <n v="2007"/>
    <s v="WD"/>
    <s v="Normal"/>
    <n v="285000"/>
  </r>
  <r>
    <n v="928"/>
    <n v="60"/>
    <s v="RL"/>
    <s v="NA"/>
    <n v="9900"/>
    <s v="Pave"/>
    <s v="NA"/>
    <s v="Reg"/>
    <s v="Lvl"/>
    <s v="AllPub"/>
    <s v="Inside"/>
    <s v="Gtl"/>
    <x v="6"/>
    <x v="1"/>
    <s v="Norm"/>
    <x v="0"/>
    <x v="0"/>
    <n v="7"/>
    <n v="5"/>
    <x v="21"/>
    <n v="1968"/>
    <s v="Gable"/>
    <s v="CompShg"/>
    <s v="MetalSd"/>
    <s v="MetalSd"/>
    <s v="BrkFace"/>
    <n v="342"/>
    <s v="TA"/>
    <s v="TA"/>
    <s v="CBlock"/>
    <s v="TA"/>
    <s v="TA"/>
    <s v="No"/>
    <s v="BLQ"/>
    <n v="552"/>
    <s v="Unf"/>
    <n v="0"/>
    <n v="280"/>
    <n v="832"/>
    <s v="GasA"/>
    <s v="Gd"/>
    <s v="Y"/>
    <s v="SBrkr"/>
    <n v="1098"/>
    <n v="880"/>
    <n v="0"/>
    <x v="647"/>
    <n v="0"/>
    <n v="0"/>
    <n v="2"/>
    <n v="1"/>
    <n v="4"/>
    <n v="1"/>
    <s v="TA"/>
    <n v="9"/>
    <s v="Typ"/>
    <n v="1"/>
    <s v="Gd"/>
    <s v="Attchd"/>
    <n v="1968"/>
    <s v="RFn"/>
    <n v="2"/>
    <n v="486"/>
    <s v="TA"/>
    <s v="TA"/>
    <s v="Y"/>
    <n v="0"/>
    <n v="43"/>
    <n v="0"/>
    <n v="0"/>
    <n v="0"/>
    <n v="0"/>
    <s v="NA"/>
    <s v="GdPrv"/>
    <s v="NA"/>
    <n v="0"/>
    <n v="4"/>
    <n v="2008"/>
    <s v="WD"/>
    <s v="Normal"/>
    <n v="176000"/>
  </r>
  <r>
    <n v="929"/>
    <n v="20"/>
    <s v="RL"/>
    <s v="NA"/>
    <n v="11838"/>
    <s v="Pave"/>
    <s v="NA"/>
    <s v="Reg"/>
    <s v="Lvl"/>
    <s v="AllPub"/>
    <s v="Inside"/>
    <s v="Gtl"/>
    <x v="0"/>
    <x v="0"/>
    <s v="Norm"/>
    <x v="0"/>
    <x v="1"/>
    <n v="8"/>
    <n v="5"/>
    <x v="2"/>
    <n v="2001"/>
    <s v="Hip"/>
    <s v="CompShg"/>
    <s v="VinylSd"/>
    <s v="VinylSd"/>
    <s v="None"/>
    <n v="0"/>
    <s v="Gd"/>
    <s v="TA"/>
    <s v="PConc"/>
    <s v="Gd"/>
    <s v="TA"/>
    <s v="Av"/>
    <s v="Unf"/>
    <n v="0"/>
    <s v="Unf"/>
    <n v="0"/>
    <n v="1753"/>
    <n v="1753"/>
    <s v="GasA"/>
    <s v="Ex"/>
    <s v="Y"/>
    <s v="SBrkr"/>
    <n v="1788"/>
    <n v="0"/>
    <n v="0"/>
    <x v="648"/>
    <n v="0"/>
    <n v="0"/>
    <n v="2"/>
    <n v="0"/>
    <n v="3"/>
    <n v="1"/>
    <s v="Ex"/>
    <n v="7"/>
    <s v="Typ"/>
    <n v="1"/>
    <s v="TA"/>
    <s v="Attchd"/>
    <n v="2001"/>
    <s v="RFn"/>
    <n v="2"/>
    <n v="522"/>
    <s v="TA"/>
    <s v="TA"/>
    <s v="Y"/>
    <n v="202"/>
    <n v="151"/>
    <n v="0"/>
    <n v="0"/>
    <n v="0"/>
    <n v="0"/>
    <s v="NA"/>
    <s v="NA"/>
    <s v="NA"/>
    <n v="0"/>
    <n v="6"/>
    <n v="2009"/>
    <s v="WD"/>
    <s v="Normal"/>
    <n v="236500"/>
  </r>
  <r>
    <n v="930"/>
    <n v="60"/>
    <s v="RL"/>
    <s v="NA"/>
    <n v="13006"/>
    <s v="Pave"/>
    <s v="NA"/>
    <s v="IR1"/>
    <s v="Lvl"/>
    <s v="AllPub"/>
    <s v="Corner"/>
    <s v="Gtl"/>
    <x v="17"/>
    <x v="0"/>
    <s v="Norm"/>
    <x v="0"/>
    <x v="0"/>
    <n v="7"/>
    <n v="5"/>
    <x v="35"/>
    <n v="1997"/>
    <s v="Gable"/>
    <s v="CompShg"/>
    <s v="HdBoard"/>
    <s v="HdBoard"/>
    <s v="BrkFace"/>
    <n v="285"/>
    <s v="TA"/>
    <s v="TA"/>
    <s v="PConc"/>
    <s v="Gd"/>
    <s v="TA"/>
    <s v="No"/>
    <s v="Unf"/>
    <n v="0"/>
    <s v="Unf"/>
    <n v="0"/>
    <n v="964"/>
    <n v="964"/>
    <s v="GasA"/>
    <s v="Gd"/>
    <s v="Y"/>
    <s v="SBrkr"/>
    <n v="993"/>
    <n v="1243"/>
    <n v="0"/>
    <x v="649"/>
    <n v="0"/>
    <n v="0"/>
    <n v="2"/>
    <n v="1"/>
    <n v="4"/>
    <n v="1"/>
    <s v="Gd"/>
    <n v="8"/>
    <s v="Typ"/>
    <n v="1"/>
    <s v="TA"/>
    <s v="BuiltIn"/>
    <n v="1997"/>
    <s v="Fin"/>
    <n v="2"/>
    <n v="642"/>
    <s v="TA"/>
    <s v="TA"/>
    <s v="Y"/>
    <n v="0"/>
    <n v="0"/>
    <n v="0"/>
    <n v="0"/>
    <n v="0"/>
    <n v="0"/>
    <s v="NA"/>
    <s v="NA"/>
    <s v="NA"/>
    <n v="0"/>
    <n v="11"/>
    <n v="2006"/>
    <s v="WD"/>
    <s v="Normal"/>
    <n v="222000"/>
  </r>
  <r>
    <n v="931"/>
    <n v="20"/>
    <s v="RL"/>
    <n v="73"/>
    <n v="8925"/>
    <s v="Pave"/>
    <s v="NA"/>
    <s v="IR1"/>
    <s v="HLS"/>
    <s v="AllPub"/>
    <s v="Inside"/>
    <s v="Gtl"/>
    <x v="16"/>
    <x v="0"/>
    <s v="Norm"/>
    <x v="0"/>
    <x v="1"/>
    <n v="8"/>
    <n v="5"/>
    <x v="22"/>
    <n v="2007"/>
    <s v="Gable"/>
    <s v="CompShg"/>
    <s v="VinylSd"/>
    <s v="VinylSd"/>
    <s v="None"/>
    <n v="0"/>
    <s v="Gd"/>
    <s v="TA"/>
    <s v="PConc"/>
    <s v="Gd"/>
    <s v="TA"/>
    <s v="Av"/>
    <s v="GLQ"/>
    <n v="16"/>
    <s v="Unf"/>
    <n v="0"/>
    <n v="1450"/>
    <n v="1466"/>
    <s v="GasA"/>
    <s v="Ex"/>
    <s v="Y"/>
    <s v="SBrkr"/>
    <n v="1466"/>
    <n v="0"/>
    <n v="0"/>
    <x v="650"/>
    <n v="0"/>
    <n v="0"/>
    <n v="2"/>
    <n v="0"/>
    <n v="3"/>
    <n v="1"/>
    <s v="Gd"/>
    <n v="7"/>
    <s v="Typ"/>
    <n v="0"/>
    <s v="NA"/>
    <s v="Attchd"/>
    <n v="2007"/>
    <s v="Fin"/>
    <n v="3"/>
    <n v="610"/>
    <s v="TA"/>
    <s v="TA"/>
    <s v="Y"/>
    <n v="100"/>
    <n v="18"/>
    <n v="0"/>
    <n v="0"/>
    <n v="0"/>
    <n v="0"/>
    <s v="NA"/>
    <s v="NA"/>
    <s v="NA"/>
    <n v="0"/>
    <n v="7"/>
    <n v="2009"/>
    <s v="WD"/>
    <s v="Normal"/>
    <n v="201000"/>
  </r>
  <r>
    <n v="932"/>
    <n v="20"/>
    <s v="RL"/>
    <n v="70"/>
    <n v="9100"/>
    <s v="Pave"/>
    <s v="NA"/>
    <s v="Reg"/>
    <s v="Lvl"/>
    <s v="AllPub"/>
    <s v="Inside"/>
    <s v="Gtl"/>
    <x v="11"/>
    <x v="0"/>
    <s v="Norm"/>
    <x v="0"/>
    <x v="1"/>
    <n v="5"/>
    <n v="6"/>
    <x v="10"/>
    <n v="1965"/>
    <s v="Gable"/>
    <s v="CompShg"/>
    <s v="VinylSd"/>
    <s v="VinylSd"/>
    <s v="None"/>
    <n v="0"/>
    <s v="TA"/>
    <s v="TA"/>
    <s v="CBlock"/>
    <s v="TA"/>
    <s v="TA"/>
    <s v="No"/>
    <s v="BLQ"/>
    <n v="338"/>
    <s v="Rec"/>
    <n v="466"/>
    <n v="121"/>
    <n v="925"/>
    <s v="GasA"/>
    <s v="Ex"/>
    <s v="Y"/>
    <s v="SBrkr"/>
    <n v="925"/>
    <n v="0"/>
    <n v="0"/>
    <x v="651"/>
    <n v="0"/>
    <n v="1"/>
    <n v="1"/>
    <n v="0"/>
    <n v="2"/>
    <n v="1"/>
    <s v="TA"/>
    <n v="5"/>
    <s v="Typ"/>
    <n v="0"/>
    <s v="NA"/>
    <s v="Detchd"/>
    <n v="1965"/>
    <s v="Unf"/>
    <n v="1"/>
    <n v="429"/>
    <s v="TA"/>
    <s v="TA"/>
    <s v="Y"/>
    <n v="0"/>
    <n v="0"/>
    <n v="0"/>
    <n v="0"/>
    <n v="0"/>
    <n v="0"/>
    <s v="NA"/>
    <s v="GdWo"/>
    <s v="NA"/>
    <n v="0"/>
    <n v="7"/>
    <n v="2009"/>
    <s v="WD"/>
    <s v="Normal"/>
    <n v="117500"/>
  </r>
  <r>
    <n v="933"/>
    <n v="20"/>
    <s v="RL"/>
    <n v="84"/>
    <n v="11670"/>
    <s v="Pave"/>
    <s v="NA"/>
    <s v="IR1"/>
    <s v="Lvl"/>
    <s v="AllPub"/>
    <s v="Corner"/>
    <s v="Gtl"/>
    <x v="5"/>
    <x v="5"/>
    <s v="Norm"/>
    <x v="0"/>
    <x v="1"/>
    <n v="9"/>
    <n v="5"/>
    <x v="13"/>
    <n v="2006"/>
    <s v="Hip"/>
    <s v="CompShg"/>
    <s v="VinylSd"/>
    <s v="ImStucc"/>
    <s v="Stone"/>
    <n v="302"/>
    <s v="Ex"/>
    <s v="TA"/>
    <s v="PConc"/>
    <s v="Ex"/>
    <s v="Gd"/>
    <s v="No"/>
    <s v="Unf"/>
    <n v="0"/>
    <s v="Unf"/>
    <n v="0"/>
    <n v="1905"/>
    <n v="1905"/>
    <s v="GasA"/>
    <s v="Ex"/>
    <s v="Y"/>
    <s v="SBrkr"/>
    <n v="1905"/>
    <n v="0"/>
    <n v="0"/>
    <x v="652"/>
    <n v="0"/>
    <n v="0"/>
    <n v="2"/>
    <n v="0"/>
    <n v="3"/>
    <n v="1"/>
    <s v="Ex"/>
    <n v="8"/>
    <s v="Typ"/>
    <n v="1"/>
    <s v="Gd"/>
    <s v="Attchd"/>
    <n v="2006"/>
    <s v="Fin"/>
    <n v="3"/>
    <n v="788"/>
    <s v="TA"/>
    <s v="TA"/>
    <s v="Y"/>
    <n v="0"/>
    <n v="191"/>
    <n v="0"/>
    <n v="0"/>
    <n v="0"/>
    <n v="0"/>
    <s v="NA"/>
    <s v="NA"/>
    <s v="NA"/>
    <n v="0"/>
    <n v="3"/>
    <n v="2007"/>
    <s v="WD"/>
    <s v="Normal"/>
    <n v="320000"/>
  </r>
  <r>
    <n v="934"/>
    <n v="20"/>
    <s v="RL"/>
    <n v="63"/>
    <n v="8487"/>
    <s v="Pave"/>
    <s v="NA"/>
    <s v="Reg"/>
    <s v="Lvl"/>
    <s v="AllPub"/>
    <s v="FR2"/>
    <s v="Gtl"/>
    <x v="0"/>
    <x v="0"/>
    <s v="Norm"/>
    <x v="0"/>
    <x v="1"/>
    <n v="7"/>
    <n v="5"/>
    <x v="6"/>
    <n v="2004"/>
    <s v="Gable"/>
    <s v="CompShg"/>
    <s v="VinylSd"/>
    <s v="VinylSd"/>
    <s v="BrkFace"/>
    <n v="210"/>
    <s v="Gd"/>
    <s v="TA"/>
    <s v="PConc"/>
    <s v="Gd"/>
    <s v="TA"/>
    <s v="Av"/>
    <s v="GLQ"/>
    <n v="20"/>
    <s v="Unf"/>
    <n v="0"/>
    <n v="1480"/>
    <n v="1500"/>
    <s v="GasA"/>
    <s v="Ex"/>
    <s v="Y"/>
    <s v="SBrkr"/>
    <n v="1500"/>
    <n v="0"/>
    <n v="0"/>
    <x v="653"/>
    <n v="0"/>
    <n v="0"/>
    <n v="2"/>
    <n v="0"/>
    <n v="3"/>
    <n v="1"/>
    <s v="Gd"/>
    <n v="6"/>
    <s v="Typ"/>
    <n v="0"/>
    <s v="NA"/>
    <s v="Attchd"/>
    <n v="2004"/>
    <s v="RFn"/>
    <n v="2"/>
    <n v="570"/>
    <s v="TA"/>
    <s v="TA"/>
    <s v="Y"/>
    <n v="192"/>
    <n v="36"/>
    <n v="0"/>
    <n v="0"/>
    <n v="0"/>
    <n v="0"/>
    <s v="NA"/>
    <s v="NA"/>
    <s v="NA"/>
    <n v="0"/>
    <n v="8"/>
    <n v="2009"/>
    <s v="WD"/>
    <s v="Normal"/>
    <n v="190000"/>
  </r>
  <r>
    <n v="935"/>
    <n v="20"/>
    <s v="RL"/>
    <n v="313"/>
    <n v="27650"/>
    <s v="Pave"/>
    <s v="NA"/>
    <s v="IR2"/>
    <s v="HLS"/>
    <s v="AllPub"/>
    <s v="Inside"/>
    <s v="Mod"/>
    <x v="11"/>
    <x v="7"/>
    <s v="Norm"/>
    <x v="0"/>
    <x v="1"/>
    <n v="7"/>
    <n v="7"/>
    <x v="14"/>
    <n v="2007"/>
    <s v="Flat"/>
    <s v="Tar&amp;Grv"/>
    <s v="Wd Sdng"/>
    <s v="Wd Sdng"/>
    <s v="None"/>
    <n v="0"/>
    <s v="TA"/>
    <s v="TA"/>
    <s v="CBlock"/>
    <s v="Gd"/>
    <s v="TA"/>
    <s v="Gd"/>
    <s v="GLQ"/>
    <n v="425"/>
    <s v="Unf"/>
    <n v="0"/>
    <n v="160"/>
    <n v="585"/>
    <s v="GasA"/>
    <s v="Ex"/>
    <s v="Y"/>
    <s v="SBrkr"/>
    <n v="2069"/>
    <n v="0"/>
    <n v="0"/>
    <x v="654"/>
    <n v="1"/>
    <n v="0"/>
    <n v="2"/>
    <n v="0"/>
    <n v="4"/>
    <n v="1"/>
    <s v="Gd"/>
    <n v="9"/>
    <s v="Typ"/>
    <n v="1"/>
    <s v="Gd"/>
    <s v="Attchd"/>
    <n v="1960"/>
    <s v="RFn"/>
    <n v="2"/>
    <n v="505"/>
    <s v="TA"/>
    <s v="TA"/>
    <s v="Y"/>
    <n v="0"/>
    <n v="0"/>
    <n v="0"/>
    <n v="0"/>
    <n v="0"/>
    <n v="0"/>
    <s v="NA"/>
    <s v="NA"/>
    <s v="NA"/>
    <n v="0"/>
    <n v="11"/>
    <n v="2008"/>
    <s v="WD"/>
    <s v="Normal"/>
    <n v="242000"/>
  </r>
  <r>
    <n v="936"/>
    <n v="30"/>
    <s v="RL"/>
    <n v="52"/>
    <n v="5825"/>
    <s v="Pave"/>
    <s v="NA"/>
    <s v="IR1"/>
    <s v="Lvl"/>
    <s v="AllPub"/>
    <s v="Inside"/>
    <s v="Gtl"/>
    <x v="8"/>
    <x v="0"/>
    <s v="Norm"/>
    <x v="0"/>
    <x v="1"/>
    <n v="4"/>
    <n v="5"/>
    <x v="69"/>
    <n v="1953"/>
    <s v="Gable"/>
    <s v="CompShg"/>
    <s v="MetalSd"/>
    <s v="MetalSd"/>
    <s v="BrkFace"/>
    <n v="108"/>
    <s v="TA"/>
    <s v="Gd"/>
    <s v="PConc"/>
    <s v="Fa"/>
    <s v="TA"/>
    <s v="Mn"/>
    <s v="Unf"/>
    <n v="0"/>
    <s v="Unf"/>
    <n v="0"/>
    <n v="600"/>
    <n v="600"/>
    <s v="GasA"/>
    <s v="Gd"/>
    <s v="Y"/>
    <s v="SBrkr"/>
    <n v="747"/>
    <n v="0"/>
    <n v="0"/>
    <x v="65"/>
    <n v="0"/>
    <n v="0"/>
    <n v="1"/>
    <n v="0"/>
    <n v="1"/>
    <n v="1"/>
    <s v="TA"/>
    <n v="5"/>
    <s v="Typ"/>
    <n v="0"/>
    <s v="NA"/>
    <s v="Detchd"/>
    <n v="1953"/>
    <s v="Unf"/>
    <n v="2"/>
    <n v="528"/>
    <s v="TA"/>
    <s v="TA"/>
    <s v="Y"/>
    <n v="0"/>
    <n v="0"/>
    <n v="32"/>
    <n v="0"/>
    <n v="0"/>
    <n v="0"/>
    <s v="NA"/>
    <s v="NA"/>
    <s v="NA"/>
    <n v="0"/>
    <n v="6"/>
    <n v="2006"/>
    <s v="WD"/>
    <s v="Normal"/>
    <n v="79900"/>
  </r>
  <r>
    <n v="937"/>
    <n v="20"/>
    <s v="RL"/>
    <n v="67"/>
    <n v="10083"/>
    <s v="Pave"/>
    <s v="NA"/>
    <s v="Reg"/>
    <s v="Lvl"/>
    <s v="AllPub"/>
    <s v="Inside"/>
    <s v="Gtl"/>
    <x v="12"/>
    <x v="0"/>
    <s v="Norm"/>
    <x v="0"/>
    <x v="1"/>
    <n v="7"/>
    <n v="5"/>
    <x v="0"/>
    <n v="2003"/>
    <s v="Gable"/>
    <s v="CompShg"/>
    <s v="VinylSd"/>
    <s v="VinylSd"/>
    <s v="NA"/>
    <s v="NA"/>
    <s v="Gd"/>
    <s v="TA"/>
    <s v="PConc"/>
    <s v="Gd"/>
    <s v="TA"/>
    <s v="No"/>
    <s v="GLQ"/>
    <n v="833"/>
    <s v="Unf"/>
    <n v="0"/>
    <n v="343"/>
    <n v="1176"/>
    <s v="GasA"/>
    <s v="Ex"/>
    <s v="Y"/>
    <s v="SBrkr"/>
    <n v="1200"/>
    <n v="0"/>
    <n v="0"/>
    <x v="144"/>
    <n v="1"/>
    <n v="0"/>
    <n v="2"/>
    <n v="0"/>
    <n v="2"/>
    <n v="1"/>
    <s v="Gd"/>
    <n v="5"/>
    <s v="Typ"/>
    <n v="0"/>
    <s v="NA"/>
    <s v="Attchd"/>
    <n v="2003"/>
    <s v="RFn"/>
    <n v="2"/>
    <n v="555"/>
    <s v="TA"/>
    <s v="TA"/>
    <s v="Y"/>
    <n v="0"/>
    <n v="41"/>
    <n v="0"/>
    <n v="0"/>
    <n v="0"/>
    <n v="0"/>
    <s v="NA"/>
    <s v="NA"/>
    <s v="NA"/>
    <n v="0"/>
    <n v="8"/>
    <n v="2009"/>
    <s v="WD"/>
    <s v="Normal"/>
    <n v="184900"/>
  </r>
  <r>
    <n v="938"/>
    <n v="60"/>
    <s v="RL"/>
    <n v="75"/>
    <n v="9675"/>
    <s v="Pave"/>
    <s v="NA"/>
    <s v="Reg"/>
    <s v="Lvl"/>
    <s v="AllPub"/>
    <s v="Inside"/>
    <s v="Gtl"/>
    <x v="5"/>
    <x v="0"/>
    <s v="Norm"/>
    <x v="0"/>
    <x v="0"/>
    <n v="7"/>
    <n v="5"/>
    <x v="11"/>
    <n v="2005"/>
    <s v="Gable"/>
    <s v="CompShg"/>
    <s v="VinylSd"/>
    <s v="VinylSd"/>
    <s v="None"/>
    <n v="0"/>
    <s v="Gd"/>
    <s v="TA"/>
    <s v="PConc"/>
    <s v="Gd"/>
    <s v="TA"/>
    <s v="Mn"/>
    <s v="GLQ"/>
    <n v="341"/>
    <s v="Unf"/>
    <n v="0"/>
    <n v="772"/>
    <n v="1113"/>
    <s v="GasA"/>
    <s v="Ex"/>
    <s v="Y"/>
    <s v="SBrkr"/>
    <n v="1113"/>
    <n v="858"/>
    <n v="0"/>
    <x v="655"/>
    <n v="0"/>
    <n v="0"/>
    <n v="2"/>
    <n v="1"/>
    <n v="3"/>
    <n v="1"/>
    <s v="Gd"/>
    <n v="8"/>
    <s v="Typ"/>
    <n v="1"/>
    <s v="Gd"/>
    <s v="Attchd"/>
    <n v="2005"/>
    <s v="RFn"/>
    <n v="2"/>
    <n v="689"/>
    <s v="TA"/>
    <s v="TA"/>
    <s v="Y"/>
    <n v="0"/>
    <n v="48"/>
    <n v="0"/>
    <n v="0"/>
    <n v="0"/>
    <n v="0"/>
    <s v="NA"/>
    <s v="NA"/>
    <s v="NA"/>
    <n v="0"/>
    <n v="2"/>
    <n v="2009"/>
    <s v="WD"/>
    <s v="Normal"/>
    <n v="253000"/>
  </r>
  <r>
    <n v="939"/>
    <n v="60"/>
    <s v="RL"/>
    <n v="73"/>
    <n v="8760"/>
    <s v="Pave"/>
    <s v="NA"/>
    <s v="Reg"/>
    <s v="Lvl"/>
    <s v="AllPub"/>
    <s v="Inside"/>
    <s v="Gtl"/>
    <x v="0"/>
    <x v="0"/>
    <s v="Norm"/>
    <x v="0"/>
    <x v="0"/>
    <n v="7"/>
    <n v="5"/>
    <x v="13"/>
    <n v="2006"/>
    <s v="Gable"/>
    <s v="CompShg"/>
    <s v="VinylSd"/>
    <s v="VinylSd"/>
    <s v="None"/>
    <n v="0"/>
    <s v="Gd"/>
    <s v="TA"/>
    <s v="PConc"/>
    <s v="Gd"/>
    <s v="Gd"/>
    <s v="Mn"/>
    <s v="GLQ"/>
    <n v="464"/>
    <s v="Unf"/>
    <n v="0"/>
    <n v="927"/>
    <n v="1391"/>
    <s v="GasA"/>
    <s v="Ex"/>
    <s v="Y"/>
    <s v="SBrkr"/>
    <n v="1391"/>
    <n v="571"/>
    <n v="0"/>
    <x v="656"/>
    <n v="0"/>
    <n v="0"/>
    <n v="2"/>
    <n v="1"/>
    <n v="3"/>
    <n v="1"/>
    <s v="Gd"/>
    <n v="7"/>
    <s v="Typ"/>
    <n v="0"/>
    <s v="NA"/>
    <s v="Attchd"/>
    <n v="2006"/>
    <s v="RFn"/>
    <n v="3"/>
    <n v="868"/>
    <s v="TA"/>
    <s v="TA"/>
    <s v="Y"/>
    <n v="0"/>
    <n v="90"/>
    <n v="0"/>
    <n v="0"/>
    <n v="0"/>
    <n v="0"/>
    <s v="NA"/>
    <s v="NA"/>
    <s v="NA"/>
    <n v="0"/>
    <n v="8"/>
    <n v="2006"/>
    <s v="New"/>
    <s v="Partial"/>
    <n v="239799"/>
  </r>
  <r>
    <n v="940"/>
    <n v="70"/>
    <s v="RL"/>
    <s v="NA"/>
    <n v="24090"/>
    <s v="Pave"/>
    <s v="NA"/>
    <s v="Reg"/>
    <s v="Lvl"/>
    <s v="AllPub"/>
    <s v="Inside"/>
    <s v="Gtl"/>
    <x v="19"/>
    <x v="0"/>
    <s v="Norm"/>
    <x v="0"/>
    <x v="0"/>
    <n v="7"/>
    <n v="7"/>
    <x v="70"/>
    <n v="1950"/>
    <s v="Gable"/>
    <s v="CompShg"/>
    <s v="MetalSd"/>
    <s v="MetalSd"/>
    <s v="None"/>
    <n v="0"/>
    <s v="TA"/>
    <s v="Gd"/>
    <s v="CBlock"/>
    <s v="TA"/>
    <s v="TA"/>
    <s v="Mn"/>
    <s v="Unf"/>
    <n v="0"/>
    <s v="Unf"/>
    <n v="0"/>
    <n v="1032"/>
    <n v="1032"/>
    <s v="GasA"/>
    <s v="Ex"/>
    <s v="Y"/>
    <s v="SBrkr"/>
    <n v="1207"/>
    <n v="1196"/>
    <n v="0"/>
    <x v="657"/>
    <n v="0"/>
    <n v="0"/>
    <n v="2"/>
    <n v="0"/>
    <n v="4"/>
    <n v="1"/>
    <s v="TA"/>
    <n v="10"/>
    <s v="Typ"/>
    <n v="2"/>
    <s v="TA"/>
    <s v="Attchd"/>
    <n v="1940"/>
    <s v="Unf"/>
    <n v="1"/>
    <n v="349"/>
    <s v="TA"/>
    <s v="TA"/>
    <s v="Y"/>
    <n v="56"/>
    <n v="0"/>
    <n v="318"/>
    <n v="0"/>
    <n v="0"/>
    <n v="0"/>
    <s v="NA"/>
    <s v="NA"/>
    <s v="NA"/>
    <n v="0"/>
    <n v="6"/>
    <n v="2010"/>
    <s v="COD"/>
    <s v="Normal"/>
    <n v="244400"/>
  </r>
  <r>
    <n v="941"/>
    <n v="90"/>
    <s v="RL"/>
    <n v="55"/>
    <n v="12640"/>
    <s v="Pave"/>
    <s v="NA"/>
    <s v="IR1"/>
    <s v="Lvl"/>
    <s v="AllPub"/>
    <s v="Inside"/>
    <s v="Gtl"/>
    <x v="4"/>
    <x v="0"/>
    <s v="Norm"/>
    <x v="2"/>
    <x v="1"/>
    <n v="6"/>
    <n v="5"/>
    <x v="1"/>
    <n v="1976"/>
    <s v="Gable"/>
    <s v="CompShg"/>
    <s v="Plywood"/>
    <s v="Plywood"/>
    <s v="None"/>
    <n v="0"/>
    <s v="TA"/>
    <s v="TA"/>
    <s v="CBlock"/>
    <s v="TA"/>
    <s v="TA"/>
    <s v="Gd"/>
    <s v="Rec"/>
    <n v="936"/>
    <s v="LwQ"/>
    <n v="396"/>
    <n v="396"/>
    <n v="1728"/>
    <s v="GasA"/>
    <s v="TA"/>
    <s v="Y"/>
    <s v="SBrkr"/>
    <n v="1728"/>
    <n v="0"/>
    <n v="0"/>
    <x v="136"/>
    <n v="0"/>
    <n v="0"/>
    <n v="2"/>
    <n v="0"/>
    <n v="4"/>
    <n v="2"/>
    <s v="TA"/>
    <n v="8"/>
    <s v="Typ"/>
    <n v="0"/>
    <s v="NA"/>
    <s v="Attchd"/>
    <n v="1976"/>
    <s v="Unf"/>
    <n v="2"/>
    <n v="574"/>
    <s v="TA"/>
    <s v="TA"/>
    <s v="Y"/>
    <n v="40"/>
    <n v="0"/>
    <n v="0"/>
    <n v="0"/>
    <n v="0"/>
    <n v="0"/>
    <s v="NA"/>
    <s v="NA"/>
    <s v="NA"/>
    <n v="0"/>
    <n v="7"/>
    <n v="2006"/>
    <s v="WD"/>
    <s v="Normal"/>
    <n v="150900"/>
  </r>
  <r>
    <n v="942"/>
    <n v="60"/>
    <s v="RL"/>
    <s v="NA"/>
    <n v="8755"/>
    <s v="Pave"/>
    <s v="NA"/>
    <s v="IR1"/>
    <s v="Lvl"/>
    <s v="AllPub"/>
    <s v="FR2"/>
    <s v="Gtl"/>
    <x v="17"/>
    <x v="5"/>
    <s v="Norm"/>
    <x v="0"/>
    <x v="0"/>
    <n v="7"/>
    <n v="5"/>
    <x v="40"/>
    <n v="1999"/>
    <s v="Gable"/>
    <s v="CompShg"/>
    <s v="VinylSd"/>
    <s v="VinylSd"/>
    <s v="BrkFace"/>
    <n v="298"/>
    <s v="Gd"/>
    <s v="TA"/>
    <s v="PConc"/>
    <s v="Gd"/>
    <s v="TA"/>
    <s v="No"/>
    <s v="ALQ"/>
    <n v="772"/>
    <s v="Unf"/>
    <n v="0"/>
    <n v="220"/>
    <n v="992"/>
    <s v="GasA"/>
    <s v="Ex"/>
    <s v="Y"/>
    <s v="SBrkr"/>
    <n v="1022"/>
    <n v="1038"/>
    <n v="0"/>
    <x v="162"/>
    <n v="1"/>
    <n v="0"/>
    <n v="2"/>
    <n v="1"/>
    <n v="3"/>
    <n v="1"/>
    <s v="Gd"/>
    <n v="8"/>
    <s v="Typ"/>
    <n v="1"/>
    <s v="TA"/>
    <s v="BuiltIn"/>
    <n v="1999"/>
    <s v="RFn"/>
    <n v="2"/>
    <n v="390"/>
    <s v="TA"/>
    <s v="TA"/>
    <s v="Y"/>
    <n v="0"/>
    <n v="0"/>
    <n v="0"/>
    <n v="168"/>
    <n v="0"/>
    <n v="0"/>
    <s v="NA"/>
    <s v="GdPrv"/>
    <s v="NA"/>
    <n v="0"/>
    <n v="6"/>
    <n v="2009"/>
    <s v="WD"/>
    <s v="Normal"/>
    <n v="214000"/>
  </r>
  <r>
    <n v="943"/>
    <n v="90"/>
    <s v="RL"/>
    <n v="42"/>
    <n v="7711"/>
    <s v="Pave"/>
    <s v="NA"/>
    <s v="IR1"/>
    <s v="Lvl"/>
    <s v="AllPub"/>
    <s v="Inside"/>
    <s v="Gtl"/>
    <x v="15"/>
    <x v="0"/>
    <s v="Norm"/>
    <x v="2"/>
    <x v="1"/>
    <n v="4"/>
    <n v="3"/>
    <x v="54"/>
    <n v="1977"/>
    <s v="Gable"/>
    <s v="CompShg"/>
    <s v="MetalSd"/>
    <s v="MetalSd"/>
    <s v="None"/>
    <n v="0"/>
    <s v="TA"/>
    <s v="TA"/>
    <s v="PConc"/>
    <s v="Gd"/>
    <s v="TA"/>
    <s v="Gd"/>
    <s v="GLQ"/>
    <n v="1440"/>
    <s v="Unf"/>
    <n v="0"/>
    <n v="0"/>
    <n v="1440"/>
    <s v="GasA"/>
    <s v="TA"/>
    <s v="Y"/>
    <s v="SBrkr"/>
    <n v="1440"/>
    <n v="0"/>
    <n v="0"/>
    <x v="211"/>
    <n v="2"/>
    <n v="0"/>
    <n v="2"/>
    <n v="0"/>
    <n v="4"/>
    <n v="2"/>
    <s v="TA"/>
    <n v="8"/>
    <s v="Typ"/>
    <n v="0"/>
    <s v="NA"/>
    <s v="NA"/>
    <s v="NA"/>
    <s v="NA"/>
    <n v="0"/>
    <n v="0"/>
    <s v="NA"/>
    <s v="NA"/>
    <s v="N"/>
    <n v="321"/>
    <n v="0"/>
    <n v="0"/>
    <n v="0"/>
    <n v="0"/>
    <n v="0"/>
    <s v="NA"/>
    <s v="NA"/>
    <s v="NA"/>
    <n v="0"/>
    <n v="8"/>
    <n v="2007"/>
    <s v="Oth"/>
    <s v="Abnorml"/>
    <n v="150000"/>
  </r>
  <r>
    <n v="944"/>
    <n v="90"/>
    <s v="RL"/>
    <n v="100"/>
    <n v="25000"/>
    <s v="Pave"/>
    <s v="NA"/>
    <s v="Reg"/>
    <s v="Low"/>
    <s v="AllPub"/>
    <s v="Inside"/>
    <s v="Gtl"/>
    <x v="4"/>
    <x v="0"/>
    <s v="Norm"/>
    <x v="2"/>
    <x v="1"/>
    <n v="5"/>
    <n v="4"/>
    <x v="17"/>
    <n v="1967"/>
    <s v="Gable"/>
    <s v="CompShg"/>
    <s v="HdBoard"/>
    <s v="Plywood"/>
    <s v="None"/>
    <n v="0"/>
    <s v="TA"/>
    <s v="TA"/>
    <s v="CBlock"/>
    <s v="TA"/>
    <s v="TA"/>
    <s v="Av"/>
    <s v="Unf"/>
    <n v="0"/>
    <s v="Unf"/>
    <n v="0"/>
    <n v="1632"/>
    <n v="1632"/>
    <s v="GasA"/>
    <s v="TA"/>
    <s v="Y"/>
    <s v="SBrkr"/>
    <n v="1632"/>
    <n v="0"/>
    <n v="0"/>
    <x v="235"/>
    <n v="0"/>
    <n v="0"/>
    <n v="2"/>
    <n v="0"/>
    <n v="4"/>
    <n v="2"/>
    <s v="TA"/>
    <n v="8"/>
    <s v="Typ"/>
    <n v="0"/>
    <s v="NA"/>
    <s v="Attchd"/>
    <n v="1967"/>
    <s v="Unf"/>
    <n v="2"/>
    <n v="576"/>
    <s v="TA"/>
    <s v="TA"/>
    <s v="P"/>
    <n v="0"/>
    <n v="0"/>
    <n v="0"/>
    <n v="0"/>
    <n v="0"/>
    <n v="0"/>
    <s v="NA"/>
    <s v="NA"/>
    <s v="NA"/>
    <n v="0"/>
    <n v="6"/>
    <n v="2007"/>
    <s v="WD"/>
    <s v="Normal"/>
    <n v="143000"/>
  </r>
  <r>
    <n v="945"/>
    <n v="20"/>
    <s v="RL"/>
    <s v="NA"/>
    <n v="14375"/>
    <s v="Pave"/>
    <s v="NA"/>
    <s v="IR1"/>
    <s v="Lvl"/>
    <s v="NoSeWa"/>
    <s v="CulDSac"/>
    <s v="Gtl"/>
    <x v="16"/>
    <x v="0"/>
    <s v="Norm"/>
    <x v="0"/>
    <x v="5"/>
    <n v="6"/>
    <n v="6"/>
    <x v="18"/>
    <n v="1958"/>
    <s v="Gable"/>
    <s v="CompShg"/>
    <s v="HdBoard"/>
    <s v="HdBoard"/>
    <s v="BrkFace"/>
    <n v="541"/>
    <s v="TA"/>
    <s v="TA"/>
    <s v="CBlock"/>
    <s v="TA"/>
    <s v="TA"/>
    <s v="No"/>
    <s v="GLQ"/>
    <n v="111"/>
    <s v="Rec"/>
    <n v="354"/>
    <n v="354"/>
    <n v="819"/>
    <s v="GasA"/>
    <s v="Gd"/>
    <s v="Y"/>
    <s v="FuseA"/>
    <n v="1344"/>
    <n v="0"/>
    <n v="0"/>
    <x v="140"/>
    <n v="0"/>
    <n v="1"/>
    <n v="1"/>
    <n v="0"/>
    <n v="3"/>
    <n v="1"/>
    <s v="Gd"/>
    <n v="7"/>
    <s v="Typ"/>
    <n v="1"/>
    <s v="Gd"/>
    <s v="Basment"/>
    <n v="1958"/>
    <s v="RFn"/>
    <n v="2"/>
    <n v="525"/>
    <s v="TA"/>
    <s v="TA"/>
    <s v="Y"/>
    <n v="0"/>
    <n v="118"/>
    <n v="0"/>
    <n v="0"/>
    <n v="233"/>
    <n v="0"/>
    <s v="NA"/>
    <s v="NA"/>
    <s v="NA"/>
    <n v="0"/>
    <n v="1"/>
    <n v="2009"/>
    <s v="COD"/>
    <s v="Abnorml"/>
    <n v="137500"/>
  </r>
  <r>
    <n v="946"/>
    <n v="50"/>
    <s v="RM"/>
    <n v="98"/>
    <n v="8820"/>
    <s v="Pave"/>
    <s v="NA"/>
    <s v="Reg"/>
    <s v="Lvl"/>
    <s v="AllPub"/>
    <s v="Corner"/>
    <s v="Gtl"/>
    <x v="7"/>
    <x v="0"/>
    <s v="Norm"/>
    <x v="0"/>
    <x v="2"/>
    <n v="5"/>
    <n v="6"/>
    <x v="103"/>
    <n v="1996"/>
    <s v="Hip"/>
    <s v="CompShg"/>
    <s v="VinylSd"/>
    <s v="VinylSd"/>
    <s v="None"/>
    <n v="0"/>
    <s v="TA"/>
    <s v="TA"/>
    <s v="BrkTil"/>
    <s v="TA"/>
    <s v="TA"/>
    <s v="No"/>
    <s v="LwQ"/>
    <n v="1088"/>
    <s v="Unf"/>
    <n v="0"/>
    <n v="0"/>
    <n v="1088"/>
    <s v="GasA"/>
    <s v="TA"/>
    <s v="Y"/>
    <s v="SBrkr"/>
    <n v="1188"/>
    <n v="561"/>
    <n v="120"/>
    <x v="294"/>
    <n v="0"/>
    <n v="0"/>
    <n v="1"/>
    <n v="0"/>
    <n v="2"/>
    <n v="1"/>
    <s v="TA"/>
    <n v="7"/>
    <s v="Typ"/>
    <n v="0"/>
    <s v="NA"/>
    <s v="Detchd"/>
    <n v="1963"/>
    <s v="Unf"/>
    <n v="2"/>
    <n v="456"/>
    <s v="TA"/>
    <s v="TA"/>
    <s v="Y"/>
    <n v="48"/>
    <n v="0"/>
    <n v="244"/>
    <n v="0"/>
    <n v="0"/>
    <n v="0"/>
    <s v="NA"/>
    <s v="MnWw"/>
    <s v="NA"/>
    <n v="0"/>
    <n v="9"/>
    <n v="2009"/>
    <s v="WD"/>
    <s v="Normal"/>
    <n v="124900"/>
  </r>
  <r>
    <n v="947"/>
    <n v="80"/>
    <s v="RL"/>
    <n v="70"/>
    <n v="8163"/>
    <s v="Pave"/>
    <s v="NA"/>
    <s v="Reg"/>
    <s v="Lvl"/>
    <s v="AllPub"/>
    <s v="Inside"/>
    <s v="Gtl"/>
    <x v="11"/>
    <x v="0"/>
    <s v="Norm"/>
    <x v="0"/>
    <x v="5"/>
    <n v="5"/>
    <n v="6"/>
    <x v="28"/>
    <n v="1959"/>
    <s v="Gable"/>
    <s v="CompShg"/>
    <s v="HdBoard"/>
    <s v="HdBoard"/>
    <s v="BrkFace"/>
    <n v="128"/>
    <s v="TA"/>
    <s v="Gd"/>
    <s v="CBlock"/>
    <s v="TA"/>
    <s v="TA"/>
    <s v="Av"/>
    <s v="ALQ"/>
    <n v="748"/>
    <s v="BLQ"/>
    <n v="294"/>
    <n v="102"/>
    <n v="1144"/>
    <s v="GasA"/>
    <s v="TA"/>
    <s v="Y"/>
    <s v="SBrkr"/>
    <n v="1144"/>
    <n v="0"/>
    <n v="0"/>
    <x v="327"/>
    <n v="1"/>
    <n v="0"/>
    <n v="1"/>
    <n v="0"/>
    <n v="3"/>
    <n v="1"/>
    <s v="TA"/>
    <n v="6"/>
    <s v="Typ"/>
    <n v="1"/>
    <s v="TA"/>
    <s v="Attchd"/>
    <n v="1959"/>
    <s v="RFn"/>
    <n v="1"/>
    <n v="796"/>
    <s v="TA"/>
    <s v="TA"/>
    <s v="Y"/>
    <n v="86"/>
    <n v="0"/>
    <n v="0"/>
    <n v="0"/>
    <n v="0"/>
    <n v="0"/>
    <s v="NA"/>
    <s v="NA"/>
    <s v="NA"/>
    <n v="0"/>
    <n v="3"/>
    <n v="2006"/>
    <s v="WD"/>
    <s v="Normal"/>
    <n v="143000"/>
  </r>
  <r>
    <n v="948"/>
    <n v="20"/>
    <s v="RL"/>
    <n v="85"/>
    <n v="14536"/>
    <s v="Pave"/>
    <s v="NA"/>
    <s v="Reg"/>
    <s v="Lvl"/>
    <s v="AllPub"/>
    <s v="Inside"/>
    <s v="Gtl"/>
    <x v="16"/>
    <x v="0"/>
    <s v="Norm"/>
    <x v="0"/>
    <x v="1"/>
    <n v="8"/>
    <n v="5"/>
    <x v="20"/>
    <n v="2003"/>
    <s v="Hip"/>
    <s v="CompShg"/>
    <s v="VinylSd"/>
    <s v="VinylSd"/>
    <s v="BrkFace"/>
    <n v="236"/>
    <s v="Gd"/>
    <s v="TA"/>
    <s v="PConc"/>
    <s v="Gd"/>
    <s v="TA"/>
    <s v="Av"/>
    <s v="GLQ"/>
    <n v="1300"/>
    <s v="Unf"/>
    <n v="0"/>
    <n v="316"/>
    <n v="1616"/>
    <s v="GasA"/>
    <s v="Ex"/>
    <s v="Y"/>
    <s v="SBrkr"/>
    <n v="1629"/>
    <n v="0"/>
    <n v="0"/>
    <x v="279"/>
    <n v="1"/>
    <n v="0"/>
    <n v="2"/>
    <n v="0"/>
    <n v="3"/>
    <n v="1"/>
    <s v="Gd"/>
    <n v="9"/>
    <s v="Typ"/>
    <n v="1"/>
    <s v="Gd"/>
    <s v="Attchd"/>
    <n v="2002"/>
    <s v="Fin"/>
    <n v="3"/>
    <n v="808"/>
    <s v="TA"/>
    <s v="TA"/>
    <s v="Y"/>
    <n v="0"/>
    <n v="252"/>
    <n v="0"/>
    <n v="0"/>
    <n v="0"/>
    <n v="0"/>
    <s v="NA"/>
    <s v="NA"/>
    <s v="NA"/>
    <n v="0"/>
    <n v="11"/>
    <n v="2007"/>
    <s v="WD"/>
    <s v="Normal"/>
    <n v="270000"/>
  </r>
  <r>
    <n v="949"/>
    <n v="60"/>
    <s v="RL"/>
    <n v="65"/>
    <n v="14006"/>
    <s v="Pave"/>
    <s v="NA"/>
    <s v="IR1"/>
    <s v="Lvl"/>
    <s v="AllPub"/>
    <s v="Inside"/>
    <s v="Gtl"/>
    <x v="0"/>
    <x v="0"/>
    <s v="Norm"/>
    <x v="0"/>
    <x v="0"/>
    <n v="7"/>
    <n v="5"/>
    <x v="20"/>
    <n v="2002"/>
    <s v="Gable"/>
    <s v="CompShg"/>
    <s v="VinylSd"/>
    <s v="VinylSd"/>
    <s v="BrkFace"/>
    <n v="144"/>
    <s v="Gd"/>
    <s v="TA"/>
    <s v="PConc"/>
    <s v="Gd"/>
    <s v="TA"/>
    <s v="NA"/>
    <s v="Unf"/>
    <n v="0"/>
    <s v="Unf"/>
    <n v="0"/>
    <n v="936"/>
    <n v="936"/>
    <s v="GasA"/>
    <s v="Ex"/>
    <s v="Y"/>
    <s v="SBrkr"/>
    <n v="936"/>
    <n v="840"/>
    <n v="0"/>
    <x v="540"/>
    <n v="0"/>
    <n v="0"/>
    <n v="2"/>
    <n v="1"/>
    <n v="3"/>
    <n v="1"/>
    <s v="Gd"/>
    <n v="7"/>
    <s v="Typ"/>
    <n v="1"/>
    <s v="TA"/>
    <s v="Attchd"/>
    <n v="2002"/>
    <s v="RFn"/>
    <n v="2"/>
    <n v="474"/>
    <s v="TA"/>
    <s v="TA"/>
    <s v="Y"/>
    <n v="144"/>
    <n v="96"/>
    <n v="0"/>
    <n v="0"/>
    <n v="0"/>
    <n v="0"/>
    <s v="NA"/>
    <s v="NA"/>
    <s v="NA"/>
    <n v="0"/>
    <n v="2"/>
    <n v="2006"/>
    <s v="WD"/>
    <s v="Normal"/>
    <n v="192500"/>
  </r>
  <r>
    <n v="950"/>
    <n v="20"/>
    <s v="RL"/>
    <n v="78"/>
    <n v="9360"/>
    <s v="Pave"/>
    <s v="NA"/>
    <s v="Reg"/>
    <s v="Lvl"/>
    <s v="AllPub"/>
    <s v="Inside"/>
    <s v="Gtl"/>
    <x v="6"/>
    <x v="0"/>
    <s v="Norm"/>
    <x v="0"/>
    <x v="1"/>
    <n v="6"/>
    <n v="7"/>
    <x v="41"/>
    <n v="2006"/>
    <s v="Hip"/>
    <s v="CompShg"/>
    <s v="Plywood"/>
    <s v="Plywood"/>
    <s v="None"/>
    <n v="0"/>
    <s v="TA"/>
    <s v="TA"/>
    <s v="CBlock"/>
    <s v="TA"/>
    <s v="TA"/>
    <s v="No"/>
    <s v="ALQ"/>
    <n v="982"/>
    <s v="Unf"/>
    <n v="0"/>
    <n v="179"/>
    <n v="1161"/>
    <s v="GasA"/>
    <s v="TA"/>
    <s v="Y"/>
    <s v="SBrkr"/>
    <n v="1381"/>
    <n v="0"/>
    <n v="0"/>
    <x v="658"/>
    <n v="1"/>
    <n v="0"/>
    <n v="1"/>
    <n v="1"/>
    <n v="3"/>
    <n v="1"/>
    <s v="Gd"/>
    <n v="5"/>
    <s v="Typ"/>
    <n v="1"/>
    <s v="TA"/>
    <s v="Attchd"/>
    <n v="1972"/>
    <s v="RFn"/>
    <n v="2"/>
    <n v="676"/>
    <s v="TA"/>
    <s v="TA"/>
    <s v="Y"/>
    <n v="0"/>
    <n v="0"/>
    <n v="0"/>
    <n v="0"/>
    <n v="0"/>
    <n v="0"/>
    <s v="NA"/>
    <s v="NA"/>
    <s v="NA"/>
    <n v="0"/>
    <n v="3"/>
    <n v="2010"/>
    <s v="WD"/>
    <s v="Normal"/>
    <n v="197500"/>
  </r>
  <r>
    <n v="951"/>
    <n v="20"/>
    <s v="RL"/>
    <n v="60"/>
    <n v="7200"/>
    <s v="Pave"/>
    <s v="NA"/>
    <s v="Reg"/>
    <s v="Lvl"/>
    <s v="AllPub"/>
    <s v="Inside"/>
    <s v="Gtl"/>
    <x v="11"/>
    <x v="0"/>
    <s v="Norm"/>
    <x v="0"/>
    <x v="1"/>
    <n v="5"/>
    <n v="8"/>
    <x v="52"/>
    <n v="2002"/>
    <s v="Gable"/>
    <s v="CompShg"/>
    <s v="VinylSd"/>
    <s v="VinylSd"/>
    <s v="None"/>
    <n v="0"/>
    <s v="TA"/>
    <s v="TA"/>
    <s v="CBlock"/>
    <s v="TA"/>
    <s v="TA"/>
    <s v="No"/>
    <s v="ALQ"/>
    <n v="398"/>
    <s v="BLQ"/>
    <n v="149"/>
    <n v="317"/>
    <n v="864"/>
    <s v="GasA"/>
    <s v="Gd"/>
    <s v="Y"/>
    <s v="SBrkr"/>
    <n v="864"/>
    <n v="0"/>
    <n v="0"/>
    <x v="132"/>
    <n v="1"/>
    <n v="0"/>
    <n v="1"/>
    <n v="0"/>
    <n v="3"/>
    <n v="1"/>
    <s v="Gd"/>
    <n v="5"/>
    <s v="Typ"/>
    <n v="0"/>
    <s v="NA"/>
    <s v="Detchd"/>
    <n v="1980"/>
    <s v="RFn"/>
    <n v="2"/>
    <n v="720"/>
    <s v="TA"/>
    <s v="TA"/>
    <s v="Y"/>
    <n v="194"/>
    <n v="0"/>
    <n v="0"/>
    <n v="0"/>
    <n v="0"/>
    <n v="0"/>
    <s v="NA"/>
    <s v="NA"/>
    <s v="NA"/>
    <n v="0"/>
    <n v="7"/>
    <n v="2007"/>
    <s v="WD"/>
    <s v="Normal"/>
    <n v="129000"/>
  </r>
  <r>
    <n v="952"/>
    <n v="20"/>
    <s v="RH"/>
    <n v="60"/>
    <n v="7800"/>
    <s v="Pave"/>
    <s v="NA"/>
    <s v="Reg"/>
    <s v="Lvl"/>
    <s v="AllPub"/>
    <s v="Corner"/>
    <s v="Gtl"/>
    <x v="12"/>
    <x v="0"/>
    <s v="Norm"/>
    <x v="0"/>
    <x v="1"/>
    <n v="5"/>
    <n v="5"/>
    <x v="10"/>
    <n v="1965"/>
    <s v="Gable"/>
    <s v="CompShg"/>
    <s v="VinylSd"/>
    <s v="VinylSd"/>
    <s v="None"/>
    <n v="0"/>
    <s v="TA"/>
    <s v="TA"/>
    <s v="CBlock"/>
    <s v="TA"/>
    <s v="TA"/>
    <s v="No"/>
    <s v="BLQ"/>
    <n v="641"/>
    <s v="Unf"/>
    <n v="0"/>
    <n v="187"/>
    <n v="828"/>
    <s v="GasA"/>
    <s v="Gd"/>
    <s v="Y"/>
    <s v="SBrkr"/>
    <n v="965"/>
    <n v="0"/>
    <n v="0"/>
    <x v="659"/>
    <n v="1"/>
    <n v="0"/>
    <n v="1"/>
    <n v="0"/>
    <n v="3"/>
    <n v="1"/>
    <s v="TA"/>
    <n v="6"/>
    <s v="Typ"/>
    <n v="0"/>
    <s v="NA"/>
    <s v="Detchd"/>
    <n v="1979"/>
    <s v="Unf"/>
    <n v="1"/>
    <n v="300"/>
    <s v="TA"/>
    <s v="TA"/>
    <s v="Y"/>
    <n v="421"/>
    <n v="0"/>
    <n v="0"/>
    <n v="0"/>
    <n v="0"/>
    <n v="0"/>
    <s v="NA"/>
    <s v="MnPrv"/>
    <s v="NA"/>
    <n v="0"/>
    <n v="7"/>
    <n v="2006"/>
    <s v="WD"/>
    <s v="Abnorml"/>
    <n v="119900"/>
  </r>
  <r>
    <n v="953"/>
    <n v="85"/>
    <s v="RL"/>
    <n v="60"/>
    <n v="7200"/>
    <s v="Pave"/>
    <s v="NA"/>
    <s v="Reg"/>
    <s v="Lvl"/>
    <s v="AllPub"/>
    <s v="Inside"/>
    <s v="Gtl"/>
    <x v="0"/>
    <x v="0"/>
    <s v="Norm"/>
    <x v="0"/>
    <x v="4"/>
    <n v="5"/>
    <n v="8"/>
    <x v="41"/>
    <n v="2003"/>
    <s v="Gable"/>
    <s v="CompShg"/>
    <s v="WdShing"/>
    <s v="HdBoard"/>
    <s v="None"/>
    <n v="0"/>
    <s v="TA"/>
    <s v="Gd"/>
    <s v="CBlock"/>
    <s v="Gd"/>
    <s v="TA"/>
    <s v="Av"/>
    <s v="GLQ"/>
    <n v="660"/>
    <s v="Unf"/>
    <n v="0"/>
    <n v="108"/>
    <n v="768"/>
    <s v="GasA"/>
    <s v="Gd"/>
    <s v="Y"/>
    <s v="SBrkr"/>
    <n v="768"/>
    <n v="0"/>
    <n v="0"/>
    <x v="433"/>
    <n v="0"/>
    <n v="1"/>
    <n v="1"/>
    <n v="0"/>
    <n v="2"/>
    <n v="1"/>
    <s v="TA"/>
    <n v="5"/>
    <s v="Typ"/>
    <n v="0"/>
    <s v="NA"/>
    <s v="Detchd"/>
    <n v="1974"/>
    <s v="Fin"/>
    <n v="1"/>
    <n v="396"/>
    <s v="TA"/>
    <s v="TA"/>
    <s v="Y"/>
    <n v="192"/>
    <n v="0"/>
    <n v="0"/>
    <n v="0"/>
    <n v="0"/>
    <n v="0"/>
    <s v="NA"/>
    <s v="MnPrv"/>
    <s v="NA"/>
    <n v="0"/>
    <n v="4"/>
    <n v="2009"/>
    <s v="WD"/>
    <s v="Normal"/>
    <n v="133900"/>
  </r>
  <r>
    <n v="954"/>
    <n v="60"/>
    <s v="RL"/>
    <s v="NA"/>
    <n v="11075"/>
    <s v="Pave"/>
    <s v="NA"/>
    <s v="IR1"/>
    <s v="Lvl"/>
    <s v="AllPub"/>
    <s v="Inside"/>
    <s v="Mod"/>
    <x v="4"/>
    <x v="0"/>
    <s v="Norm"/>
    <x v="0"/>
    <x v="0"/>
    <n v="5"/>
    <n v="4"/>
    <x v="60"/>
    <n v="1969"/>
    <s v="Gable"/>
    <s v="CompShg"/>
    <s v="HdBoard"/>
    <s v="HdBoard"/>
    <s v="BrkFace"/>
    <n v="232"/>
    <s v="TA"/>
    <s v="TA"/>
    <s v="CBlock"/>
    <s v="TA"/>
    <s v="TA"/>
    <s v="Av"/>
    <s v="ALQ"/>
    <n v="562"/>
    <s v="LwQ"/>
    <n v="193"/>
    <n v="29"/>
    <n v="784"/>
    <s v="GasA"/>
    <s v="Ex"/>
    <s v="Y"/>
    <s v="SBrkr"/>
    <n v="1168"/>
    <n v="800"/>
    <n v="0"/>
    <x v="146"/>
    <n v="0"/>
    <n v="1"/>
    <n v="2"/>
    <n v="1"/>
    <n v="4"/>
    <n v="1"/>
    <s v="TA"/>
    <n v="7"/>
    <s v="Min2"/>
    <n v="1"/>
    <s v="Po"/>
    <s v="Attchd"/>
    <n v="1969"/>
    <s v="RFn"/>
    <n v="2"/>
    <n v="530"/>
    <s v="TA"/>
    <s v="TA"/>
    <s v="Y"/>
    <n v="305"/>
    <n v="189"/>
    <n v="0"/>
    <n v="0"/>
    <n v="0"/>
    <n v="0"/>
    <s v="NA"/>
    <s v="MnPrv"/>
    <s v="Shed"/>
    <n v="400"/>
    <n v="9"/>
    <n v="2008"/>
    <s v="WD"/>
    <s v="Normal"/>
    <n v="172000"/>
  </r>
  <r>
    <n v="955"/>
    <n v="90"/>
    <s v="RL"/>
    <n v="35"/>
    <n v="9400"/>
    <s v="Pave"/>
    <s v="NA"/>
    <s v="IR1"/>
    <s v="Lvl"/>
    <s v="AllPub"/>
    <s v="CulDSac"/>
    <s v="Gtl"/>
    <x v="15"/>
    <x v="0"/>
    <s v="Norm"/>
    <x v="2"/>
    <x v="4"/>
    <n v="6"/>
    <n v="5"/>
    <x v="34"/>
    <n v="1975"/>
    <s v="Flat"/>
    <s v="Tar&amp;Grv"/>
    <s v="WdShing"/>
    <s v="Plywood"/>
    <s v="BrkFace"/>
    <n v="250"/>
    <s v="TA"/>
    <s v="TA"/>
    <s v="CBlock"/>
    <s v="Gd"/>
    <s v="Gd"/>
    <s v="Gd"/>
    <s v="GLQ"/>
    <n v="945"/>
    <s v="Unf"/>
    <n v="0"/>
    <n v="0"/>
    <n v="945"/>
    <s v="GasA"/>
    <s v="TA"/>
    <s v="Y"/>
    <s v="SBrkr"/>
    <n v="980"/>
    <n v="0"/>
    <n v="0"/>
    <x v="480"/>
    <n v="0"/>
    <n v="2"/>
    <n v="2"/>
    <n v="0"/>
    <n v="4"/>
    <n v="0"/>
    <s v="TA"/>
    <n v="4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10"/>
    <n v="2006"/>
    <s v="WD"/>
    <s v="AdjLand"/>
    <n v="127500"/>
  </r>
  <r>
    <n v="956"/>
    <n v="90"/>
    <s v="RH"/>
    <n v="82"/>
    <n v="7136"/>
    <s v="Pave"/>
    <s v="NA"/>
    <s v="IR1"/>
    <s v="HLS"/>
    <s v="AllPub"/>
    <s v="Inside"/>
    <s v="Gtl"/>
    <x v="2"/>
    <x v="0"/>
    <s v="Norm"/>
    <x v="2"/>
    <x v="0"/>
    <n v="6"/>
    <n v="6"/>
    <x v="94"/>
    <n v="1950"/>
    <s v="Gable"/>
    <s v="CompShg"/>
    <s v="MetalSd"/>
    <s v="MetalSd"/>
    <s v="BrkFace"/>
    <n v="423"/>
    <s v="TA"/>
    <s v="TA"/>
    <s v="CBlock"/>
    <s v="Gd"/>
    <s v="TA"/>
    <s v="No"/>
    <s v="Rec"/>
    <n v="484"/>
    <s v="Unf"/>
    <n v="0"/>
    <n v="495"/>
    <n v="979"/>
    <s v="GasA"/>
    <s v="TA"/>
    <s v="N"/>
    <s v="FuseF"/>
    <n v="979"/>
    <n v="979"/>
    <n v="0"/>
    <x v="660"/>
    <n v="0"/>
    <n v="0"/>
    <n v="2"/>
    <n v="0"/>
    <n v="4"/>
    <n v="2"/>
    <s v="TA"/>
    <n v="8"/>
    <s v="Typ"/>
    <n v="0"/>
    <s v="NA"/>
    <s v="Attchd"/>
    <n v="1946"/>
    <s v="Unf"/>
    <n v="2"/>
    <n v="492"/>
    <s v="TA"/>
    <s v="TA"/>
    <s v="Y"/>
    <n v="0"/>
    <n v="0"/>
    <n v="0"/>
    <n v="0"/>
    <n v="0"/>
    <n v="0"/>
    <s v="NA"/>
    <s v="NA"/>
    <s v="NA"/>
    <n v="0"/>
    <n v="8"/>
    <n v="2007"/>
    <s v="WD"/>
    <s v="Normal"/>
    <n v="145000"/>
  </r>
  <r>
    <n v="957"/>
    <n v="160"/>
    <s v="RM"/>
    <n v="24"/>
    <n v="1300"/>
    <s v="Pave"/>
    <s v="NA"/>
    <s v="Reg"/>
    <s v="Lvl"/>
    <s v="AllPub"/>
    <s v="Inside"/>
    <s v="Gtl"/>
    <x v="24"/>
    <x v="0"/>
    <s v="Norm"/>
    <x v="3"/>
    <x v="0"/>
    <n v="6"/>
    <n v="6"/>
    <x v="84"/>
    <n v="1980"/>
    <s v="Gable"/>
    <s v="CompShg"/>
    <s v="MetalSd"/>
    <s v="MetalSd"/>
    <s v="None"/>
    <n v="0"/>
    <s v="TA"/>
    <s v="TA"/>
    <s v="CBlock"/>
    <s v="Gd"/>
    <s v="TA"/>
    <s v="No"/>
    <s v="ALQ"/>
    <n v="285"/>
    <s v="Unf"/>
    <n v="0"/>
    <n v="276"/>
    <n v="561"/>
    <s v="GasA"/>
    <s v="TA"/>
    <s v="Y"/>
    <s v="SBrkr"/>
    <n v="561"/>
    <n v="668"/>
    <n v="0"/>
    <x v="641"/>
    <n v="0"/>
    <n v="0"/>
    <n v="1"/>
    <n v="1"/>
    <n v="2"/>
    <n v="1"/>
    <s v="TA"/>
    <n v="5"/>
    <s v="Typ"/>
    <n v="1"/>
    <s v="TA"/>
    <s v="Attchd"/>
    <n v="1980"/>
    <s v="Fin"/>
    <n v="2"/>
    <n v="462"/>
    <s v="TA"/>
    <s v="TA"/>
    <s v="Y"/>
    <n v="150"/>
    <n v="0"/>
    <n v="0"/>
    <n v="0"/>
    <n v="0"/>
    <n v="0"/>
    <s v="NA"/>
    <s v="GdPrv"/>
    <s v="NA"/>
    <n v="0"/>
    <n v="5"/>
    <n v="2009"/>
    <s v="WD"/>
    <s v="Normal"/>
    <n v="124000"/>
  </r>
  <r>
    <n v="958"/>
    <n v="20"/>
    <s v="RL"/>
    <n v="70"/>
    <n v="7420"/>
    <s v="Pave"/>
    <s v="NA"/>
    <s v="Reg"/>
    <s v="Lvl"/>
    <s v="AllPub"/>
    <s v="Inside"/>
    <s v="Gtl"/>
    <x v="9"/>
    <x v="0"/>
    <s v="Norm"/>
    <x v="0"/>
    <x v="1"/>
    <n v="5"/>
    <n v="5"/>
    <x v="12"/>
    <n v="1962"/>
    <s v="Hip"/>
    <s v="CompShg"/>
    <s v="MetalSd"/>
    <s v="MetalSd"/>
    <s v="None"/>
    <n v="0"/>
    <s v="TA"/>
    <s v="TA"/>
    <s v="CBlock"/>
    <s v="TA"/>
    <s v="TA"/>
    <s v="No"/>
    <s v="Rec"/>
    <n v="417"/>
    <s v="Unf"/>
    <n v="0"/>
    <n v="640"/>
    <n v="1057"/>
    <s v="GasA"/>
    <s v="TA"/>
    <s v="Y"/>
    <s v="SBrkr"/>
    <n v="1057"/>
    <n v="0"/>
    <n v="0"/>
    <x v="36"/>
    <n v="0"/>
    <n v="0"/>
    <n v="1"/>
    <n v="0"/>
    <n v="3"/>
    <n v="1"/>
    <s v="TA"/>
    <n v="6"/>
    <s v="Typ"/>
    <n v="0"/>
    <s v="NA"/>
    <s v="Detchd"/>
    <n v="1977"/>
    <s v="Fin"/>
    <n v="2"/>
    <n v="576"/>
    <s v="TA"/>
    <s v="TA"/>
    <s v="Y"/>
    <n v="0"/>
    <n v="0"/>
    <n v="0"/>
    <n v="0"/>
    <n v="0"/>
    <n v="0"/>
    <s v="NA"/>
    <s v="NA"/>
    <s v="NA"/>
    <n v="0"/>
    <n v="4"/>
    <n v="2007"/>
    <s v="WD"/>
    <s v="Normal"/>
    <n v="132000"/>
  </r>
  <r>
    <n v="959"/>
    <n v="20"/>
    <s v="RL"/>
    <n v="65"/>
    <n v="8450"/>
    <s v="Pave"/>
    <s v="NA"/>
    <s v="Reg"/>
    <s v="Lvl"/>
    <s v="AllPub"/>
    <s v="Inside"/>
    <s v="Gtl"/>
    <x v="0"/>
    <x v="0"/>
    <s v="Norm"/>
    <x v="0"/>
    <x v="1"/>
    <n v="7"/>
    <n v="5"/>
    <x v="0"/>
    <n v="2003"/>
    <s v="Gable"/>
    <s v="CompShg"/>
    <s v="VinylSd"/>
    <s v="VinylSd"/>
    <s v="None"/>
    <n v="0"/>
    <s v="Gd"/>
    <s v="TA"/>
    <s v="PConc"/>
    <s v="Gd"/>
    <s v="TA"/>
    <s v="Mn"/>
    <s v="GLQ"/>
    <n v="699"/>
    <s v="Unf"/>
    <n v="0"/>
    <n v="638"/>
    <n v="1337"/>
    <s v="GasA"/>
    <s v="Ex"/>
    <s v="Y"/>
    <s v="SBrkr"/>
    <n v="1337"/>
    <n v="0"/>
    <n v="0"/>
    <x v="78"/>
    <n v="1"/>
    <n v="0"/>
    <n v="2"/>
    <n v="0"/>
    <n v="3"/>
    <n v="1"/>
    <s v="Gd"/>
    <n v="6"/>
    <s v="Typ"/>
    <n v="0"/>
    <s v="NA"/>
    <s v="Attchd"/>
    <n v="2003"/>
    <s v="RFn"/>
    <n v="2"/>
    <n v="531"/>
    <s v="TA"/>
    <s v="TA"/>
    <s v="Y"/>
    <n v="0"/>
    <n v="39"/>
    <n v="0"/>
    <n v="0"/>
    <n v="0"/>
    <n v="0"/>
    <s v="NA"/>
    <s v="NA"/>
    <s v="NA"/>
    <n v="0"/>
    <n v="10"/>
    <n v="2007"/>
    <s v="WD"/>
    <s v="Normal"/>
    <n v="185000"/>
  </r>
  <r>
    <n v="960"/>
    <n v="160"/>
    <s v="FV"/>
    <n v="24"/>
    <n v="2572"/>
    <s v="Pave"/>
    <s v="NA"/>
    <s v="Reg"/>
    <s v="Lvl"/>
    <s v="AllPub"/>
    <s v="FR2"/>
    <s v="Gtl"/>
    <x v="5"/>
    <x v="0"/>
    <s v="Norm"/>
    <x v="4"/>
    <x v="0"/>
    <n v="7"/>
    <n v="5"/>
    <x v="40"/>
    <n v="1999"/>
    <s v="Hip"/>
    <s v="CompShg"/>
    <s v="MetalSd"/>
    <s v="MetalSd"/>
    <s v="None"/>
    <n v="0"/>
    <s v="Gd"/>
    <s v="TA"/>
    <s v="PConc"/>
    <s v="Gd"/>
    <s v="TA"/>
    <s v="No"/>
    <s v="ALQ"/>
    <n v="604"/>
    <s v="Unf"/>
    <n v="0"/>
    <n v="92"/>
    <n v="696"/>
    <s v="GasA"/>
    <s v="Ex"/>
    <s v="Y"/>
    <s v="SBrkr"/>
    <n v="696"/>
    <n v="720"/>
    <n v="0"/>
    <x v="603"/>
    <n v="1"/>
    <n v="0"/>
    <n v="2"/>
    <n v="1"/>
    <n v="3"/>
    <n v="1"/>
    <s v="Gd"/>
    <n v="6"/>
    <s v="Typ"/>
    <n v="0"/>
    <s v="NA"/>
    <s v="Detchd"/>
    <n v="1999"/>
    <s v="Unf"/>
    <n v="2"/>
    <n v="484"/>
    <s v="TA"/>
    <s v="TA"/>
    <s v="Y"/>
    <n v="0"/>
    <n v="44"/>
    <n v="0"/>
    <n v="0"/>
    <n v="0"/>
    <n v="0"/>
    <s v="NA"/>
    <s v="NA"/>
    <s v="NA"/>
    <n v="0"/>
    <n v="5"/>
    <n v="2010"/>
    <s v="WD"/>
    <s v="Normal"/>
    <n v="155000"/>
  </r>
  <r>
    <n v="961"/>
    <n v="20"/>
    <s v="RL"/>
    <n v="50"/>
    <n v="7207"/>
    <s v="Pave"/>
    <s v="NA"/>
    <s v="IR1"/>
    <s v="Lvl"/>
    <s v="AllPub"/>
    <s v="Inside"/>
    <s v="Gtl"/>
    <x v="8"/>
    <x v="0"/>
    <s v="Norm"/>
    <x v="0"/>
    <x v="1"/>
    <n v="5"/>
    <n v="7"/>
    <x v="18"/>
    <n v="2008"/>
    <s v="Gable"/>
    <s v="CompShg"/>
    <s v="Wd Sdng"/>
    <s v="Plywood"/>
    <s v="None"/>
    <n v="0"/>
    <s v="TA"/>
    <s v="Gd"/>
    <s v="CBlock"/>
    <s v="TA"/>
    <s v="TA"/>
    <s v="Gd"/>
    <s v="BLQ"/>
    <n v="696"/>
    <s v="Unf"/>
    <n v="0"/>
    <n v="162"/>
    <n v="858"/>
    <s v="GasA"/>
    <s v="Gd"/>
    <s v="Y"/>
    <s v="SBrkr"/>
    <n v="858"/>
    <n v="0"/>
    <n v="0"/>
    <x v="243"/>
    <n v="1"/>
    <n v="0"/>
    <n v="1"/>
    <n v="0"/>
    <n v="2"/>
    <n v="1"/>
    <s v="TA"/>
    <n v="4"/>
    <s v="Typ"/>
    <n v="0"/>
    <s v="NA"/>
    <s v="NA"/>
    <s v="NA"/>
    <s v="NA"/>
    <n v="0"/>
    <n v="0"/>
    <s v="NA"/>
    <s v="NA"/>
    <s v="Y"/>
    <n v="117"/>
    <n v="0"/>
    <n v="0"/>
    <n v="0"/>
    <n v="0"/>
    <n v="0"/>
    <s v="NA"/>
    <s v="NA"/>
    <s v="NA"/>
    <n v="0"/>
    <n v="2"/>
    <n v="2010"/>
    <s v="WD"/>
    <s v="Normal"/>
    <n v="116500"/>
  </r>
  <r>
    <n v="962"/>
    <n v="60"/>
    <s v="RL"/>
    <s v="NA"/>
    <n v="12227"/>
    <s v="Pave"/>
    <s v="NA"/>
    <s v="IR1"/>
    <s v="Lvl"/>
    <s v="AllPub"/>
    <s v="Corner"/>
    <s v="Gtl"/>
    <x v="6"/>
    <x v="2"/>
    <s v="Norm"/>
    <x v="0"/>
    <x v="0"/>
    <n v="6"/>
    <n v="7"/>
    <x v="54"/>
    <n v="1995"/>
    <s v="Gable"/>
    <s v="CompShg"/>
    <s v="HdBoard"/>
    <s v="HdBoard"/>
    <s v="BrkFace"/>
    <n v="424"/>
    <s v="TA"/>
    <s v="Gd"/>
    <s v="CBlock"/>
    <s v="Gd"/>
    <s v="Gd"/>
    <s v="No"/>
    <s v="ALQ"/>
    <n v="896"/>
    <s v="Unf"/>
    <n v="0"/>
    <n v="434"/>
    <n v="1330"/>
    <s v="GasA"/>
    <s v="TA"/>
    <s v="Y"/>
    <s v="SBrkr"/>
    <n v="1542"/>
    <n v="1330"/>
    <n v="0"/>
    <x v="661"/>
    <n v="1"/>
    <n v="0"/>
    <n v="2"/>
    <n v="1"/>
    <n v="4"/>
    <n v="1"/>
    <s v="TA"/>
    <n v="11"/>
    <s v="Typ"/>
    <n v="1"/>
    <s v="TA"/>
    <s v="Attchd"/>
    <n v="1977"/>
    <s v="Fin"/>
    <n v="2"/>
    <n v="619"/>
    <s v="TA"/>
    <s v="TA"/>
    <s v="Y"/>
    <n v="550"/>
    <n v="282"/>
    <n v="0"/>
    <n v="0"/>
    <n v="0"/>
    <n v="0"/>
    <s v="NA"/>
    <s v="NA"/>
    <s v="NA"/>
    <n v="0"/>
    <n v="7"/>
    <n v="2008"/>
    <s v="WD"/>
    <s v="Normal"/>
    <n v="272000"/>
  </r>
  <r>
    <n v="963"/>
    <n v="160"/>
    <s v="RL"/>
    <n v="24"/>
    <n v="2308"/>
    <s v="Pave"/>
    <s v="NA"/>
    <s v="Reg"/>
    <s v="Lvl"/>
    <s v="AllPub"/>
    <s v="Corner"/>
    <s v="Gtl"/>
    <x v="20"/>
    <x v="0"/>
    <s v="Norm"/>
    <x v="3"/>
    <x v="0"/>
    <n v="6"/>
    <n v="6"/>
    <x v="1"/>
    <n v="1976"/>
    <s v="Gable"/>
    <s v="CompShg"/>
    <s v="Plywood"/>
    <s v="Brk Cmn"/>
    <s v="None"/>
    <n v="0"/>
    <s v="TA"/>
    <s v="TA"/>
    <s v="CBlock"/>
    <s v="Gd"/>
    <s v="TA"/>
    <s v="No"/>
    <s v="ALQ"/>
    <n v="556"/>
    <s v="Unf"/>
    <n v="0"/>
    <n v="248"/>
    <n v="804"/>
    <s v="GasA"/>
    <s v="TA"/>
    <s v="Y"/>
    <s v="SBrkr"/>
    <n v="804"/>
    <n v="744"/>
    <n v="0"/>
    <x v="236"/>
    <n v="1"/>
    <n v="0"/>
    <n v="2"/>
    <n v="1"/>
    <n v="3"/>
    <n v="1"/>
    <s v="Gd"/>
    <n v="7"/>
    <s v="Typ"/>
    <n v="1"/>
    <s v="TA"/>
    <s v="Detchd"/>
    <n v="1976"/>
    <s v="Unf"/>
    <n v="2"/>
    <n v="440"/>
    <s v="TA"/>
    <s v="TA"/>
    <s v="Y"/>
    <n v="48"/>
    <n v="0"/>
    <n v="0"/>
    <n v="0"/>
    <n v="0"/>
    <n v="0"/>
    <s v="NA"/>
    <s v="NA"/>
    <s v="NA"/>
    <n v="0"/>
    <n v="7"/>
    <n v="2007"/>
    <s v="WD"/>
    <s v="Normal"/>
    <n v="155000"/>
  </r>
  <r>
    <n v="964"/>
    <n v="20"/>
    <s v="RL"/>
    <n v="122"/>
    <n v="11923"/>
    <s v="Pave"/>
    <s v="NA"/>
    <s v="IR1"/>
    <s v="Lvl"/>
    <s v="AllPub"/>
    <s v="Corner"/>
    <s v="Gtl"/>
    <x v="0"/>
    <x v="0"/>
    <s v="Norm"/>
    <x v="0"/>
    <x v="1"/>
    <n v="9"/>
    <n v="5"/>
    <x v="22"/>
    <n v="2007"/>
    <s v="Gable"/>
    <s v="CompShg"/>
    <s v="VinylSd"/>
    <s v="VinylSd"/>
    <s v="None"/>
    <n v="0"/>
    <s v="Gd"/>
    <s v="TA"/>
    <s v="PConc"/>
    <s v="Ex"/>
    <s v="TA"/>
    <s v="No"/>
    <s v="Unf"/>
    <n v="0"/>
    <s v="Unf"/>
    <n v="0"/>
    <n v="1800"/>
    <n v="1800"/>
    <s v="GasA"/>
    <s v="Ex"/>
    <s v="Y"/>
    <s v="SBrkr"/>
    <n v="1800"/>
    <n v="0"/>
    <n v="0"/>
    <x v="314"/>
    <n v="0"/>
    <n v="0"/>
    <n v="2"/>
    <n v="0"/>
    <n v="2"/>
    <n v="1"/>
    <s v="Ex"/>
    <n v="7"/>
    <s v="Typ"/>
    <n v="0"/>
    <s v="NA"/>
    <s v="Attchd"/>
    <n v="2007"/>
    <s v="Fin"/>
    <n v="2"/>
    <n v="702"/>
    <s v="TA"/>
    <s v="TA"/>
    <s v="Y"/>
    <n v="288"/>
    <n v="136"/>
    <n v="0"/>
    <n v="0"/>
    <n v="0"/>
    <n v="0"/>
    <s v="NA"/>
    <s v="NA"/>
    <s v="NA"/>
    <n v="0"/>
    <n v="5"/>
    <n v="2009"/>
    <s v="WD"/>
    <s v="Normal"/>
    <n v="239000"/>
  </r>
  <r>
    <n v="965"/>
    <n v="60"/>
    <s v="RL"/>
    <n v="80"/>
    <n v="11316"/>
    <s v="Pave"/>
    <s v="NA"/>
    <s v="Reg"/>
    <s v="Lvl"/>
    <s v="AllPub"/>
    <s v="Corner"/>
    <s v="Gtl"/>
    <x v="16"/>
    <x v="0"/>
    <s v="Norm"/>
    <x v="0"/>
    <x v="0"/>
    <n v="7"/>
    <n v="5"/>
    <x v="20"/>
    <n v="2003"/>
    <s v="Gable"/>
    <s v="CompShg"/>
    <s v="VinylSd"/>
    <s v="VinylSd"/>
    <s v="BrkFace"/>
    <n v="44"/>
    <s v="Gd"/>
    <s v="TA"/>
    <s v="PConc"/>
    <s v="Gd"/>
    <s v="TA"/>
    <s v="No"/>
    <s v="GLQ"/>
    <n v="624"/>
    <s v="Unf"/>
    <n v="0"/>
    <n v="193"/>
    <n v="817"/>
    <s v="GasA"/>
    <s v="Ex"/>
    <s v="Y"/>
    <s v="SBrkr"/>
    <n v="824"/>
    <n v="1070"/>
    <n v="0"/>
    <x v="662"/>
    <n v="1"/>
    <n v="0"/>
    <n v="2"/>
    <n v="1"/>
    <n v="4"/>
    <n v="1"/>
    <s v="Gd"/>
    <n v="8"/>
    <s v="Typ"/>
    <n v="1"/>
    <s v="Gd"/>
    <s v="BuiltIn"/>
    <n v="2002"/>
    <s v="Fin"/>
    <n v="2"/>
    <n v="510"/>
    <s v="TA"/>
    <s v="TA"/>
    <s v="Y"/>
    <n v="0"/>
    <n v="40"/>
    <n v="0"/>
    <n v="0"/>
    <n v="0"/>
    <n v="0"/>
    <s v="NA"/>
    <s v="NA"/>
    <s v="NA"/>
    <n v="0"/>
    <n v="2"/>
    <n v="2010"/>
    <s v="WD"/>
    <s v="Normal"/>
    <n v="214900"/>
  </r>
  <r>
    <n v="966"/>
    <n v="60"/>
    <s v="RL"/>
    <n v="65"/>
    <n v="10237"/>
    <s v="Pave"/>
    <s v="NA"/>
    <s v="Reg"/>
    <s v="Lvl"/>
    <s v="AllPub"/>
    <s v="Inside"/>
    <s v="Gtl"/>
    <x v="17"/>
    <x v="6"/>
    <s v="Norm"/>
    <x v="0"/>
    <x v="0"/>
    <n v="6"/>
    <n v="5"/>
    <x v="11"/>
    <n v="2007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83"/>
    <n v="783"/>
    <s v="GasA"/>
    <s v="Ex"/>
    <s v="Y"/>
    <s v="SBrkr"/>
    <n v="783"/>
    <n v="701"/>
    <n v="0"/>
    <x v="391"/>
    <n v="0"/>
    <n v="0"/>
    <n v="2"/>
    <n v="1"/>
    <n v="3"/>
    <n v="1"/>
    <s v="Gd"/>
    <n v="8"/>
    <s v="Typ"/>
    <n v="1"/>
    <s v="Gd"/>
    <s v="Attchd"/>
    <n v="2005"/>
    <s v="Fin"/>
    <n v="2"/>
    <n v="393"/>
    <s v="TA"/>
    <s v="TA"/>
    <s v="Y"/>
    <n v="0"/>
    <n v="72"/>
    <n v="0"/>
    <n v="0"/>
    <n v="0"/>
    <n v="0"/>
    <s v="NA"/>
    <s v="NA"/>
    <s v="NA"/>
    <n v="0"/>
    <n v="7"/>
    <n v="2007"/>
    <s v="New"/>
    <s v="Partial"/>
    <n v="178900"/>
  </r>
  <r>
    <n v="967"/>
    <n v="50"/>
    <s v="RL"/>
    <n v="130"/>
    <n v="9600"/>
    <s v="Pave"/>
    <s v="NA"/>
    <s v="IR1"/>
    <s v="HLS"/>
    <s v="AllPub"/>
    <s v="Inside"/>
    <s v="Gtl"/>
    <x v="2"/>
    <x v="0"/>
    <s v="Norm"/>
    <x v="0"/>
    <x v="2"/>
    <n v="5"/>
    <n v="7"/>
    <x v="70"/>
    <n v="1950"/>
    <s v="Gable"/>
    <s v="CompShg"/>
    <s v="MetalSd"/>
    <s v="MetalSd"/>
    <s v="None"/>
    <n v="0"/>
    <s v="Gd"/>
    <s v="Gd"/>
    <s v="BrkTil"/>
    <s v="TA"/>
    <s v="Fa"/>
    <s v="No"/>
    <s v="Rec"/>
    <n v="428"/>
    <s v="Unf"/>
    <n v="0"/>
    <n v="300"/>
    <n v="728"/>
    <s v="GasA"/>
    <s v="Ex"/>
    <s v="Y"/>
    <s v="SBrkr"/>
    <n v="976"/>
    <n v="332"/>
    <n v="0"/>
    <x v="663"/>
    <n v="1"/>
    <n v="0"/>
    <n v="1"/>
    <n v="1"/>
    <n v="2"/>
    <n v="1"/>
    <s v="TA"/>
    <n v="7"/>
    <s v="Min2"/>
    <n v="2"/>
    <s v="TA"/>
    <s v="Detchd"/>
    <n v="1940"/>
    <s v="Unf"/>
    <n v="1"/>
    <n v="256"/>
    <s v="TA"/>
    <s v="TA"/>
    <s v="Y"/>
    <n v="0"/>
    <n v="70"/>
    <n v="0"/>
    <n v="0"/>
    <n v="0"/>
    <n v="0"/>
    <s v="NA"/>
    <s v="NA"/>
    <s v="NA"/>
    <n v="0"/>
    <n v="6"/>
    <n v="2009"/>
    <s v="WD"/>
    <s v="Normal"/>
    <n v="160000"/>
  </r>
  <r>
    <n v="968"/>
    <n v="20"/>
    <s v="RL"/>
    <s v="NA"/>
    <n v="7390"/>
    <s v="Pave"/>
    <s v="NA"/>
    <s v="IR1"/>
    <s v="Lvl"/>
    <s v="AllPub"/>
    <s v="Inside"/>
    <s v="Gtl"/>
    <x v="11"/>
    <x v="0"/>
    <s v="Norm"/>
    <x v="0"/>
    <x v="1"/>
    <n v="5"/>
    <n v="7"/>
    <x v="32"/>
    <n v="1955"/>
    <s v="Hip"/>
    <s v="CompShg"/>
    <s v="Wd Sdng"/>
    <s v="Wd Sdng"/>
    <s v="BrkFace"/>
    <n v="151"/>
    <s v="TA"/>
    <s v="TA"/>
    <s v="CBlock"/>
    <s v="TA"/>
    <s v="TA"/>
    <s v="No"/>
    <s v="ALQ"/>
    <n v="902"/>
    <s v="Unf"/>
    <n v="0"/>
    <n v="196"/>
    <n v="1098"/>
    <s v="GasA"/>
    <s v="TA"/>
    <s v="Y"/>
    <s v="SBrkr"/>
    <n v="1098"/>
    <n v="0"/>
    <n v="0"/>
    <x v="664"/>
    <n v="1"/>
    <n v="0"/>
    <n v="1"/>
    <n v="0"/>
    <n v="3"/>
    <n v="1"/>
    <s v="TA"/>
    <n v="6"/>
    <s v="Typ"/>
    <n v="0"/>
    <s v="NA"/>
    <s v="Attchd"/>
    <n v="1955"/>
    <s v="Unf"/>
    <n v="1"/>
    <n v="260"/>
    <s v="TA"/>
    <s v="TA"/>
    <s v="Y"/>
    <n v="0"/>
    <n v="0"/>
    <n v="0"/>
    <n v="0"/>
    <n v="0"/>
    <n v="0"/>
    <s v="NA"/>
    <s v="NA"/>
    <s v="NA"/>
    <n v="0"/>
    <n v="7"/>
    <n v="2008"/>
    <s v="WD"/>
    <s v="Normal"/>
    <n v="135000"/>
  </r>
  <r>
    <n v="969"/>
    <n v="50"/>
    <s v="RM"/>
    <n v="50"/>
    <n v="5925"/>
    <s v="Pave"/>
    <s v="NA"/>
    <s v="Reg"/>
    <s v="Lvl"/>
    <s v="AllPub"/>
    <s v="Inside"/>
    <s v="Gtl"/>
    <x v="7"/>
    <x v="0"/>
    <s v="Norm"/>
    <x v="0"/>
    <x v="2"/>
    <n v="3"/>
    <n v="6"/>
    <x v="48"/>
    <n v="1950"/>
    <s v="Gable"/>
    <s v="CompShg"/>
    <s v="VinylSd"/>
    <s v="VinylSd"/>
    <s v="None"/>
    <n v="0"/>
    <s v="TA"/>
    <s v="TA"/>
    <s v="BrkTil"/>
    <s v="TA"/>
    <s v="TA"/>
    <s v="No"/>
    <s v="Unf"/>
    <n v="0"/>
    <s v="Unf"/>
    <n v="0"/>
    <n v="600"/>
    <n v="600"/>
    <s v="Grav"/>
    <s v="Fa"/>
    <s v="N"/>
    <s v="SBrkr"/>
    <n v="600"/>
    <n v="368"/>
    <n v="0"/>
    <x v="165"/>
    <n v="0"/>
    <n v="0"/>
    <n v="1"/>
    <n v="0"/>
    <n v="2"/>
    <n v="1"/>
    <s v="TA"/>
    <n v="6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GdWo"/>
    <s v="NA"/>
    <n v="0"/>
    <n v="5"/>
    <n v="2009"/>
    <s v="WD"/>
    <s v="Abnorml"/>
    <n v="37900"/>
  </r>
  <r>
    <n v="970"/>
    <n v="190"/>
    <s v="RL"/>
    <n v="75"/>
    <n v="10382"/>
    <s v="Pave"/>
    <s v="NA"/>
    <s v="Reg"/>
    <s v="Lvl"/>
    <s v="AllPub"/>
    <s v="Inside"/>
    <s v="Gtl"/>
    <x v="11"/>
    <x v="0"/>
    <s v="Norm"/>
    <x v="1"/>
    <x v="5"/>
    <n v="6"/>
    <n v="5"/>
    <x v="18"/>
    <n v="1958"/>
    <s v="Hip"/>
    <s v="CompShg"/>
    <s v="HdBoard"/>
    <s v="HdBoard"/>
    <s v="BrkFace"/>
    <n v="105"/>
    <s v="TA"/>
    <s v="Fa"/>
    <s v="CBlock"/>
    <s v="TA"/>
    <s v="TA"/>
    <s v="Gd"/>
    <s v="ALQ"/>
    <n v="513"/>
    <s v="Unf"/>
    <n v="0"/>
    <n v="75"/>
    <n v="588"/>
    <s v="GasA"/>
    <s v="TA"/>
    <s v="Y"/>
    <s v="SBrkr"/>
    <n v="1095"/>
    <n v="0"/>
    <n v="0"/>
    <x v="665"/>
    <n v="1"/>
    <n v="0"/>
    <n v="1"/>
    <n v="0"/>
    <n v="2"/>
    <n v="1"/>
    <s v="TA"/>
    <n v="6"/>
    <s v="Typ"/>
    <n v="0"/>
    <s v="NA"/>
    <s v="Attchd"/>
    <n v="1958"/>
    <s v="RFn"/>
    <n v="1"/>
    <n v="264"/>
    <s v="TA"/>
    <s v="TA"/>
    <s v="Y"/>
    <n v="0"/>
    <n v="0"/>
    <n v="0"/>
    <n v="0"/>
    <n v="0"/>
    <n v="0"/>
    <s v="NA"/>
    <s v="NA"/>
    <s v="NA"/>
    <n v="0"/>
    <n v="3"/>
    <n v="2006"/>
    <s v="ConLD"/>
    <s v="Normal"/>
    <n v="140000"/>
  </r>
  <r>
    <n v="971"/>
    <n v="50"/>
    <s v="RL"/>
    <n v="60"/>
    <n v="10800"/>
    <s v="Pave"/>
    <s v="NA"/>
    <s v="Reg"/>
    <s v="Lvl"/>
    <s v="AllPub"/>
    <s v="Inside"/>
    <s v="Gtl"/>
    <x v="11"/>
    <x v="0"/>
    <s v="Norm"/>
    <x v="0"/>
    <x v="2"/>
    <n v="4"/>
    <n v="4"/>
    <x v="87"/>
    <n v="1950"/>
    <s v="Gable"/>
    <s v="CompShg"/>
    <s v="AsbShng"/>
    <s v="AsbShng"/>
    <s v="None"/>
    <n v="0"/>
    <s v="TA"/>
    <s v="TA"/>
    <s v="CBlock"/>
    <s v="TA"/>
    <s v="TA"/>
    <s v="No"/>
    <s v="Unf"/>
    <n v="0"/>
    <s v="Unf"/>
    <n v="0"/>
    <n v="720"/>
    <n v="720"/>
    <s v="GasA"/>
    <s v="TA"/>
    <s v="N"/>
    <s v="FuseA"/>
    <n v="720"/>
    <n v="472"/>
    <n v="0"/>
    <x v="277"/>
    <n v="0"/>
    <n v="0"/>
    <n v="1"/>
    <n v="1"/>
    <n v="4"/>
    <n v="1"/>
    <s v="TA"/>
    <n v="6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12"/>
    <n v="2006"/>
    <s v="WD"/>
    <s v="Abnorml"/>
    <n v="135000"/>
  </r>
  <r>
    <n v="972"/>
    <n v="160"/>
    <s v="RL"/>
    <n v="36"/>
    <n v="2268"/>
    <s v="Pave"/>
    <s v="NA"/>
    <s v="Reg"/>
    <s v="Lvl"/>
    <s v="AllPub"/>
    <s v="Inside"/>
    <s v="Gtl"/>
    <x v="10"/>
    <x v="0"/>
    <s v="Norm"/>
    <x v="4"/>
    <x v="0"/>
    <n v="7"/>
    <n v="5"/>
    <x v="0"/>
    <n v="2004"/>
    <s v="Gable"/>
    <s v="CompShg"/>
    <s v="VinylSd"/>
    <s v="Wd Shng"/>
    <s v="Stone"/>
    <n v="106"/>
    <s v="Gd"/>
    <s v="TA"/>
    <s v="PConc"/>
    <s v="Gd"/>
    <s v="TA"/>
    <s v="No"/>
    <s v="GLQ"/>
    <n v="567"/>
    <s v="Unf"/>
    <n v="0"/>
    <n v="197"/>
    <n v="764"/>
    <s v="GasA"/>
    <s v="Ex"/>
    <s v="Y"/>
    <s v="SBrkr"/>
    <n v="764"/>
    <n v="862"/>
    <n v="0"/>
    <x v="292"/>
    <n v="0"/>
    <n v="0"/>
    <n v="2"/>
    <n v="0"/>
    <n v="2"/>
    <n v="1"/>
    <s v="Gd"/>
    <n v="6"/>
    <s v="Typ"/>
    <n v="0"/>
    <s v="NA"/>
    <s v="BuiltIn"/>
    <n v="2003"/>
    <s v="RFn"/>
    <n v="2"/>
    <n v="474"/>
    <s v="TA"/>
    <s v="TA"/>
    <s v="Y"/>
    <n v="0"/>
    <n v="27"/>
    <n v="0"/>
    <n v="0"/>
    <n v="0"/>
    <n v="0"/>
    <s v="NA"/>
    <s v="NA"/>
    <s v="NA"/>
    <n v="0"/>
    <n v="7"/>
    <n v="2009"/>
    <s v="WD"/>
    <s v="Normal"/>
    <n v="173000"/>
  </r>
  <r>
    <n v="973"/>
    <n v="120"/>
    <s v="RL"/>
    <n v="55"/>
    <n v="7892"/>
    <s v="Pave"/>
    <s v="NA"/>
    <s v="Reg"/>
    <s v="Lvl"/>
    <s v="AllPub"/>
    <s v="Inside"/>
    <s v="Gtl"/>
    <x v="12"/>
    <x v="0"/>
    <s v="Norm"/>
    <x v="3"/>
    <x v="1"/>
    <n v="6"/>
    <n v="5"/>
    <x v="56"/>
    <n v="1979"/>
    <s v="Gable"/>
    <s v="CompShg"/>
    <s v="Plywood"/>
    <s v="Plywood"/>
    <s v="None"/>
    <n v="0"/>
    <s v="TA"/>
    <s v="TA"/>
    <s v="CBlock"/>
    <s v="Gd"/>
    <s v="TA"/>
    <s v="No"/>
    <s v="Unf"/>
    <n v="0"/>
    <s v="Unf"/>
    <n v="0"/>
    <n v="918"/>
    <n v="918"/>
    <s v="GasA"/>
    <s v="TA"/>
    <s v="Y"/>
    <s v="SBrkr"/>
    <n v="918"/>
    <n v="0"/>
    <n v="0"/>
    <x v="666"/>
    <n v="0"/>
    <n v="0"/>
    <n v="2"/>
    <n v="0"/>
    <n v="2"/>
    <n v="1"/>
    <s v="TA"/>
    <n v="5"/>
    <s v="Typ"/>
    <n v="1"/>
    <s v="TA"/>
    <s v="Attchd"/>
    <n v="1979"/>
    <s v="Unf"/>
    <n v="1"/>
    <n v="264"/>
    <s v="TA"/>
    <s v="TA"/>
    <s v="Y"/>
    <n v="28"/>
    <n v="0"/>
    <n v="0"/>
    <n v="0"/>
    <n v="0"/>
    <n v="0"/>
    <s v="NA"/>
    <s v="NA"/>
    <s v="NA"/>
    <n v="0"/>
    <n v="4"/>
    <n v="2010"/>
    <s v="WD"/>
    <s v="Normal"/>
    <n v="99500"/>
  </r>
  <r>
    <n v="974"/>
    <n v="20"/>
    <s v="FV"/>
    <n v="95"/>
    <n v="11639"/>
    <s v="Pave"/>
    <s v="NA"/>
    <s v="Reg"/>
    <s v="Lvl"/>
    <s v="AllPub"/>
    <s v="Corner"/>
    <s v="Gtl"/>
    <x v="5"/>
    <x v="0"/>
    <s v="Norm"/>
    <x v="0"/>
    <x v="1"/>
    <n v="7"/>
    <n v="5"/>
    <x v="22"/>
    <n v="2008"/>
    <s v="Gable"/>
    <s v="CompShg"/>
    <s v="CemntBd"/>
    <s v="CmentBd"/>
    <s v="NA"/>
    <s v="NA"/>
    <s v="Gd"/>
    <s v="TA"/>
    <s v="PConc"/>
    <s v="Gd"/>
    <s v="TA"/>
    <s v="No"/>
    <s v="Unf"/>
    <n v="0"/>
    <s v="Unf"/>
    <n v="0"/>
    <n v="1428"/>
    <n v="1428"/>
    <s v="GasA"/>
    <s v="Ex"/>
    <s v="Y"/>
    <s v="SBrkr"/>
    <n v="1428"/>
    <n v="0"/>
    <n v="0"/>
    <x v="583"/>
    <n v="0"/>
    <n v="0"/>
    <n v="2"/>
    <n v="0"/>
    <n v="3"/>
    <n v="1"/>
    <s v="Gd"/>
    <n v="6"/>
    <s v="Typ"/>
    <n v="0"/>
    <s v="NA"/>
    <s v="Attchd"/>
    <n v="2007"/>
    <s v="Fin"/>
    <n v="2"/>
    <n v="480"/>
    <s v="TA"/>
    <s v="TA"/>
    <s v="Y"/>
    <n v="0"/>
    <n v="120"/>
    <n v="0"/>
    <n v="0"/>
    <n v="0"/>
    <n v="0"/>
    <s v="NA"/>
    <s v="NA"/>
    <s v="NA"/>
    <n v="0"/>
    <n v="12"/>
    <n v="2008"/>
    <s v="New"/>
    <s v="Partial"/>
    <n v="182000"/>
  </r>
  <r>
    <n v="975"/>
    <n v="70"/>
    <s v="RL"/>
    <n v="60"/>
    <n v="11414"/>
    <s v="Pave"/>
    <s v="NA"/>
    <s v="IR1"/>
    <s v="Lvl"/>
    <s v="AllPub"/>
    <s v="Corner"/>
    <s v="Gtl"/>
    <x v="8"/>
    <x v="6"/>
    <s v="Feedr"/>
    <x v="0"/>
    <x v="0"/>
    <n v="7"/>
    <n v="8"/>
    <x v="48"/>
    <n v="1993"/>
    <s v="Gable"/>
    <s v="CompShg"/>
    <s v="HdBoard"/>
    <s v="HdBoard"/>
    <s v="None"/>
    <n v="0"/>
    <s v="TA"/>
    <s v="Gd"/>
    <s v="BrkTil"/>
    <s v="Gd"/>
    <s v="TA"/>
    <s v="No"/>
    <s v="Unf"/>
    <n v="0"/>
    <s v="Unf"/>
    <n v="0"/>
    <n v="728"/>
    <n v="728"/>
    <s v="GasA"/>
    <s v="TA"/>
    <s v="N"/>
    <s v="SBrkr"/>
    <n v="1136"/>
    <n v="883"/>
    <n v="0"/>
    <x v="667"/>
    <n v="0"/>
    <n v="0"/>
    <n v="1"/>
    <n v="0"/>
    <n v="3"/>
    <n v="1"/>
    <s v="Gd"/>
    <n v="8"/>
    <s v="Typ"/>
    <n v="0"/>
    <s v="NA"/>
    <s v="Detchd"/>
    <n v="1997"/>
    <s v="Unf"/>
    <n v="2"/>
    <n v="532"/>
    <s v="TA"/>
    <s v="TA"/>
    <s v="Y"/>
    <n v="509"/>
    <n v="135"/>
    <n v="0"/>
    <n v="0"/>
    <n v="0"/>
    <n v="0"/>
    <s v="NA"/>
    <s v="GdPrv"/>
    <s v="NA"/>
    <n v="0"/>
    <n v="10"/>
    <n v="2009"/>
    <s v="WD"/>
    <s v="Normal"/>
    <n v="167500"/>
  </r>
  <r>
    <n v="976"/>
    <n v="160"/>
    <s v="FV"/>
    <s v="NA"/>
    <n v="2651"/>
    <s v="Pave"/>
    <s v="NA"/>
    <s v="Reg"/>
    <s v="Lvl"/>
    <s v="AllPub"/>
    <s v="FR2"/>
    <s v="Gtl"/>
    <x v="5"/>
    <x v="0"/>
    <s v="Norm"/>
    <x v="4"/>
    <x v="0"/>
    <n v="7"/>
    <n v="5"/>
    <x v="4"/>
    <n v="2000"/>
    <s v="Gable"/>
    <s v="CompShg"/>
    <s v="MetalSd"/>
    <s v="MetalSd"/>
    <s v="None"/>
    <n v="0"/>
    <s v="Gd"/>
    <s v="TA"/>
    <s v="PConc"/>
    <s v="Gd"/>
    <s v="TA"/>
    <s v="No"/>
    <s v="GLQ"/>
    <n v="641"/>
    <s v="Unf"/>
    <n v="0"/>
    <n v="32"/>
    <n v="673"/>
    <s v="GasA"/>
    <s v="Ex"/>
    <s v="Y"/>
    <s v="SBrkr"/>
    <n v="673"/>
    <n v="709"/>
    <n v="0"/>
    <x v="158"/>
    <n v="1"/>
    <n v="0"/>
    <n v="2"/>
    <n v="1"/>
    <n v="3"/>
    <n v="1"/>
    <s v="Gd"/>
    <n v="6"/>
    <s v="Typ"/>
    <n v="0"/>
    <s v="NA"/>
    <s v="Detchd"/>
    <n v="2000"/>
    <s v="Unf"/>
    <n v="2"/>
    <n v="490"/>
    <s v="TA"/>
    <s v="TA"/>
    <s v="Y"/>
    <n v="153"/>
    <n v="50"/>
    <n v="0"/>
    <n v="0"/>
    <n v="0"/>
    <n v="0"/>
    <s v="NA"/>
    <s v="NA"/>
    <s v="NA"/>
    <n v="0"/>
    <n v="4"/>
    <n v="2006"/>
    <s v="WD"/>
    <s v="Normal"/>
    <n v="165000"/>
  </r>
  <r>
    <n v="977"/>
    <n v="30"/>
    <s v="RL"/>
    <n v="51"/>
    <n v="5900"/>
    <s v="Pave"/>
    <s v="NA"/>
    <s v="IR1"/>
    <s v="Bnk"/>
    <s v="AllPub"/>
    <s v="Inside"/>
    <s v="Gtl"/>
    <x v="8"/>
    <x v="0"/>
    <s v="Norm"/>
    <x v="0"/>
    <x v="1"/>
    <n v="4"/>
    <n v="7"/>
    <x v="66"/>
    <n v="1958"/>
    <s v="Gable"/>
    <s v="CompShg"/>
    <s v="Wd Sdng"/>
    <s v="Wd Sdng"/>
    <s v="None"/>
    <n v="0"/>
    <s v="TA"/>
    <s v="TA"/>
    <s v="PConc"/>
    <s v="Gd"/>
    <s v="TA"/>
    <s v="No"/>
    <s v="Unf"/>
    <n v="0"/>
    <s v="Unf"/>
    <n v="0"/>
    <n v="440"/>
    <n v="440"/>
    <s v="GasA"/>
    <s v="TA"/>
    <s v="Y"/>
    <s v="FuseA"/>
    <n v="869"/>
    <n v="0"/>
    <n v="0"/>
    <x v="668"/>
    <n v="0"/>
    <n v="0"/>
    <n v="1"/>
    <n v="0"/>
    <n v="2"/>
    <n v="1"/>
    <s v="Fa"/>
    <n v="4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n v="2006"/>
    <s v="WD"/>
    <s v="Normal"/>
    <n v="85500"/>
  </r>
  <r>
    <n v="978"/>
    <n v="120"/>
    <s v="FV"/>
    <n v="35"/>
    <n v="4274"/>
    <s v="Pave"/>
    <s v="Pave"/>
    <s v="IR1"/>
    <s v="Lvl"/>
    <s v="AllPub"/>
    <s v="Inside"/>
    <s v="Gtl"/>
    <x v="5"/>
    <x v="0"/>
    <s v="Norm"/>
    <x v="3"/>
    <x v="1"/>
    <n v="7"/>
    <n v="5"/>
    <x v="13"/>
    <n v="2007"/>
    <s v="Gable"/>
    <s v="CompShg"/>
    <s v="VinylSd"/>
    <s v="VinylSd"/>
    <s v="NA"/>
    <s v="NA"/>
    <s v="Gd"/>
    <s v="TA"/>
    <s v="PConc"/>
    <s v="Gd"/>
    <s v="TA"/>
    <s v="No"/>
    <s v="GLQ"/>
    <n v="1106"/>
    <s v="Unf"/>
    <n v="0"/>
    <n v="135"/>
    <n v="1241"/>
    <s v="GasA"/>
    <s v="Ex"/>
    <s v="Y"/>
    <s v="SBrkr"/>
    <n v="1241"/>
    <n v="0"/>
    <n v="0"/>
    <x v="669"/>
    <n v="1"/>
    <n v="0"/>
    <n v="1"/>
    <n v="1"/>
    <n v="1"/>
    <n v="1"/>
    <s v="Gd"/>
    <n v="4"/>
    <s v="Typ"/>
    <n v="0"/>
    <s v="NA"/>
    <s v="Attchd"/>
    <n v="2007"/>
    <s v="Fin"/>
    <n v="2"/>
    <n v="569"/>
    <s v="TA"/>
    <s v="TA"/>
    <s v="Y"/>
    <n v="0"/>
    <n v="116"/>
    <n v="0"/>
    <n v="0"/>
    <n v="0"/>
    <n v="0"/>
    <s v="NA"/>
    <s v="NA"/>
    <s v="NA"/>
    <n v="0"/>
    <n v="11"/>
    <n v="2007"/>
    <s v="New"/>
    <s v="Partial"/>
    <n v="199900"/>
  </r>
  <r>
    <n v="979"/>
    <n v="20"/>
    <s v="RL"/>
    <n v="68"/>
    <n v="9450"/>
    <s v="Pave"/>
    <s v="NA"/>
    <s v="Reg"/>
    <s v="Bnk"/>
    <s v="AllPub"/>
    <s v="Inside"/>
    <s v="Mod"/>
    <x v="15"/>
    <x v="0"/>
    <s v="Norm"/>
    <x v="0"/>
    <x v="1"/>
    <n v="4"/>
    <n v="5"/>
    <x v="30"/>
    <n v="1954"/>
    <s v="Gable"/>
    <s v="CompShg"/>
    <s v="MetalSd"/>
    <s v="MetalSd"/>
    <s v="None"/>
    <n v="0"/>
    <s v="TA"/>
    <s v="TA"/>
    <s v="CBlock"/>
    <s v="TA"/>
    <s v="TA"/>
    <s v="No"/>
    <s v="LwQ"/>
    <n v="552"/>
    <s v="Unf"/>
    <n v="0"/>
    <n v="342"/>
    <n v="894"/>
    <s v="GasA"/>
    <s v="Ex"/>
    <s v="Y"/>
    <s v="SBrkr"/>
    <n v="894"/>
    <n v="0"/>
    <n v="0"/>
    <x v="204"/>
    <n v="0"/>
    <n v="0"/>
    <n v="1"/>
    <n v="0"/>
    <n v="3"/>
    <n v="1"/>
    <s v="TA"/>
    <n v="5"/>
    <s v="Typ"/>
    <n v="0"/>
    <s v="NA"/>
    <s v="Detchd"/>
    <n v="1999"/>
    <s v="Unf"/>
    <n v="2"/>
    <n v="400"/>
    <s v="TA"/>
    <s v="TA"/>
    <s v="Y"/>
    <n v="0"/>
    <n v="0"/>
    <n v="0"/>
    <n v="0"/>
    <n v="0"/>
    <n v="0"/>
    <s v="NA"/>
    <s v="NA"/>
    <s v="NA"/>
    <n v="0"/>
    <n v="5"/>
    <n v="2007"/>
    <s v="WD"/>
    <s v="Abnorml"/>
    <n v="110000"/>
  </r>
  <r>
    <n v="980"/>
    <n v="20"/>
    <s v="RL"/>
    <n v="80"/>
    <n v="8816"/>
    <s v="Pave"/>
    <s v="NA"/>
    <s v="Reg"/>
    <s v="Lvl"/>
    <s v="AllPub"/>
    <s v="Corner"/>
    <s v="Gtl"/>
    <x v="9"/>
    <x v="1"/>
    <s v="Norm"/>
    <x v="0"/>
    <x v="1"/>
    <n v="5"/>
    <n v="6"/>
    <x v="37"/>
    <n v="1963"/>
    <s v="Gable"/>
    <s v="CompShg"/>
    <s v="VinylSd"/>
    <s v="VinylSd"/>
    <s v="None"/>
    <n v="0"/>
    <s v="TA"/>
    <s v="TA"/>
    <s v="PConc"/>
    <s v="TA"/>
    <s v="TA"/>
    <s v="No"/>
    <s v="Rec"/>
    <n v="651"/>
    <s v="Unf"/>
    <n v="0"/>
    <n v="470"/>
    <n v="1121"/>
    <s v="GasA"/>
    <s v="TA"/>
    <s v="Y"/>
    <s v="SBrkr"/>
    <n v="1121"/>
    <n v="0"/>
    <n v="0"/>
    <x v="179"/>
    <n v="1"/>
    <n v="0"/>
    <n v="1"/>
    <n v="0"/>
    <n v="3"/>
    <n v="1"/>
    <s v="TA"/>
    <n v="5"/>
    <s v="Typ"/>
    <n v="0"/>
    <s v="NA"/>
    <s v="Detchd"/>
    <n v="1963"/>
    <s v="Unf"/>
    <n v="2"/>
    <n v="480"/>
    <s v="TA"/>
    <s v="TA"/>
    <s v="Y"/>
    <n v="0"/>
    <n v="80"/>
    <n v="0"/>
    <n v="0"/>
    <n v="0"/>
    <n v="0"/>
    <s v="NA"/>
    <s v="MnPrv"/>
    <s v="NA"/>
    <n v="0"/>
    <n v="6"/>
    <n v="2009"/>
    <s v="WD"/>
    <s v="Normal"/>
    <n v="139000"/>
  </r>
  <r>
    <n v="981"/>
    <n v="85"/>
    <s v="RL"/>
    <s v="NA"/>
    <n v="12122"/>
    <s v="Pave"/>
    <s v="NA"/>
    <s v="IR1"/>
    <s v="Lvl"/>
    <s v="AllPub"/>
    <s v="Corner"/>
    <s v="Gtl"/>
    <x v="11"/>
    <x v="0"/>
    <s v="Norm"/>
    <x v="0"/>
    <x v="4"/>
    <n v="7"/>
    <n v="9"/>
    <x v="53"/>
    <n v="2007"/>
    <s v="Gable"/>
    <s v="CompShg"/>
    <s v="CemntBd"/>
    <s v="CmentBd"/>
    <s v="Stone"/>
    <n v="210"/>
    <s v="Ex"/>
    <s v="TA"/>
    <s v="CBlock"/>
    <s v="TA"/>
    <s v="TA"/>
    <s v="Av"/>
    <s v="ALQ"/>
    <n v="867"/>
    <s v="Unf"/>
    <n v="0"/>
    <n v="77"/>
    <n v="944"/>
    <s v="GasA"/>
    <s v="Gd"/>
    <s v="Y"/>
    <s v="SBrkr"/>
    <n v="999"/>
    <n v="0"/>
    <n v="0"/>
    <x v="389"/>
    <n v="1"/>
    <n v="0"/>
    <n v="1"/>
    <n v="0"/>
    <n v="3"/>
    <n v="1"/>
    <s v="Ex"/>
    <n v="6"/>
    <s v="Typ"/>
    <n v="0"/>
    <s v="NA"/>
    <s v="Attchd"/>
    <n v="1961"/>
    <s v="RFn"/>
    <n v="2"/>
    <n v="588"/>
    <s v="TA"/>
    <s v="TA"/>
    <s v="Y"/>
    <n v="144"/>
    <n v="76"/>
    <n v="0"/>
    <n v="0"/>
    <n v="0"/>
    <n v="0"/>
    <s v="NA"/>
    <s v="NA"/>
    <s v="NA"/>
    <n v="0"/>
    <n v="7"/>
    <n v="2008"/>
    <s v="WD"/>
    <s v="Normal"/>
    <n v="178400"/>
  </r>
  <r>
    <n v="982"/>
    <n v="60"/>
    <s v="RL"/>
    <n v="98"/>
    <n v="12203"/>
    <s v="Pave"/>
    <s v="NA"/>
    <s v="IR1"/>
    <s v="Lvl"/>
    <s v="AllPub"/>
    <s v="Corner"/>
    <s v="Gtl"/>
    <x v="3"/>
    <x v="0"/>
    <s v="Norm"/>
    <x v="0"/>
    <x v="0"/>
    <n v="8"/>
    <n v="5"/>
    <x v="45"/>
    <n v="1999"/>
    <s v="Hip"/>
    <s v="CompShg"/>
    <s v="VinylSd"/>
    <s v="VinylSd"/>
    <s v="BrkFace"/>
    <n v="975"/>
    <s v="Gd"/>
    <s v="TA"/>
    <s v="PConc"/>
    <s v="Gd"/>
    <s v="TA"/>
    <s v="No"/>
    <s v="GLQ"/>
    <n v="854"/>
    <s v="Unf"/>
    <n v="0"/>
    <n v="371"/>
    <n v="1225"/>
    <s v="GasA"/>
    <s v="Ex"/>
    <s v="Y"/>
    <s v="SBrkr"/>
    <n v="1276"/>
    <n v="1336"/>
    <n v="0"/>
    <x v="670"/>
    <n v="1"/>
    <n v="0"/>
    <n v="2"/>
    <n v="1"/>
    <n v="4"/>
    <n v="1"/>
    <s v="Gd"/>
    <n v="8"/>
    <s v="Typ"/>
    <n v="1"/>
    <s v="TA"/>
    <s v="Attchd"/>
    <n v="1998"/>
    <s v="Fin"/>
    <n v="3"/>
    <n v="676"/>
    <s v="TA"/>
    <s v="TA"/>
    <s v="Y"/>
    <n v="250"/>
    <n v="0"/>
    <n v="0"/>
    <n v="0"/>
    <n v="0"/>
    <n v="0"/>
    <s v="NA"/>
    <s v="NA"/>
    <s v="NA"/>
    <n v="0"/>
    <n v="7"/>
    <n v="2009"/>
    <s v="WD"/>
    <s v="Normal"/>
    <n v="336000"/>
  </r>
  <r>
    <n v="983"/>
    <n v="20"/>
    <s v="RL"/>
    <n v="43"/>
    <n v="3182"/>
    <s v="Pave"/>
    <s v="NA"/>
    <s v="Reg"/>
    <s v="Lvl"/>
    <s v="AllPub"/>
    <s v="Inside"/>
    <s v="Gtl"/>
    <x v="21"/>
    <x v="0"/>
    <s v="Norm"/>
    <x v="0"/>
    <x v="1"/>
    <n v="7"/>
    <n v="5"/>
    <x v="22"/>
    <n v="2007"/>
    <s v="Gable"/>
    <s v="CompShg"/>
    <s v="VinylSd"/>
    <s v="VinylSd"/>
    <s v="BrkFace"/>
    <n v="16"/>
    <s v="Gd"/>
    <s v="TA"/>
    <s v="PConc"/>
    <s v="Gd"/>
    <s v="TA"/>
    <s v="Av"/>
    <s v="Unf"/>
    <n v="0"/>
    <s v="Unf"/>
    <n v="0"/>
    <n v="1266"/>
    <n v="1266"/>
    <s v="GasA"/>
    <s v="Ex"/>
    <s v="Y"/>
    <s v="SBrkr"/>
    <n v="1266"/>
    <n v="0"/>
    <n v="0"/>
    <x v="415"/>
    <n v="0"/>
    <n v="0"/>
    <n v="2"/>
    <n v="0"/>
    <n v="2"/>
    <n v="1"/>
    <s v="Gd"/>
    <n v="6"/>
    <s v="Typ"/>
    <n v="1"/>
    <s v="Gd"/>
    <s v="Attchd"/>
    <n v="2007"/>
    <s v="Fin"/>
    <n v="2"/>
    <n v="388"/>
    <s v="TA"/>
    <s v="TA"/>
    <s v="Y"/>
    <n v="100"/>
    <n v="16"/>
    <n v="0"/>
    <n v="0"/>
    <n v="0"/>
    <n v="0"/>
    <s v="NA"/>
    <s v="NA"/>
    <s v="NA"/>
    <n v="0"/>
    <n v="3"/>
    <n v="2008"/>
    <s v="WD"/>
    <s v="Normal"/>
    <n v="159895"/>
  </r>
  <r>
    <n v="984"/>
    <n v="60"/>
    <s v="RL"/>
    <s v="NA"/>
    <n v="11250"/>
    <s v="Pave"/>
    <s v="NA"/>
    <s v="Reg"/>
    <s v="Lvl"/>
    <s v="AllPub"/>
    <s v="Corner"/>
    <s v="Gtl"/>
    <x v="0"/>
    <x v="0"/>
    <s v="Norm"/>
    <x v="0"/>
    <x v="0"/>
    <n v="8"/>
    <n v="5"/>
    <x v="20"/>
    <n v="2002"/>
    <s v="Gable"/>
    <s v="CompShg"/>
    <s v="CemntBd"/>
    <s v="CmentBd"/>
    <s v="None"/>
    <n v="0"/>
    <s v="Gd"/>
    <s v="TA"/>
    <s v="PConc"/>
    <s v="Gd"/>
    <s v="TA"/>
    <s v="Mn"/>
    <s v="Unf"/>
    <n v="0"/>
    <s v="Unf"/>
    <n v="0"/>
    <n v="1128"/>
    <n v="1128"/>
    <s v="GasA"/>
    <s v="Ex"/>
    <s v="Y"/>
    <s v="SBrkr"/>
    <n v="1149"/>
    <n v="1141"/>
    <n v="0"/>
    <x v="671"/>
    <n v="0"/>
    <n v="0"/>
    <n v="2"/>
    <n v="1"/>
    <n v="4"/>
    <n v="1"/>
    <s v="Gd"/>
    <n v="9"/>
    <s v="Typ"/>
    <n v="1"/>
    <s v="Gd"/>
    <s v="Attchd"/>
    <n v="2002"/>
    <s v="Unf"/>
    <n v="2"/>
    <n v="779"/>
    <s v="TA"/>
    <s v="TA"/>
    <s v="Y"/>
    <n v="0"/>
    <n v="0"/>
    <n v="0"/>
    <n v="0"/>
    <n v="0"/>
    <n v="0"/>
    <s v="NA"/>
    <s v="NA"/>
    <s v="NA"/>
    <n v="0"/>
    <n v="5"/>
    <n v="2008"/>
    <s v="WD"/>
    <s v="Normal"/>
    <n v="255900"/>
  </r>
  <r>
    <n v="985"/>
    <n v="90"/>
    <s v="RL"/>
    <n v="75"/>
    <n v="10125"/>
    <s v="Pave"/>
    <s v="NA"/>
    <s v="Reg"/>
    <s v="Lvl"/>
    <s v="AllPub"/>
    <s v="Inside"/>
    <s v="Gtl"/>
    <x v="4"/>
    <x v="0"/>
    <s v="Norm"/>
    <x v="2"/>
    <x v="2"/>
    <n v="5"/>
    <n v="5"/>
    <x v="54"/>
    <n v="1977"/>
    <s v="Gable"/>
    <s v="CompShg"/>
    <s v="Plywood"/>
    <s v="Plywood"/>
    <s v="None"/>
    <n v="0"/>
    <s v="TA"/>
    <s v="TA"/>
    <s v="CBlock"/>
    <s v="NA"/>
    <s v="NA"/>
    <s v="NA"/>
    <s v="NA"/>
    <n v="0"/>
    <s v="NA"/>
    <n v="0"/>
    <n v="0"/>
    <n v="0"/>
    <s v="GasA"/>
    <s v="TA"/>
    <s v="Y"/>
    <s v="SBrkr"/>
    <n v="1302"/>
    <n v="432"/>
    <n v="0"/>
    <x v="133"/>
    <n v="0"/>
    <n v="0"/>
    <n v="2"/>
    <n v="0"/>
    <n v="4"/>
    <n v="2"/>
    <s v="Gd"/>
    <n v="8"/>
    <s v="Typ"/>
    <n v="0"/>
    <s v="NA"/>
    <s v="Attchd"/>
    <n v="1977"/>
    <s v="Unf"/>
    <n v="2"/>
    <n v="539"/>
    <s v="TA"/>
    <s v="TA"/>
    <s v="Y"/>
    <n v="0"/>
    <n v="0"/>
    <n v="0"/>
    <n v="0"/>
    <n v="0"/>
    <n v="0"/>
    <s v="NA"/>
    <s v="NA"/>
    <s v="NA"/>
    <n v="0"/>
    <n v="8"/>
    <n v="2009"/>
    <s v="COD"/>
    <s v="Normal"/>
    <n v="126000"/>
  </r>
  <r>
    <n v="986"/>
    <n v="190"/>
    <s v="RL"/>
    <n v="68"/>
    <n v="10880"/>
    <s v="Pave"/>
    <s v="NA"/>
    <s v="Reg"/>
    <s v="Lvl"/>
    <s v="AllPub"/>
    <s v="Inside"/>
    <s v="Gtl"/>
    <x v="15"/>
    <x v="0"/>
    <s v="Norm"/>
    <x v="1"/>
    <x v="1"/>
    <n v="5"/>
    <n v="5"/>
    <x v="52"/>
    <n v="1950"/>
    <s v="Gable"/>
    <s v="CompShg"/>
    <s v="MetalSd"/>
    <s v="MetalSd"/>
    <s v="None"/>
    <n v="0"/>
    <s v="TA"/>
    <s v="TA"/>
    <s v="CBlock"/>
    <s v="TA"/>
    <s v="TA"/>
    <s v="No"/>
    <s v="ALQ"/>
    <n v="1040"/>
    <s v="Unf"/>
    <n v="0"/>
    <n v="124"/>
    <n v="1164"/>
    <s v="GasW"/>
    <s v="TA"/>
    <s v="N"/>
    <s v="SBrkr"/>
    <n v="1164"/>
    <n v="0"/>
    <n v="0"/>
    <x v="530"/>
    <n v="1"/>
    <n v="0"/>
    <n v="1"/>
    <n v="0"/>
    <n v="3"/>
    <n v="1"/>
    <s v="TA"/>
    <n v="5"/>
    <s v="Typ"/>
    <n v="0"/>
    <s v="NA"/>
    <s v="Detchd"/>
    <n v="1950"/>
    <s v="Unf"/>
    <n v="1"/>
    <n v="240"/>
    <s v="TA"/>
    <s v="TA"/>
    <s v="Y"/>
    <n v="0"/>
    <n v="48"/>
    <n v="0"/>
    <n v="0"/>
    <n v="0"/>
    <n v="0"/>
    <s v="NA"/>
    <s v="NA"/>
    <s v="NA"/>
    <n v="0"/>
    <n v="8"/>
    <n v="2008"/>
    <s v="ConLD"/>
    <s v="Normal"/>
    <n v="125000"/>
  </r>
  <r>
    <n v="987"/>
    <n v="50"/>
    <s v="RM"/>
    <n v="59"/>
    <n v="5310"/>
    <s v="Pave"/>
    <s v="NA"/>
    <s v="Reg"/>
    <s v="Lvl"/>
    <s v="AllPub"/>
    <s v="Corner"/>
    <s v="Gtl"/>
    <x v="7"/>
    <x v="1"/>
    <s v="Norm"/>
    <x v="0"/>
    <x v="2"/>
    <n v="6"/>
    <n v="8"/>
    <x v="48"/>
    <n v="2003"/>
    <s v="Hip"/>
    <s v="CompShg"/>
    <s v="VinylSd"/>
    <s v="VinylSd"/>
    <s v="None"/>
    <n v="0"/>
    <s v="TA"/>
    <s v="Gd"/>
    <s v="CBlock"/>
    <s v="TA"/>
    <s v="Fa"/>
    <s v="No"/>
    <s v="Unf"/>
    <n v="0"/>
    <s v="Unf"/>
    <n v="0"/>
    <n v="485"/>
    <n v="485"/>
    <s v="GasA"/>
    <s v="Gd"/>
    <s v="Y"/>
    <s v="SBrkr"/>
    <n v="1001"/>
    <n v="634"/>
    <n v="0"/>
    <x v="432"/>
    <n v="0"/>
    <n v="0"/>
    <n v="1"/>
    <n v="0"/>
    <n v="2"/>
    <n v="1"/>
    <s v="Gd"/>
    <n v="5"/>
    <s v="Typ"/>
    <n v="0"/>
    <s v="NA"/>
    <s v="Attchd"/>
    <n v="1950"/>
    <s v="Unf"/>
    <n v="1"/>
    <n v="255"/>
    <s v="Fa"/>
    <s v="TA"/>
    <s v="Y"/>
    <n v="394"/>
    <n v="0"/>
    <n v="0"/>
    <n v="0"/>
    <n v="0"/>
    <n v="0"/>
    <s v="NA"/>
    <s v="NA"/>
    <s v="NA"/>
    <n v="0"/>
    <n v="6"/>
    <n v="2006"/>
    <s v="WD"/>
    <s v="Normal"/>
    <n v="117000"/>
  </r>
  <r>
    <n v="988"/>
    <n v="20"/>
    <s v="RL"/>
    <n v="83"/>
    <n v="10159"/>
    <s v="Pave"/>
    <s v="NA"/>
    <s v="IR1"/>
    <s v="Lvl"/>
    <s v="AllPub"/>
    <s v="Inside"/>
    <s v="Gtl"/>
    <x v="10"/>
    <x v="0"/>
    <s v="Norm"/>
    <x v="0"/>
    <x v="1"/>
    <n v="9"/>
    <n v="5"/>
    <x v="51"/>
    <n v="2010"/>
    <s v="Hip"/>
    <s v="CompShg"/>
    <s v="VinylSd"/>
    <s v="VinylSd"/>
    <s v="Stone"/>
    <n v="450"/>
    <s v="Ex"/>
    <s v="TA"/>
    <s v="PConc"/>
    <s v="Ex"/>
    <s v="TA"/>
    <s v="Av"/>
    <s v="GLQ"/>
    <n v="1646"/>
    <s v="Unf"/>
    <n v="0"/>
    <n v="284"/>
    <n v="1930"/>
    <s v="GasA"/>
    <s v="Ex"/>
    <s v="Y"/>
    <s v="SBrkr"/>
    <n v="1940"/>
    <n v="0"/>
    <n v="0"/>
    <x v="672"/>
    <n v="1"/>
    <n v="0"/>
    <n v="2"/>
    <n v="1"/>
    <n v="3"/>
    <n v="1"/>
    <s v="Ex"/>
    <n v="8"/>
    <s v="Typ"/>
    <n v="1"/>
    <s v="Gd"/>
    <s v="Attchd"/>
    <n v="2010"/>
    <s v="Fin"/>
    <n v="3"/>
    <n v="606"/>
    <s v="TA"/>
    <s v="TA"/>
    <s v="Y"/>
    <n v="168"/>
    <n v="95"/>
    <n v="0"/>
    <n v="0"/>
    <n v="0"/>
    <n v="0"/>
    <s v="NA"/>
    <s v="NA"/>
    <s v="NA"/>
    <n v="0"/>
    <n v="4"/>
    <n v="2010"/>
    <s v="New"/>
    <s v="Partial"/>
    <n v="395192"/>
  </r>
  <r>
    <n v="989"/>
    <n v="60"/>
    <s v="RL"/>
    <s v="NA"/>
    <n v="12046"/>
    <s v="Pave"/>
    <s v="NA"/>
    <s v="IR1"/>
    <s v="Lvl"/>
    <s v="AllPub"/>
    <s v="Inside"/>
    <s v="Gtl"/>
    <x v="6"/>
    <x v="0"/>
    <s v="Norm"/>
    <x v="0"/>
    <x v="0"/>
    <n v="6"/>
    <n v="6"/>
    <x v="1"/>
    <n v="1976"/>
    <s v="Gable"/>
    <s v="CompShg"/>
    <s v="Plywood"/>
    <s v="Plywood"/>
    <s v="BrkFace"/>
    <n v="298"/>
    <s v="TA"/>
    <s v="TA"/>
    <s v="CBlock"/>
    <s v="TA"/>
    <s v="TA"/>
    <s v="No"/>
    <s v="LwQ"/>
    <n v="156"/>
    <s v="Unf"/>
    <n v="0"/>
    <n v="692"/>
    <n v="848"/>
    <s v="GasA"/>
    <s v="TA"/>
    <s v="Y"/>
    <s v="SBrkr"/>
    <n v="1118"/>
    <n v="912"/>
    <n v="0"/>
    <x v="673"/>
    <n v="0"/>
    <n v="0"/>
    <n v="2"/>
    <n v="1"/>
    <n v="4"/>
    <n v="1"/>
    <s v="Gd"/>
    <n v="8"/>
    <s v="Typ"/>
    <n v="1"/>
    <s v="TA"/>
    <s v="Attchd"/>
    <n v="1976"/>
    <s v="Fin"/>
    <n v="2"/>
    <n v="551"/>
    <s v="TA"/>
    <s v="TA"/>
    <s v="Y"/>
    <n v="0"/>
    <n v="224"/>
    <n v="0"/>
    <n v="0"/>
    <n v="0"/>
    <n v="0"/>
    <s v="NA"/>
    <s v="NA"/>
    <s v="NA"/>
    <n v="0"/>
    <n v="6"/>
    <n v="2007"/>
    <s v="WD"/>
    <s v="Normal"/>
    <n v="195000"/>
  </r>
  <r>
    <n v="990"/>
    <n v="60"/>
    <s v="FV"/>
    <n v="65"/>
    <n v="8125"/>
    <s v="Pave"/>
    <s v="NA"/>
    <s v="Reg"/>
    <s v="Lvl"/>
    <s v="AllPub"/>
    <s v="Inside"/>
    <s v="Gtl"/>
    <x v="5"/>
    <x v="0"/>
    <s v="Norm"/>
    <x v="0"/>
    <x v="0"/>
    <n v="7"/>
    <n v="5"/>
    <x v="13"/>
    <n v="2006"/>
    <s v="Gable"/>
    <s v="CompShg"/>
    <s v="VinylSd"/>
    <s v="VinylSd"/>
    <s v="None"/>
    <n v="0"/>
    <s v="Gd"/>
    <s v="TA"/>
    <s v="PConc"/>
    <s v="Gd"/>
    <s v="Gd"/>
    <s v="No"/>
    <s v="Unf"/>
    <n v="0"/>
    <s v="Unf"/>
    <n v="0"/>
    <n v="770"/>
    <n v="770"/>
    <s v="GasA"/>
    <s v="Ex"/>
    <s v="Y"/>
    <s v="SBrkr"/>
    <n v="778"/>
    <n v="798"/>
    <n v="0"/>
    <x v="584"/>
    <n v="0"/>
    <n v="0"/>
    <n v="2"/>
    <n v="1"/>
    <n v="3"/>
    <n v="1"/>
    <s v="Gd"/>
    <n v="6"/>
    <s v="Typ"/>
    <n v="0"/>
    <s v="NA"/>
    <s v="Attchd"/>
    <n v="2006"/>
    <s v="RFn"/>
    <n v="2"/>
    <n v="614"/>
    <s v="TA"/>
    <s v="TA"/>
    <s v="Y"/>
    <n v="0"/>
    <n v="50"/>
    <n v="0"/>
    <n v="0"/>
    <n v="0"/>
    <n v="0"/>
    <s v="NA"/>
    <s v="NA"/>
    <s v="NA"/>
    <n v="0"/>
    <n v="8"/>
    <n v="2006"/>
    <s v="New"/>
    <s v="Partial"/>
    <n v="197000"/>
  </r>
  <r>
    <n v="991"/>
    <n v="60"/>
    <s v="RL"/>
    <n v="82"/>
    <n v="9452"/>
    <s v="Pave"/>
    <s v="NA"/>
    <s v="Reg"/>
    <s v="Lvl"/>
    <s v="AllPub"/>
    <s v="Inside"/>
    <s v="Gtl"/>
    <x v="3"/>
    <x v="0"/>
    <s v="Norm"/>
    <x v="0"/>
    <x v="0"/>
    <n v="8"/>
    <n v="5"/>
    <x v="35"/>
    <n v="1998"/>
    <s v="Gable"/>
    <s v="CompShg"/>
    <s v="VinylSd"/>
    <s v="VinylSd"/>
    <s v="BrkFace"/>
    <n v="423"/>
    <s v="Gd"/>
    <s v="TA"/>
    <s v="PConc"/>
    <s v="Gd"/>
    <s v="TA"/>
    <s v="No"/>
    <s v="GLQ"/>
    <n v="1074"/>
    <s v="Unf"/>
    <n v="0"/>
    <n v="322"/>
    <n v="1396"/>
    <s v="GasA"/>
    <s v="Ex"/>
    <s v="Y"/>
    <s v="SBrkr"/>
    <n v="1407"/>
    <n v="985"/>
    <n v="0"/>
    <x v="197"/>
    <n v="1"/>
    <n v="0"/>
    <n v="2"/>
    <n v="1"/>
    <n v="3"/>
    <n v="1"/>
    <s v="Gd"/>
    <n v="7"/>
    <s v="Typ"/>
    <n v="1"/>
    <s v="TA"/>
    <s v="Attchd"/>
    <n v="1997"/>
    <s v="Fin"/>
    <n v="3"/>
    <n v="870"/>
    <s v="TA"/>
    <s v="TA"/>
    <s v="Y"/>
    <n v="0"/>
    <n v="70"/>
    <n v="0"/>
    <n v="0"/>
    <n v="0"/>
    <n v="0"/>
    <s v="NA"/>
    <s v="NA"/>
    <s v="NA"/>
    <n v="0"/>
    <n v="6"/>
    <n v="2006"/>
    <s v="WD"/>
    <s v="Normal"/>
    <n v="348000"/>
  </r>
  <r>
    <n v="992"/>
    <n v="70"/>
    <s v="RM"/>
    <n v="121"/>
    <n v="17671"/>
    <s v="Pave"/>
    <s v="Grvl"/>
    <s v="Reg"/>
    <s v="Lvl"/>
    <s v="AllPub"/>
    <s v="Corner"/>
    <s v="Gtl"/>
    <x v="7"/>
    <x v="3"/>
    <s v="Norm"/>
    <x v="0"/>
    <x v="0"/>
    <n v="8"/>
    <n v="9"/>
    <x v="106"/>
    <n v="1986"/>
    <s v="Gable"/>
    <s v="CompShg"/>
    <s v="Wd Sdng"/>
    <s v="Wd Sdng"/>
    <s v="None"/>
    <n v="0"/>
    <s v="Gd"/>
    <s v="Gd"/>
    <s v="BrkTil"/>
    <s v="TA"/>
    <s v="TA"/>
    <s v="No"/>
    <s v="BLQ"/>
    <n v="216"/>
    <s v="Unf"/>
    <n v="0"/>
    <n v="700"/>
    <n v="916"/>
    <s v="GasA"/>
    <s v="Gd"/>
    <s v="Y"/>
    <s v="SBrkr"/>
    <n v="916"/>
    <n v="826"/>
    <n v="0"/>
    <x v="538"/>
    <n v="0"/>
    <n v="0"/>
    <n v="1"/>
    <n v="1"/>
    <n v="4"/>
    <n v="1"/>
    <s v="Gd"/>
    <n v="8"/>
    <s v="Typ"/>
    <n v="1"/>
    <s v="Gd"/>
    <s v="Attchd"/>
    <n v="1925"/>
    <s v="Unf"/>
    <n v="2"/>
    <n v="424"/>
    <s v="TA"/>
    <s v="TA"/>
    <s v="P"/>
    <n v="0"/>
    <n v="169"/>
    <n v="0"/>
    <n v="0"/>
    <n v="0"/>
    <n v="0"/>
    <s v="NA"/>
    <s v="NA"/>
    <s v="NA"/>
    <n v="0"/>
    <n v="11"/>
    <n v="2009"/>
    <s v="WD"/>
    <s v="Normal"/>
    <n v="168000"/>
  </r>
  <r>
    <n v="993"/>
    <n v="60"/>
    <s v="RL"/>
    <n v="80"/>
    <n v="9760"/>
    <s v="Pave"/>
    <s v="NA"/>
    <s v="Reg"/>
    <s v="Lvl"/>
    <s v="AllPub"/>
    <s v="Inside"/>
    <s v="Mod"/>
    <x v="11"/>
    <x v="0"/>
    <s v="Norm"/>
    <x v="0"/>
    <x v="0"/>
    <n v="6"/>
    <n v="8"/>
    <x v="39"/>
    <n v="1993"/>
    <s v="Hip"/>
    <s v="CompShg"/>
    <s v="Wd Sdng"/>
    <s v="Wd Sdng"/>
    <s v="BrkFace"/>
    <n v="340"/>
    <s v="TA"/>
    <s v="TA"/>
    <s v="CBlock"/>
    <s v="TA"/>
    <s v="TA"/>
    <s v="Gd"/>
    <s v="BLQ"/>
    <n v="536"/>
    <s v="Rec"/>
    <n v="117"/>
    <n v="169"/>
    <n v="822"/>
    <s v="GasA"/>
    <s v="Gd"/>
    <s v="Y"/>
    <s v="SBrkr"/>
    <n v="1020"/>
    <n v="831"/>
    <n v="0"/>
    <x v="674"/>
    <n v="0"/>
    <n v="0"/>
    <n v="2"/>
    <n v="1"/>
    <n v="3"/>
    <n v="1"/>
    <s v="Gd"/>
    <n v="7"/>
    <s v="Typ"/>
    <n v="1"/>
    <s v="Fa"/>
    <s v="Attchd"/>
    <n v="1964"/>
    <s v="RFn"/>
    <n v="2"/>
    <n v="440"/>
    <s v="TA"/>
    <s v="TA"/>
    <s v="Y"/>
    <n v="239"/>
    <n v="42"/>
    <n v="0"/>
    <n v="0"/>
    <n v="0"/>
    <n v="0"/>
    <s v="NA"/>
    <s v="MnWw"/>
    <s v="NA"/>
    <n v="0"/>
    <n v="7"/>
    <n v="2007"/>
    <s v="WD"/>
    <s v="Normal"/>
    <n v="187000"/>
  </r>
  <r>
    <n v="994"/>
    <n v="60"/>
    <s v="RL"/>
    <n v="68"/>
    <n v="8846"/>
    <s v="Pave"/>
    <s v="NA"/>
    <s v="Reg"/>
    <s v="Lvl"/>
    <s v="AllPub"/>
    <s v="Inside"/>
    <s v="Gtl"/>
    <x v="0"/>
    <x v="0"/>
    <s v="Norm"/>
    <x v="0"/>
    <x v="0"/>
    <n v="6"/>
    <n v="5"/>
    <x v="11"/>
    <n v="2006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750"/>
    <n v="750"/>
    <s v="GasA"/>
    <s v="Ex"/>
    <s v="Y"/>
    <s v="SBrkr"/>
    <n v="750"/>
    <n v="750"/>
    <n v="0"/>
    <x v="653"/>
    <n v="0"/>
    <n v="0"/>
    <n v="2"/>
    <n v="1"/>
    <n v="3"/>
    <n v="1"/>
    <s v="Gd"/>
    <n v="6"/>
    <s v="Typ"/>
    <n v="0"/>
    <s v="NA"/>
    <s v="Attchd"/>
    <n v="2005"/>
    <s v="RFn"/>
    <n v="2"/>
    <n v="564"/>
    <s v="TA"/>
    <s v="TA"/>
    <s v="Y"/>
    <n v="0"/>
    <n v="35"/>
    <n v="0"/>
    <n v="0"/>
    <n v="0"/>
    <n v="0"/>
    <s v="NA"/>
    <s v="NA"/>
    <s v="NA"/>
    <n v="0"/>
    <n v="8"/>
    <n v="2006"/>
    <s v="New"/>
    <s v="Partial"/>
    <n v="173900"/>
  </r>
  <r>
    <n v="995"/>
    <n v="20"/>
    <s v="RL"/>
    <n v="96"/>
    <n v="12456"/>
    <s v="Pave"/>
    <s v="NA"/>
    <s v="Reg"/>
    <s v="Lvl"/>
    <s v="AllPub"/>
    <s v="FR2"/>
    <s v="Gtl"/>
    <x v="10"/>
    <x v="0"/>
    <s v="Norm"/>
    <x v="0"/>
    <x v="1"/>
    <n v="10"/>
    <n v="5"/>
    <x v="13"/>
    <n v="2007"/>
    <s v="Hip"/>
    <s v="CompShg"/>
    <s v="CemntBd"/>
    <s v="CmentBd"/>
    <s v="Stone"/>
    <n v="230"/>
    <s v="Ex"/>
    <s v="TA"/>
    <s v="PConc"/>
    <s v="Ex"/>
    <s v="TA"/>
    <s v="Gd"/>
    <s v="GLQ"/>
    <n v="1172"/>
    <s v="Unf"/>
    <n v="0"/>
    <n v="528"/>
    <n v="1700"/>
    <s v="GasA"/>
    <s v="Ex"/>
    <s v="Y"/>
    <s v="SBrkr"/>
    <n v="1718"/>
    <n v="0"/>
    <n v="0"/>
    <x v="69"/>
    <n v="1"/>
    <n v="0"/>
    <n v="2"/>
    <n v="0"/>
    <n v="3"/>
    <n v="1"/>
    <s v="Ex"/>
    <n v="7"/>
    <s v="Typ"/>
    <n v="1"/>
    <s v="Gd"/>
    <s v="Attchd"/>
    <n v="2008"/>
    <s v="Fin"/>
    <n v="3"/>
    <n v="786"/>
    <s v="TA"/>
    <s v="TA"/>
    <s v="Y"/>
    <n v="216"/>
    <n v="48"/>
    <n v="0"/>
    <n v="0"/>
    <n v="0"/>
    <n v="0"/>
    <s v="NA"/>
    <s v="NA"/>
    <s v="NA"/>
    <n v="0"/>
    <n v="7"/>
    <n v="2009"/>
    <s v="WD"/>
    <s v="Normal"/>
    <n v="337500"/>
  </r>
  <r>
    <n v="996"/>
    <n v="50"/>
    <s v="RL"/>
    <n v="51"/>
    <n v="4712"/>
    <s v="Pave"/>
    <s v="NA"/>
    <s v="IR1"/>
    <s v="Lvl"/>
    <s v="AllPub"/>
    <s v="Inside"/>
    <s v="Mod"/>
    <x v="8"/>
    <x v="1"/>
    <s v="Norm"/>
    <x v="0"/>
    <x v="2"/>
    <n v="4"/>
    <n v="7"/>
    <x v="94"/>
    <n v="1950"/>
    <s v="Gable"/>
    <s v="CompShg"/>
    <s v="MetalSd"/>
    <s v="MetalSd"/>
    <s v="None"/>
    <n v="0"/>
    <s v="TA"/>
    <s v="TA"/>
    <s v="CBlock"/>
    <s v="TA"/>
    <s v="TA"/>
    <s v="No"/>
    <s v="ALQ"/>
    <n v="384"/>
    <s v="Unf"/>
    <n v="0"/>
    <n v="363"/>
    <n v="747"/>
    <s v="GasA"/>
    <s v="TA"/>
    <s v="Y"/>
    <s v="SBrkr"/>
    <n v="774"/>
    <n v="456"/>
    <n v="0"/>
    <x v="76"/>
    <n v="1"/>
    <n v="0"/>
    <n v="1"/>
    <n v="1"/>
    <n v="3"/>
    <n v="1"/>
    <s v="TA"/>
    <n v="5"/>
    <s v="Typ"/>
    <n v="0"/>
    <s v="NA"/>
    <s v="Detchd"/>
    <n v="1946"/>
    <s v="Unf"/>
    <n v="1"/>
    <n v="305"/>
    <s v="TA"/>
    <s v="TA"/>
    <s v="Y"/>
    <n v="0"/>
    <n v="57"/>
    <n v="0"/>
    <n v="0"/>
    <n v="63"/>
    <n v="0"/>
    <s v="NA"/>
    <s v="MnPrv"/>
    <s v="NA"/>
    <n v="0"/>
    <n v="8"/>
    <n v="2006"/>
    <s v="WD"/>
    <s v="Abnorml"/>
    <n v="121600"/>
  </r>
  <r>
    <n v="997"/>
    <n v="20"/>
    <s v="RL"/>
    <s v="NA"/>
    <n v="10659"/>
    <s v="Pave"/>
    <s v="NA"/>
    <s v="IR1"/>
    <s v="Lvl"/>
    <s v="AllPub"/>
    <s v="Inside"/>
    <s v="Gtl"/>
    <x v="11"/>
    <x v="0"/>
    <s v="Norm"/>
    <x v="0"/>
    <x v="1"/>
    <n v="5"/>
    <n v="6"/>
    <x v="53"/>
    <n v="1961"/>
    <s v="Hip"/>
    <s v="CompShg"/>
    <s v="Wd Sdng"/>
    <s v="Wd Sdng"/>
    <s v="None"/>
    <n v="0"/>
    <s v="TA"/>
    <s v="TA"/>
    <s v="CBlock"/>
    <s v="TA"/>
    <s v="TA"/>
    <s v="No"/>
    <s v="Rec"/>
    <n v="915"/>
    <s v="Unf"/>
    <n v="0"/>
    <n v="135"/>
    <n v="1050"/>
    <s v="GasA"/>
    <s v="TA"/>
    <s v="Y"/>
    <s v="SBrkr"/>
    <n v="1050"/>
    <n v="0"/>
    <n v="0"/>
    <x v="675"/>
    <n v="1"/>
    <n v="0"/>
    <n v="1"/>
    <n v="0"/>
    <n v="3"/>
    <n v="1"/>
    <s v="TA"/>
    <n v="6"/>
    <s v="Typ"/>
    <n v="0"/>
    <s v="NA"/>
    <s v="Attchd"/>
    <n v="1961"/>
    <s v="Unf"/>
    <n v="1"/>
    <n v="368"/>
    <s v="TA"/>
    <s v="TA"/>
    <s v="Y"/>
    <n v="0"/>
    <n v="319"/>
    <n v="0"/>
    <n v="0"/>
    <n v="0"/>
    <n v="0"/>
    <s v="NA"/>
    <s v="NA"/>
    <s v="NA"/>
    <n v="0"/>
    <n v="1"/>
    <n v="2006"/>
    <s v="COD"/>
    <s v="Normal"/>
    <n v="136500"/>
  </r>
  <r>
    <n v="998"/>
    <n v="20"/>
    <s v="RL"/>
    <s v="NA"/>
    <n v="11717"/>
    <s v="Pave"/>
    <s v="NA"/>
    <s v="IR1"/>
    <s v="Lvl"/>
    <s v="AllPub"/>
    <s v="Inside"/>
    <s v="Gtl"/>
    <x v="6"/>
    <x v="7"/>
    <s v="Norm"/>
    <x v="0"/>
    <x v="1"/>
    <n v="6"/>
    <n v="6"/>
    <x v="16"/>
    <n v="1970"/>
    <s v="Hip"/>
    <s v="CompShg"/>
    <s v="HdBoard"/>
    <s v="HdBoard"/>
    <s v="BrkFace"/>
    <n v="571"/>
    <s v="TA"/>
    <s v="TA"/>
    <s v="CBlock"/>
    <s v="TA"/>
    <s v="TA"/>
    <s v="No"/>
    <s v="Unf"/>
    <n v="0"/>
    <s v="Unf"/>
    <n v="0"/>
    <n v="1442"/>
    <n v="1442"/>
    <s v="GasA"/>
    <s v="TA"/>
    <s v="Y"/>
    <s v="SBrkr"/>
    <n v="1442"/>
    <n v="0"/>
    <n v="0"/>
    <x v="184"/>
    <n v="0"/>
    <n v="0"/>
    <n v="2"/>
    <n v="0"/>
    <n v="2"/>
    <n v="1"/>
    <s v="TA"/>
    <n v="6"/>
    <s v="Typ"/>
    <n v="1"/>
    <s v="TA"/>
    <s v="Attchd"/>
    <n v="1970"/>
    <s v="RFn"/>
    <n v="2"/>
    <n v="615"/>
    <s v="TA"/>
    <s v="TA"/>
    <s v="Y"/>
    <n v="371"/>
    <n v="0"/>
    <n v="0"/>
    <n v="0"/>
    <n v="0"/>
    <n v="0"/>
    <s v="NA"/>
    <s v="NA"/>
    <s v="NA"/>
    <n v="0"/>
    <n v="2"/>
    <n v="2009"/>
    <s v="WD"/>
    <s v="Normal"/>
    <n v="185000"/>
  </r>
  <r>
    <n v="999"/>
    <n v="30"/>
    <s v="RM"/>
    <n v="60"/>
    <n v="9786"/>
    <s v="Pave"/>
    <s v="NA"/>
    <s v="Reg"/>
    <s v="Lvl"/>
    <s v="AllPub"/>
    <s v="Inside"/>
    <s v="Gtl"/>
    <x v="13"/>
    <x v="0"/>
    <s v="Norm"/>
    <x v="0"/>
    <x v="1"/>
    <n v="3"/>
    <n v="4"/>
    <x v="91"/>
    <n v="1950"/>
    <s v="Hip"/>
    <s v="CompShg"/>
    <s v="Wd Sdng"/>
    <s v="Wd Sdng"/>
    <s v="None"/>
    <n v="0"/>
    <s v="TA"/>
    <s v="TA"/>
    <s v="BrkTil"/>
    <s v="TA"/>
    <s v="Fa"/>
    <s v="No"/>
    <s v="Unf"/>
    <n v="0"/>
    <s v="Unf"/>
    <n v="0"/>
    <n v="1007"/>
    <n v="1007"/>
    <s v="GasA"/>
    <s v="Fa"/>
    <s v="N"/>
    <s v="SBrkr"/>
    <n v="1077"/>
    <n v="0"/>
    <n v="0"/>
    <x v="9"/>
    <n v="0"/>
    <n v="0"/>
    <n v="1"/>
    <n v="0"/>
    <n v="3"/>
    <n v="1"/>
    <s v="TA"/>
    <n v="6"/>
    <s v="Typ"/>
    <n v="1"/>
    <s v="Gd"/>
    <s v="Detchd"/>
    <n v="1922"/>
    <s v="Unf"/>
    <n v="1"/>
    <n v="210"/>
    <s v="TA"/>
    <s v="Fa"/>
    <s v="P"/>
    <n v="0"/>
    <n v="100"/>
    <n v="48"/>
    <n v="0"/>
    <n v="0"/>
    <n v="0"/>
    <s v="NA"/>
    <s v="NA"/>
    <s v="NA"/>
    <n v="0"/>
    <n v="5"/>
    <n v="2006"/>
    <s v="WD"/>
    <s v="Normal"/>
    <n v="91000"/>
  </r>
  <r>
    <n v="1000"/>
    <n v="20"/>
    <s v="RL"/>
    <n v="64"/>
    <n v="6762"/>
    <s v="Pave"/>
    <s v="NA"/>
    <s v="Reg"/>
    <s v="Lvl"/>
    <s v="AllPub"/>
    <s v="Inside"/>
    <s v="Gtl"/>
    <x v="0"/>
    <x v="0"/>
    <s v="Norm"/>
    <x v="0"/>
    <x v="1"/>
    <n v="7"/>
    <n v="5"/>
    <x v="13"/>
    <n v="2006"/>
    <s v="Gable"/>
    <s v="CompShg"/>
    <s v="VinylSd"/>
    <s v="VinylSd"/>
    <s v="Stone"/>
    <n v="24"/>
    <s v="Gd"/>
    <s v="TA"/>
    <s v="PConc"/>
    <s v="Gd"/>
    <s v="TA"/>
    <s v="Av"/>
    <s v="GLQ"/>
    <n v="686"/>
    <s v="Unf"/>
    <n v="0"/>
    <n v="501"/>
    <n v="1187"/>
    <s v="GasA"/>
    <s v="Ex"/>
    <s v="Y"/>
    <s v="SBrkr"/>
    <n v="1208"/>
    <n v="0"/>
    <n v="0"/>
    <x v="349"/>
    <n v="1"/>
    <n v="0"/>
    <n v="2"/>
    <n v="0"/>
    <n v="2"/>
    <n v="1"/>
    <s v="Gd"/>
    <n v="6"/>
    <s v="Typ"/>
    <n v="0"/>
    <s v="NA"/>
    <s v="Attchd"/>
    <n v="2006"/>
    <s v="RFn"/>
    <n v="2"/>
    <n v="632"/>
    <s v="TA"/>
    <s v="TA"/>
    <s v="Y"/>
    <n v="105"/>
    <n v="61"/>
    <n v="0"/>
    <n v="0"/>
    <n v="0"/>
    <n v="0"/>
    <s v="NA"/>
    <s v="NA"/>
    <s v="NA"/>
    <n v="0"/>
    <n v="2"/>
    <n v="2010"/>
    <s v="WD"/>
    <s v="Normal"/>
    <n v="206000"/>
  </r>
  <r>
    <n v="1001"/>
    <n v="20"/>
    <s v="RL"/>
    <n v="74"/>
    <n v="10206"/>
    <s v="Pave"/>
    <s v="NA"/>
    <s v="Reg"/>
    <s v="Lvl"/>
    <s v="AllPub"/>
    <s v="Corner"/>
    <s v="Gtl"/>
    <x v="15"/>
    <x v="0"/>
    <s v="Norm"/>
    <x v="0"/>
    <x v="1"/>
    <n v="3"/>
    <n v="3"/>
    <x v="64"/>
    <n v="1952"/>
    <s v="Flat"/>
    <s v="Tar&amp;Grv"/>
    <s v="BrkComm"/>
    <s v="Brk Cmn"/>
    <s v="None"/>
    <n v="0"/>
    <s v="TA"/>
    <s v="TA"/>
    <s v="Slab"/>
    <s v="NA"/>
    <s v="NA"/>
    <s v="NA"/>
    <s v="NA"/>
    <n v="0"/>
    <s v="NA"/>
    <n v="0"/>
    <n v="0"/>
    <n v="0"/>
    <s v="GasW"/>
    <s v="Fa"/>
    <s v="N"/>
    <s v="FuseF"/>
    <n v="944"/>
    <n v="0"/>
    <n v="0"/>
    <x v="676"/>
    <n v="0"/>
    <n v="0"/>
    <n v="1"/>
    <n v="0"/>
    <n v="2"/>
    <n v="1"/>
    <s v="Fa"/>
    <n v="4"/>
    <s v="Min1"/>
    <n v="0"/>
    <s v="NA"/>
    <s v="Detchd"/>
    <n v="1956"/>
    <s v="Unf"/>
    <n v="2"/>
    <n v="528"/>
    <s v="TA"/>
    <s v="Fa"/>
    <s v="Y"/>
    <n v="0"/>
    <n v="0"/>
    <n v="0"/>
    <n v="0"/>
    <n v="0"/>
    <n v="0"/>
    <s v="NA"/>
    <s v="NA"/>
    <s v="NA"/>
    <n v="0"/>
    <n v="7"/>
    <n v="2009"/>
    <s v="WD"/>
    <s v="Normal"/>
    <n v="82000"/>
  </r>
  <r>
    <n v="1002"/>
    <n v="30"/>
    <s v="RL"/>
    <n v="60"/>
    <n v="5400"/>
    <s v="Pave"/>
    <s v="NA"/>
    <s v="Reg"/>
    <s v="Lvl"/>
    <s v="AllPub"/>
    <s v="Corner"/>
    <s v="Gtl"/>
    <x v="7"/>
    <x v="0"/>
    <s v="Norm"/>
    <x v="0"/>
    <x v="1"/>
    <n v="5"/>
    <n v="6"/>
    <x v="26"/>
    <n v="1950"/>
    <s v="Gable"/>
    <s v="CompShg"/>
    <s v="Wd Sdng"/>
    <s v="Wd Sdng"/>
    <s v="None"/>
    <n v="0"/>
    <s v="TA"/>
    <s v="TA"/>
    <s v="BrkTil"/>
    <s v="Fa"/>
    <s v="TA"/>
    <s v="No"/>
    <s v="Unf"/>
    <n v="0"/>
    <s v="Unf"/>
    <n v="0"/>
    <n v="691"/>
    <n v="691"/>
    <s v="GasA"/>
    <s v="Ex"/>
    <s v="Y"/>
    <s v="FuseA"/>
    <n v="691"/>
    <n v="0"/>
    <n v="0"/>
    <x v="677"/>
    <n v="0"/>
    <n v="0"/>
    <n v="1"/>
    <n v="0"/>
    <n v="2"/>
    <n v="1"/>
    <s v="Ex"/>
    <n v="4"/>
    <s v="Typ"/>
    <n v="0"/>
    <s v="NA"/>
    <s v="Detchd"/>
    <n v="1920"/>
    <s v="Unf"/>
    <n v="1"/>
    <n v="216"/>
    <s v="Fa"/>
    <s v="TA"/>
    <s v="N"/>
    <n v="0"/>
    <n v="20"/>
    <n v="94"/>
    <n v="0"/>
    <n v="0"/>
    <n v="0"/>
    <s v="NA"/>
    <s v="NA"/>
    <s v="NA"/>
    <n v="0"/>
    <n v="1"/>
    <n v="2007"/>
    <s v="WD"/>
    <s v="Abnorml"/>
    <n v="86000"/>
  </r>
  <r>
    <n v="1003"/>
    <n v="20"/>
    <s v="RL"/>
    <n v="75"/>
    <n v="11957"/>
    <s v="Pave"/>
    <s v="NA"/>
    <s v="IR1"/>
    <s v="Lvl"/>
    <s v="AllPub"/>
    <s v="Inside"/>
    <s v="Gtl"/>
    <x v="5"/>
    <x v="6"/>
    <s v="Norm"/>
    <x v="0"/>
    <x v="1"/>
    <n v="8"/>
    <n v="5"/>
    <x v="13"/>
    <n v="2006"/>
    <s v="Gable"/>
    <s v="CompShg"/>
    <s v="VinylSd"/>
    <s v="VinylSd"/>
    <s v="BrkFace"/>
    <n v="53"/>
    <s v="Gd"/>
    <s v="TA"/>
    <s v="PConc"/>
    <s v="Gd"/>
    <s v="TA"/>
    <s v="No"/>
    <s v="GLQ"/>
    <n v="24"/>
    <s v="Unf"/>
    <n v="0"/>
    <n v="1550"/>
    <n v="1574"/>
    <s v="GasA"/>
    <s v="Ex"/>
    <s v="Y"/>
    <s v="SBrkr"/>
    <n v="1574"/>
    <n v="0"/>
    <n v="0"/>
    <x v="303"/>
    <n v="0"/>
    <n v="0"/>
    <n v="2"/>
    <n v="0"/>
    <n v="3"/>
    <n v="1"/>
    <s v="Gd"/>
    <n v="7"/>
    <s v="Typ"/>
    <n v="1"/>
    <s v="Gd"/>
    <s v="Attchd"/>
    <n v="2006"/>
    <s v="RFn"/>
    <n v="3"/>
    <n v="824"/>
    <s v="TA"/>
    <s v="TA"/>
    <s v="Y"/>
    <n v="144"/>
    <n v="104"/>
    <n v="0"/>
    <n v="0"/>
    <n v="0"/>
    <n v="0"/>
    <s v="NA"/>
    <s v="NA"/>
    <s v="NA"/>
    <n v="0"/>
    <n v="7"/>
    <n v="2008"/>
    <s v="WD"/>
    <s v="Normal"/>
    <n v="232000"/>
  </r>
  <r>
    <n v="1004"/>
    <n v="90"/>
    <s v="RL"/>
    <s v="NA"/>
    <n v="11500"/>
    <s v="Pave"/>
    <s v="NA"/>
    <s v="IR1"/>
    <s v="Lvl"/>
    <s v="AllPub"/>
    <s v="Corner"/>
    <s v="Gtl"/>
    <x v="6"/>
    <x v="1"/>
    <s v="RRAn"/>
    <x v="2"/>
    <x v="1"/>
    <n v="5"/>
    <n v="6"/>
    <x v="1"/>
    <n v="1976"/>
    <s v="Gable"/>
    <s v="CompShg"/>
    <s v="VinylSd"/>
    <s v="VinylSd"/>
    <s v="BrkFace"/>
    <n v="164"/>
    <s v="TA"/>
    <s v="TA"/>
    <s v="CBlock"/>
    <s v="TA"/>
    <s v="TA"/>
    <s v="No"/>
    <s v="Unf"/>
    <n v="0"/>
    <s v="Unf"/>
    <n v="0"/>
    <n v="1680"/>
    <n v="1680"/>
    <s v="GasA"/>
    <s v="Fa"/>
    <s v="Y"/>
    <s v="SBrkr"/>
    <n v="1680"/>
    <n v="0"/>
    <n v="0"/>
    <x v="335"/>
    <n v="0"/>
    <n v="0"/>
    <n v="2"/>
    <n v="0"/>
    <n v="4"/>
    <n v="2"/>
    <s v="TA"/>
    <n v="8"/>
    <s v="Typ"/>
    <n v="0"/>
    <s v="NA"/>
    <s v="Detchd"/>
    <n v="1976"/>
    <s v="Unf"/>
    <n v="2"/>
    <n v="528"/>
    <s v="TA"/>
    <s v="TA"/>
    <s v="Y"/>
    <n v="0"/>
    <n v="0"/>
    <n v="0"/>
    <n v="0"/>
    <n v="0"/>
    <n v="0"/>
    <s v="NA"/>
    <s v="NA"/>
    <s v="NA"/>
    <n v="0"/>
    <n v="6"/>
    <n v="2007"/>
    <s v="WD"/>
    <s v="Normal"/>
    <n v="136905"/>
  </r>
  <r>
    <n v="1005"/>
    <n v="120"/>
    <s v="RL"/>
    <n v="43"/>
    <n v="3182"/>
    <s v="Pave"/>
    <s v="NA"/>
    <s v="Reg"/>
    <s v="Lvl"/>
    <s v="AllPub"/>
    <s v="Inside"/>
    <s v="Gtl"/>
    <x v="21"/>
    <x v="0"/>
    <s v="Norm"/>
    <x v="3"/>
    <x v="1"/>
    <n v="7"/>
    <n v="5"/>
    <x v="11"/>
    <n v="2006"/>
    <s v="Gable"/>
    <s v="CompShg"/>
    <s v="VinylSd"/>
    <s v="VinylSd"/>
    <s v="BrkFace"/>
    <n v="16"/>
    <s v="Gd"/>
    <s v="TA"/>
    <s v="PConc"/>
    <s v="Gd"/>
    <s v="TA"/>
    <s v="No"/>
    <s v="GLQ"/>
    <n v="16"/>
    <s v="Unf"/>
    <n v="0"/>
    <n v="1330"/>
    <n v="1346"/>
    <s v="GasA"/>
    <s v="Ex"/>
    <s v="Y"/>
    <s v="SBrkr"/>
    <n v="1504"/>
    <n v="0"/>
    <n v="0"/>
    <x v="678"/>
    <n v="0"/>
    <n v="0"/>
    <n v="2"/>
    <n v="0"/>
    <n v="1"/>
    <n v="1"/>
    <s v="Gd"/>
    <n v="7"/>
    <s v="Typ"/>
    <n v="1"/>
    <s v="Gd"/>
    <s v="Attchd"/>
    <n v="2005"/>
    <s v="Fin"/>
    <n v="2"/>
    <n v="457"/>
    <s v="TA"/>
    <s v="TA"/>
    <s v="Y"/>
    <n v="156"/>
    <n v="0"/>
    <n v="0"/>
    <n v="0"/>
    <n v="0"/>
    <n v="0"/>
    <s v="NA"/>
    <s v="NA"/>
    <s v="NA"/>
    <n v="0"/>
    <n v="5"/>
    <n v="2009"/>
    <s v="WD"/>
    <s v="Normal"/>
    <n v="181000"/>
  </r>
  <r>
    <n v="1006"/>
    <n v="80"/>
    <s v="RL"/>
    <n v="65"/>
    <n v="8385"/>
    <s v="Pave"/>
    <s v="NA"/>
    <s v="Reg"/>
    <s v="Lvl"/>
    <s v="AllPub"/>
    <s v="Inside"/>
    <s v="Gtl"/>
    <x v="0"/>
    <x v="0"/>
    <s v="Norm"/>
    <x v="0"/>
    <x v="5"/>
    <n v="5"/>
    <n v="8"/>
    <x v="54"/>
    <n v="1977"/>
    <s v="Gable"/>
    <s v="CompShg"/>
    <s v="HdBoard"/>
    <s v="HdBoard"/>
    <s v="BrkFace"/>
    <n v="220"/>
    <s v="Gd"/>
    <s v="TA"/>
    <s v="CBlock"/>
    <s v="Gd"/>
    <s v="Gd"/>
    <s v="Av"/>
    <s v="GLQ"/>
    <n v="595"/>
    <s v="Unf"/>
    <n v="0"/>
    <n v="390"/>
    <n v="985"/>
    <s v="GasA"/>
    <s v="TA"/>
    <s v="Y"/>
    <s v="SBrkr"/>
    <n v="985"/>
    <n v="0"/>
    <n v="0"/>
    <x v="679"/>
    <n v="0"/>
    <n v="0"/>
    <n v="2"/>
    <n v="0"/>
    <n v="3"/>
    <n v="1"/>
    <s v="TA"/>
    <n v="6"/>
    <s v="Typ"/>
    <n v="0"/>
    <s v="NA"/>
    <s v="Attchd"/>
    <n v="1977"/>
    <s v="Unf"/>
    <n v="1"/>
    <n v="328"/>
    <s v="TA"/>
    <s v="TA"/>
    <s v="Y"/>
    <n v="210"/>
    <n v="0"/>
    <n v="0"/>
    <n v="0"/>
    <n v="0"/>
    <n v="0"/>
    <s v="NA"/>
    <s v="NA"/>
    <s v="NA"/>
    <n v="0"/>
    <n v="11"/>
    <n v="2008"/>
    <s v="WD"/>
    <s v="Normal"/>
    <n v="149900"/>
  </r>
  <r>
    <n v="1007"/>
    <n v="20"/>
    <s v="RL"/>
    <s v="NA"/>
    <n v="12155"/>
    <s v="Pave"/>
    <s v="NA"/>
    <s v="IR3"/>
    <s v="Lvl"/>
    <s v="AllPub"/>
    <s v="Inside"/>
    <s v="Gtl"/>
    <x v="11"/>
    <x v="2"/>
    <s v="Norm"/>
    <x v="0"/>
    <x v="1"/>
    <n v="6"/>
    <n v="3"/>
    <x v="16"/>
    <n v="1970"/>
    <s v="Gable"/>
    <s v="CompShg"/>
    <s v="Plywood"/>
    <s v="Plywood"/>
    <s v="None"/>
    <n v="0"/>
    <s v="TA"/>
    <s v="TA"/>
    <s v="CBlock"/>
    <s v="Gd"/>
    <s v="TA"/>
    <s v="No"/>
    <s v="LwQ"/>
    <n v="1237"/>
    <s v="Unf"/>
    <n v="0"/>
    <n v="420"/>
    <n v="1657"/>
    <s v="GasA"/>
    <s v="Gd"/>
    <s v="Y"/>
    <s v="SBrkr"/>
    <n v="1657"/>
    <n v="0"/>
    <n v="0"/>
    <x v="680"/>
    <n v="0"/>
    <n v="1"/>
    <n v="2"/>
    <n v="0"/>
    <n v="3"/>
    <n v="1"/>
    <s v="TA"/>
    <n v="7"/>
    <s v="Typ"/>
    <n v="1"/>
    <s v="TA"/>
    <s v="Attchd"/>
    <n v="1970"/>
    <s v="Unf"/>
    <n v="2"/>
    <n v="484"/>
    <s v="TA"/>
    <s v="TA"/>
    <s v="Y"/>
    <n v="0"/>
    <n v="0"/>
    <n v="0"/>
    <n v="0"/>
    <n v="147"/>
    <n v="0"/>
    <s v="NA"/>
    <s v="NA"/>
    <s v="NA"/>
    <n v="0"/>
    <n v="3"/>
    <n v="2007"/>
    <s v="WD"/>
    <s v="Normal"/>
    <n v="163500"/>
  </r>
  <r>
    <n v="1008"/>
    <n v="160"/>
    <s v="RM"/>
    <n v="21"/>
    <n v="2217"/>
    <s v="Pave"/>
    <s v="NA"/>
    <s v="Reg"/>
    <s v="Lvl"/>
    <s v="AllPub"/>
    <s v="Inside"/>
    <s v="Gtl"/>
    <x v="14"/>
    <x v="0"/>
    <s v="Norm"/>
    <x v="3"/>
    <x v="0"/>
    <n v="4"/>
    <n v="4"/>
    <x v="16"/>
    <n v="1970"/>
    <s v="Gable"/>
    <s v="CompShg"/>
    <s v="CemntBd"/>
    <s v="CmentBd"/>
    <s v="None"/>
    <n v="0"/>
    <s v="TA"/>
    <s v="TA"/>
    <s v="CBlock"/>
    <s v="TA"/>
    <s v="TA"/>
    <s v="No"/>
    <s v="BLQ"/>
    <n v="273"/>
    <s v="LwQ"/>
    <n v="273"/>
    <n v="0"/>
    <n v="546"/>
    <s v="GasA"/>
    <s v="TA"/>
    <s v="Y"/>
    <s v="SBrkr"/>
    <n v="546"/>
    <n v="546"/>
    <n v="0"/>
    <x v="110"/>
    <n v="0"/>
    <n v="0"/>
    <n v="1"/>
    <n v="1"/>
    <n v="3"/>
    <n v="1"/>
    <s v="TA"/>
    <n v="6"/>
    <s v="Typ"/>
    <n v="0"/>
    <s v="NA"/>
    <s v="Attchd"/>
    <n v="1970"/>
    <s v="RFn"/>
    <n v="1"/>
    <n v="286"/>
    <s v="TA"/>
    <s v="TA"/>
    <s v="Y"/>
    <n v="238"/>
    <n v="0"/>
    <n v="0"/>
    <n v="0"/>
    <n v="0"/>
    <n v="0"/>
    <s v="NA"/>
    <s v="NA"/>
    <s v="NA"/>
    <n v="0"/>
    <n v="8"/>
    <n v="2009"/>
    <s v="WD"/>
    <s v="Normal"/>
    <n v="88000"/>
  </r>
  <r>
    <n v="1009"/>
    <n v="20"/>
    <s v="RL"/>
    <n v="43"/>
    <n v="12118"/>
    <s v="Pave"/>
    <s v="NA"/>
    <s v="IR1"/>
    <s v="Lvl"/>
    <s v="AllPub"/>
    <s v="CulDSac"/>
    <s v="Gtl"/>
    <x v="4"/>
    <x v="0"/>
    <s v="Norm"/>
    <x v="0"/>
    <x v="1"/>
    <n v="7"/>
    <n v="5"/>
    <x v="6"/>
    <n v="2005"/>
    <s v="Hip"/>
    <s v="CompShg"/>
    <s v="VinylSd"/>
    <s v="VinylSd"/>
    <s v="Stone"/>
    <n v="108"/>
    <s v="Gd"/>
    <s v="TA"/>
    <s v="PConc"/>
    <s v="Ex"/>
    <s v="TA"/>
    <s v="Mn"/>
    <s v="Unf"/>
    <n v="0"/>
    <s v="Unf"/>
    <n v="0"/>
    <n v="1710"/>
    <n v="1710"/>
    <s v="GasA"/>
    <s v="Ex"/>
    <s v="Y"/>
    <s v="SBrkr"/>
    <n v="1710"/>
    <n v="0"/>
    <n v="0"/>
    <x v="0"/>
    <n v="0"/>
    <n v="0"/>
    <n v="2"/>
    <n v="0"/>
    <n v="3"/>
    <n v="1"/>
    <s v="Gd"/>
    <n v="7"/>
    <s v="Typ"/>
    <n v="1"/>
    <s v="Gd"/>
    <s v="Attchd"/>
    <n v="2004"/>
    <s v="Fin"/>
    <n v="2"/>
    <n v="550"/>
    <s v="TA"/>
    <s v="TA"/>
    <s v="Y"/>
    <n v="100"/>
    <n v="48"/>
    <n v="0"/>
    <n v="0"/>
    <n v="180"/>
    <n v="0"/>
    <s v="NA"/>
    <s v="NA"/>
    <s v="NA"/>
    <n v="0"/>
    <n v="4"/>
    <n v="2009"/>
    <s v="WD"/>
    <s v="Normal"/>
    <n v="240000"/>
  </r>
  <r>
    <n v="1010"/>
    <n v="50"/>
    <s v="RL"/>
    <n v="60"/>
    <n v="6000"/>
    <s v="Pave"/>
    <s v="NA"/>
    <s v="Reg"/>
    <s v="Lvl"/>
    <s v="AllPub"/>
    <s v="Inside"/>
    <s v="Gtl"/>
    <x v="23"/>
    <x v="0"/>
    <s v="Norm"/>
    <x v="0"/>
    <x v="2"/>
    <n v="5"/>
    <n v="5"/>
    <x v="69"/>
    <n v="1950"/>
    <s v="Gable"/>
    <s v="CompShg"/>
    <s v="Wd Sdng"/>
    <s v="Wd Sdng"/>
    <s v="None"/>
    <n v="0"/>
    <s v="TA"/>
    <s v="Fa"/>
    <s v="BrkTil"/>
    <s v="TA"/>
    <s v="TA"/>
    <s v="No"/>
    <s v="Unf"/>
    <n v="0"/>
    <s v="Unf"/>
    <n v="0"/>
    <n v="1008"/>
    <n v="1008"/>
    <s v="GasA"/>
    <s v="Ex"/>
    <s v="Y"/>
    <s v="SBrkr"/>
    <n v="1008"/>
    <n v="0"/>
    <n v="514"/>
    <x v="681"/>
    <n v="0"/>
    <n v="0"/>
    <n v="2"/>
    <n v="0"/>
    <n v="4"/>
    <n v="1"/>
    <s v="TA"/>
    <n v="7"/>
    <s v="Typ"/>
    <n v="0"/>
    <s v="NA"/>
    <s v="NA"/>
    <s v="NA"/>
    <s v="NA"/>
    <n v="0"/>
    <n v="0"/>
    <s v="NA"/>
    <s v="NA"/>
    <s v="P"/>
    <n v="0"/>
    <n v="0"/>
    <n v="138"/>
    <n v="0"/>
    <n v="0"/>
    <n v="0"/>
    <s v="NA"/>
    <s v="NA"/>
    <s v="NA"/>
    <n v="0"/>
    <n v="6"/>
    <n v="2006"/>
    <s v="WD"/>
    <s v="Normal"/>
    <n v="102000"/>
  </r>
  <r>
    <n v="1011"/>
    <n v="50"/>
    <s v="RL"/>
    <n v="115"/>
    <n v="21286"/>
    <s v="Pave"/>
    <s v="NA"/>
    <s v="Reg"/>
    <s v="Lvl"/>
    <s v="AllPub"/>
    <s v="Inside"/>
    <s v="Gtl"/>
    <x v="9"/>
    <x v="0"/>
    <s v="Norm"/>
    <x v="0"/>
    <x v="2"/>
    <n v="5"/>
    <n v="5"/>
    <x v="47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720"/>
    <n v="720"/>
    <s v="GasA"/>
    <s v="TA"/>
    <s v="Y"/>
    <s v="SBrkr"/>
    <n v="720"/>
    <n v="551"/>
    <n v="0"/>
    <x v="682"/>
    <n v="0"/>
    <n v="0"/>
    <n v="2"/>
    <n v="0"/>
    <n v="4"/>
    <n v="1"/>
    <s v="TA"/>
    <n v="7"/>
    <s v="Typ"/>
    <n v="1"/>
    <s v="Gd"/>
    <s v="Attchd"/>
    <n v="1948"/>
    <s v="Unf"/>
    <n v="1"/>
    <n v="312"/>
    <s v="TA"/>
    <s v="TA"/>
    <s v="Y"/>
    <n v="0"/>
    <n v="0"/>
    <n v="108"/>
    <n v="0"/>
    <n v="0"/>
    <n v="0"/>
    <s v="NA"/>
    <s v="NA"/>
    <s v="NA"/>
    <n v="0"/>
    <n v="8"/>
    <n v="2008"/>
    <s v="WD"/>
    <s v="Normal"/>
    <n v="135000"/>
  </r>
  <r>
    <n v="1012"/>
    <n v="90"/>
    <s v="RL"/>
    <n v="75"/>
    <n v="9825"/>
    <s v="Pave"/>
    <s v="NA"/>
    <s v="Reg"/>
    <s v="Lvl"/>
    <s v="AllPub"/>
    <s v="Inside"/>
    <s v="Gtl"/>
    <x v="15"/>
    <x v="0"/>
    <s v="Norm"/>
    <x v="2"/>
    <x v="1"/>
    <n v="5"/>
    <n v="5"/>
    <x v="10"/>
    <n v="1965"/>
    <s v="Hip"/>
    <s v="CompShg"/>
    <s v="AsphShn"/>
    <s v="AsphShn"/>
    <s v="None"/>
    <n v="0"/>
    <s v="TA"/>
    <s v="TA"/>
    <s v="CBlock"/>
    <s v="NA"/>
    <s v="NA"/>
    <s v="NA"/>
    <s v="NA"/>
    <n v="0"/>
    <s v="NA"/>
    <n v="0"/>
    <n v="0"/>
    <n v="0"/>
    <s v="GasA"/>
    <s v="TA"/>
    <s v="N"/>
    <s v="SBrkr"/>
    <n v="1664"/>
    <n v="0"/>
    <n v="0"/>
    <x v="307"/>
    <n v="0"/>
    <n v="0"/>
    <n v="2"/>
    <n v="0"/>
    <n v="4"/>
    <n v="2"/>
    <s v="TA"/>
    <n v="8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5"/>
    <n v="2010"/>
    <s v="WD"/>
    <s v="Normal"/>
    <n v="100000"/>
  </r>
  <r>
    <n v="1013"/>
    <n v="70"/>
    <s v="RL"/>
    <n v="55"/>
    <n v="10592"/>
    <s v="Pave"/>
    <s v="NA"/>
    <s v="Reg"/>
    <s v="Lvl"/>
    <s v="AllPub"/>
    <s v="Inside"/>
    <s v="Gtl"/>
    <x v="2"/>
    <x v="0"/>
    <s v="Norm"/>
    <x v="0"/>
    <x v="0"/>
    <n v="6"/>
    <n v="7"/>
    <x v="66"/>
    <n v="1996"/>
    <s v="Hip"/>
    <s v="CompShg"/>
    <s v="Wd Sdng"/>
    <s v="Wd Sdng"/>
    <s v="None"/>
    <n v="0"/>
    <s v="TA"/>
    <s v="Gd"/>
    <s v="PConc"/>
    <s v="TA"/>
    <s v="Fa"/>
    <s v="No"/>
    <s v="Unf"/>
    <n v="0"/>
    <s v="Unf"/>
    <n v="0"/>
    <n v="602"/>
    <n v="602"/>
    <s v="GasA"/>
    <s v="TA"/>
    <s v="Y"/>
    <s v="SBrkr"/>
    <n v="900"/>
    <n v="602"/>
    <n v="0"/>
    <x v="377"/>
    <n v="0"/>
    <n v="0"/>
    <n v="1"/>
    <n v="1"/>
    <n v="3"/>
    <n v="1"/>
    <s v="Gd"/>
    <n v="7"/>
    <s v="Typ"/>
    <n v="2"/>
    <s v="TA"/>
    <s v="Detchd"/>
    <n v="1923"/>
    <s v="Unf"/>
    <n v="1"/>
    <n v="180"/>
    <s v="TA"/>
    <s v="TA"/>
    <s v="Y"/>
    <n v="96"/>
    <n v="0"/>
    <n v="112"/>
    <n v="0"/>
    <n v="53"/>
    <n v="0"/>
    <s v="NA"/>
    <s v="NA"/>
    <s v="NA"/>
    <n v="0"/>
    <n v="8"/>
    <n v="2007"/>
    <s v="WD"/>
    <s v="Normal"/>
    <n v="165000"/>
  </r>
  <r>
    <n v="1014"/>
    <n v="30"/>
    <s v="RM"/>
    <n v="60"/>
    <n v="7200"/>
    <s v="Pave"/>
    <s v="NA"/>
    <s v="Reg"/>
    <s v="Lvl"/>
    <s v="AllPub"/>
    <s v="Inside"/>
    <s v="Gtl"/>
    <x v="7"/>
    <x v="0"/>
    <s v="Norm"/>
    <x v="0"/>
    <x v="1"/>
    <n v="5"/>
    <n v="4"/>
    <x v="48"/>
    <n v="2006"/>
    <s v="Hip"/>
    <s v="CompShg"/>
    <s v="MetalSd"/>
    <s v="Stucco"/>
    <s v="None"/>
    <n v="0"/>
    <s v="TA"/>
    <s v="TA"/>
    <s v="BrkTil"/>
    <s v="TA"/>
    <s v="TA"/>
    <s v="No"/>
    <s v="ALQ"/>
    <n v="247"/>
    <s v="Rec"/>
    <n v="465"/>
    <n v="310"/>
    <n v="1022"/>
    <s v="GasW"/>
    <s v="TA"/>
    <s v="N"/>
    <s v="SBrkr"/>
    <n v="1022"/>
    <n v="0"/>
    <n v="0"/>
    <x v="683"/>
    <n v="1"/>
    <n v="0"/>
    <n v="1"/>
    <n v="0"/>
    <n v="2"/>
    <n v="1"/>
    <s v="TA"/>
    <n v="4"/>
    <s v="Maj2"/>
    <n v="0"/>
    <s v="NA"/>
    <s v="Detchd"/>
    <n v="1956"/>
    <s v="Unf"/>
    <n v="1"/>
    <n v="280"/>
    <s v="TA"/>
    <s v="TA"/>
    <s v="Y"/>
    <n v="0"/>
    <n v="30"/>
    <n v="226"/>
    <n v="0"/>
    <n v="0"/>
    <n v="0"/>
    <s v="NA"/>
    <s v="NA"/>
    <s v="NA"/>
    <n v="0"/>
    <n v="6"/>
    <n v="2009"/>
    <s v="WD"/>
    <s v="Normal"/>
    <n v="85000"/>
  </r>
  <r>
    <n v="1015"/>
    <n v="20"/>
    <s v="RL"/>
    <n v="60"/>
    <n v="11664"/>
    <s v="Pave"/>
    <s v="NA"/>
    <s v="Reg"/>
    <s v="Lvl"/>
    <s v="AllPub"/>
    <s v="Inside"/>
    <s v="Gtl"/>
    <x v="11"/>
    <x v="3"/>
    <s v="Norm"/>
    <x v="0"/>
    <x v="1"/>
    <n v="6"/>
    <n v="5"/>
    <x v="47"/>
    <n v="1950"/>
    <s v="Gable"/>
    <s v="CompShg"/>
    <s v="MetalSd"/>
    <s v="MetalSd"/>
    <s v="BrkFace"/>
    <n v="206"/>
    <s v="TA"/>
    <s v="TA"/>
    <s v="CBlock"/>
    <s v="TA"/>
    <s v="Fa"/>
    <s v="No"/>
    <s v="BLQ"/>
    <n v="336"/>
    <s v="Unf"/>
    <n v="0"/>
    <n v="746"/>
    <n v="1082"/>
    <s v="GasA"/>
    <s v="TA"/>
    <s v="Y"/>
    <s v="SBrkr"/>
    <n v="1082"/>
    <n v="0"/>
    <n v="0"/>
    <x v="684"/>
    <n v="0"/>
    <n v="0"/>
    <n v="1"/>
    <n v="0"/>
    <n v="2"/>
    <n v="1"/>
    <s v="TA"/>
    <n v="5"/>
    <s v="Typ"/>
    <n v="1"/>
    <s v="Gd"/>
    <s v="Detchd"/>
    <n v="1948"/>
    <s v="Unf"/>
    <n v="1"/>
    <n v="240"/>
    <s v="TA"/>
    <s v="TA"/>
    <s v="Y"/>
    <n v="0"/>
    <n v="130"/>
    <n v="0"/>
    <n v="0"/>
    <n v="0"/>
    <n v="0"/>
    <s v="NA"/>
    <s v="NA"/>
    <s v="NA"/>
    <n v="0"/>
    <n v="11"/>
    <n v="2007"/>
    <s v="WD"/>
    <s v="Normal"/>
    <n v="119200"/>
  </r>
  <r>
    <n v="1016"/>
    <n v="60"/>
    <s v="RL"/>
    <n v="70"/>
    <n v="8400"/>
    <s v="Pave"/>
    <s v="NA"/>
    <s v="Reg"/>
    <s v="Lvl"/>
    <s v="AllPub"/>
    <s v="Inside"/>
    <s v="Gtl"/>
    <x v="6"/>
    <x v="0"/>
    <s v="Norm"/>
    <x v="0"/>
    <x v="0"/>
    <n v="8"/>
    <n v="6"/>
    <x v="2"/>
    <n v="2001"/>
    <s v="Gable"/>
    <s v="CompShg"/>
    <s v="VinylSd"/>
    <s v="VinylSd"/>
    <s v="None"/>
    <n v="0"/>
    <s v="Gd"/>
    <s v="TA"/>
    <s v="PConc"/>
    <s v="Gd"/>
    <s v="TA"/>
    <s v="No"/>
    <s v="GLQ"/>
    <n v="643"/>
    <s v="Unf"/>
    <n v="0"/>
    <n v="167"/>
    <n v="810"/>
    <s v="GasA"/>
    <s v="Ex"/>
    <s v="Y"/>
    <s v="SBrkr"/>
    <n v="810"/>
    <n v="855"/>
    <n v="0"/>
    <x v="501"/>
    <n v="1"/>
    <n v="0"/>
    <n v="2"/>
    <n v="1"/>
    <n v="3"/>
    <n v="1"/>
    <s v="Gd"/>
    <n v="6"/>
    <s v="Typ"/>
    <n v="0"/>
    <s v="NA"/>
    <s v="Attchd"/>
    <n v="2001"/>
    <s v="Fin"/>
    <n v="2"/>
    <n v="528"/>
    <s v="TA"/>
    <s v="TA"/>
    <s v="Y"/>
    <n v="0"/>
    <n v="45"/>
    <n v="0"/>
    <n v="0"/>
    <n v="0"/>
    <n v="0"/>
    <s v="NA"/>
    <s v="NA"/>
    <s v="NA"/>
    <n v="0"/>
    <n v="11"/>
    <n v="2009"/>
    <s v="WD"/>
    <s v="Normal"/>
    <n v="227000"/>
  </r>
  <r>
    <n v="1017"/>
    <n v="20"/>
    <s v="RL"/>
    <n v="73"/>
    <n v="11883"/>
    <s v="Pave"/>
    <s v="NA"/>
    <s v="Reg"/>
    <s v="Lvl"/>
    <s v="AllPub"/>
    <s v="Inside"/>
    <s v="Gtl"/>
    <x v="0"/>
    <x v="0"/>
    <s v="Norm"/>
    <x v="0"/>
    <x v="1"/>
    <n v="7"/>
    <n v="5"/>
    <x v="92"/>
    <n v="1996"/>
    <s v="Hip"/>
    <s v="CompShg"/>
    <s v="VinylSd"/>
    <s v="VinylSd"/>
    <s v="BrkFace"/>
    <n v="196"/>
    <s v="Gd"/>
    <s v="TA"/>
    <s v="PConc"/>
    <s v="Gd"/>
    <s v="TA"/>
    <s v="Gd"/>
    <s v="GLQ"/>
    <n v="690"/>
    <s v="Unf"/>
    <n v="0"/>
    <n v="814"/>
    <n v="1504"/>
    <s v="GasA"/>
    <s v="Ex"/>
    <s v="Y"/>
    <s v="SBrkr"/>
    <n v="1504"/>
    <n v="0"/>
    <n v="0"/>
    <x v="678"/>
    <n v="1"/>
    <n v="0"/>
    <n v="2"/>
    <n v="0"/>
    <n v="3"/>
    <n v="1"/>
    <s v="Gd"/>
    <n v="6"/>
    <s v="Typ"/>
    <n v="1"/>
    <s v="TA"/>
    <s v="Attchd"/>
    <n v="1996"/>
    <s v="Fin"/>
    <n v="2"/>
    <n v="478"/>
    <s v="TA"/>
    <s v="TA"/>
    <s v="Y"/>
    <n v="115"/>
    <n v="66"/>
    <n v="0"/>
    <n v="0"/>
    <n v="0"/>
    <n v="0"/>
    <s v="NA"/>
    <s v="NA"/>
    <s v="NA"/>
    <n v="0"/>
    <n v="6"/>
    <n v="2009"/>
    <s v="WD"/>
    <s v="Normal"/>
    <n v="203000"/>
  </r>
  <r>
    <n v="1018"/>
    <n v="120"/>
    <s v="RL"/>
    <s v="NA"/>
    <n v="5814"/>
    <s v="Pave"/>
    <s v="NA"/>
    <s v="IR1"/>
    <s v="Lvl"/>
    <s v="AllPub"/>
    <s v="CulDSac"/>
    <s v="Gtl"/>
    <x v="18"/>
    <x v="0"/>
    <s v="Norm"/>
    <x v="3"/>
    <x v="1"/>
    <n v="8"/>
    <n v="5"/>
    <x v="68"/>
    <n v="1984"/>
    <s v="Gable"/>
    <s v="CompShg"/>
    <s v="HdBoard"/>
    <s v="HdBoard"/>
    <s v="None"/>
    <n v="0"/>
    <s v="Gd"/>
    <s v="TA"/>
    <s v="CBlock"/>
    <s v="Gd"/>
    <s v="TA"/>
    <s v="Av"/>
    <s v="GLQ"/>
    <n v="1036"/>
    <s v="Unf"/>
    <n v="0"/>
    <n v="184"/>
    <n v="1220"/>
    <s v="GasA"/>
    <s v="Gd"/>
    <s v="Y"/>
    <s v="SBrkr"/>
    <n v="1360"/>
    <n v="0"/>
    <n v="0"/>
    <x v="52"/>
    <n v="1"/>
    <n v="0"/>
    <n v="1"/>
    <n v="0"/>
    <n v="1"/>
    <n v="1"/>
    <s v="Gd"/>
    <n v="4"/>
    <s v="Typ"/>
    <n v="1"/>
    <s v="Ex"/>
    <s v="Attchd"/>
    <n v="1984"/>
    <s v="RFn"/>
    <n v="2"/>
    <n v="565"/>
    <s v="TA"/>
    <s v="TA"/>
    <s v="Y"/>
    <n v="63"/>
    <n v="0"/>
    <n v="0"/>
    <n v="0"/>
    <n v="0"/>
    <n v="0"/>
    <s v="NA"/>
    <s v="NA"/>
    <s v="NA"/>
    <n v="0"/>
    <n v="8"/>
    <n v="2009"/>
    <s v="COD"/>
    <s v="Abnorml"/>
    <n v="187500"/>
  </r>
  <r>
    <n v="1019"/>
    <n v="80"/>
    <s v="RL"/>
    <s v="NA"/>
    <n v="10784"/>
    <s v="Pave"/>
    <s v="NA"/>
    <s v="IR1"/>
    <s v="Lvl"/>
    <s v="AllPub"/>
    <s v="FR2"/>
    <s v="Gtl"/>
    <x v="17"/>
    <x v="0"/>
    <s v="Norm"/>
    <x v="0"/>
    <x v="5"/>
    <n v="7"/>
    <n v="5"/>
    <x v="50"/>
    <n v="1992"/>
    <s v="Gable"/>
    <s v="CompShg"/>
    <s v="HdBoard"/>
    <s v="HdBoard"/>
    <s v="BrkFace"/>
    <n v="76"/>
    <s v="Gd"/>
    <s v="TA"/>
    <s v="PConc"/>
    <s v="Gd"/>
    <s v="TA"/>
    <s v="No"/>
    <s v="Unf"/>
    <n v="0"/>
    <s v="Unf"/>
    <n v="0"/>
    <n v="384"/>
    <n v="384"/>
    <s v="GasA"/>
    <s v="Gd"/>
    <s v="Y"/>
    <s v="SBrkr"/>
    <n v="802"/>
    <n v="670"/>
    <n v="0"/>
    <x v="267"/>
    <n v="0"/>
    <n v="0"/>
    <n v="2"/>
    <n v="1"/>
    <n v="3"/>
    <n v="1"/>
    <s v="Gd"/>
    <n v="7"/>
    <s v="Typ"/>
    <n v="1"/>
    <s v="TA"/>
    <s v="Attchd"/>
    <n v="1991"/>
    <s v="RFn"/>
    <n v="2"/>
    <n v="402"/>
    <s v="TA"/>
    <s v="TA"/>
    <s v="Y"/>
    <n v="164"/>
    <n v="0"/>
    <n v="0"/>
    <n v="0"/>
    <n v="0"/>
    <n v="0"/>
    <s v="NA"/>
    <s v="NA"/>
    <s v="NA"/>
    <n v="0"/>
    <n v="5"/>
    <n v="2007"/>
    <s v="WD"/>
    <s v="Normal"/>
    <n v="160000"/>
  </r>
  <r>
    <n v="1020"/>
    <n v="120"/>
    <s v="RL"/>
    <n v="43"/>
    <n v="3013"/>
    <s v="Pave"/>
    <s v="NA"/>
    <s v="Reg"/>
    <s v="Lvl"/>
    <s v="AllPub"/>
    <s v="Inside"/>
    <s v="Gtl"/>
    <x v="21"/>
    <x v="0"/>
    <s v="Norm"/>
    <x v="3"/>
    <x v="1"/>
    <n v="7"/>
    <n v="5"/>
    <x v="11"/>
    <n v="2005"/>
    <s v="Gable"/>
    <s v="CompShg"/>
    <s v="VinylSd"/>
    <s v="VinylSd"/>
    <s v="BrkFace"/>
    <n v="145"/>
    <s v="Gd"/>
    <s v="TA"/>
    <s v="PConc"/>
    <s v="Gd"/>
    <s v="TA"/>
    <s v="Gd"/>
    <s v="GLQ"/>
    <n v="16"/>
    <s v="Unf"/>
    <n v="0"/>
    <n v="1346"/>
    <n v="1362"/>
    <s v="GasA"/>
    <s v="Ex"/>
    <s v="Y"/>
    <s v="SBrkr"/>
    <n v="1506"/>
    <n v="0"/>
    <n v="0"/>
    <x v="558"/>
    <n v="0"/>
    <n v="0"/>
    <n v="2"/>
    <n v="0"/>
    <n v="2"/>
    <n v="1"/>
    <s v="Gd"/>
    <n v="6"/>
    <s v="Typ"/>
    <n v="1"/>
    <s v="Gd"/>
    <s v="Attchd"/>
    <n v="2005"/>
    <s v="Fin"/>
    <n v="2"/>
    <n v="440"/>
    <s v="TA"/>
    <s v="TA"/>
    <s v="Y"/>
    <n v="142"/>
    <n v="20"/>
    <n v="0"/>
    <n v="0"/>
    <n v="0"/>
    <n v="0"/>
    <s v="NA"/>
    <s v="NA"/>
    <s v="NA"/>
    <n v="0"/>
    <n v="4"/>
    <n v="2006"/>
    <s v="WD"/>
    <s v="Normal"/>
    <n v="213490"/>
  </r>
  <r>
    <n v="1021"/>
    <n v="20"/>
    <s v="RL"/>
    <n v="60"/>
    <n v="7024"/>
    <s v="Pave"/>
    <s v="NA"/>
    <s v="Reg"/>
    <s v="Lvl"/>
    <s v="AllPub"/>
    <s v="Inside"/>
    <s v="Gtl"/>
    <x v="15"/>
    <x v="0"/>
    <s v="Norm"/>
    <x v="0"/>
    <x v="1"/>
    <n v="4"/>
    <n v="5"/>
    <x v="11"/>
    <n v="2005"/>
    <s v="Gable"/>
    <s v="CompShg"/>
    <s v="VinylSd"/>
    <s v="VinylSd"/>
    <s v="None"/>
    <n v="0"/>
    <s v="TA"/>
    <s v="TA"/>
    <s v="PConc"/>
    <s v="Gd"/>
    <s v="TA"/>
    <s v="No"/>
    <s v="GLQ"/>
    <n v="1024"/>
    <s v="Unf"/>
    <n v="0"/>
    <n v="108"/>
    <n v="1132"/>
    <s v="GasA"/>
    <s v="Ex"/>
    <s v="Y"/>
    <s v="SBrkr"/>
    <n v="1132"/>
    <n v="0"/>
    <n v="0"/>
    <x v="685"/>
    <n v="1"/>
    <n v="0"/>
    <n v="1"/>
    <n v="1"/>
    <n v="2"/>
    <n v="1"/>
    <s v="Gd"/>
    <n v="5"/>
    <s v="Typ"/>
    <n v="0"/>
    <s v="NA"/>
    <s v="Attchd"/>
    <n v="2005"/>
    <s v="Fin"/>
    <n v="2"/>
    <n v="451"/>
    <s v="TA"/>
    <s v="TA"/>
    <s v="Y"/>
    <n v="252"/>
    <n v="64"/>
    <n v="0"/>
    <n v="0"/>
    <n v="0"/>
    <n v="0"/>
    <s v="NA"/>
    <s v="NA"/>
    <s v="NA"/>
    <n v="0"/>
    <n v="6"/>
    <n v="2008"/>
    <s v="WD"/>
    <s v="Normal"/>
    <n v="176000"/>
  </r>
  <r>
    <n v="1022"/>
    <n v="20"/>
    <s v="RL"/>
    <n v="64"/>
    <n v="7406"/>
    <s v="Pave"/>
    <s v="NA"/>
    <s v="Reg"/>
    <s v="Lvl"/>
    <s v="AllPub"/>
    <s v="Inside"/>
    <s v="Gtl"/>
    <x v="0"/>
    <x v="0"/>
    <s v="Norm"/>
    <x v="0"/>
    <x v="1"/>
    <n v="7"/>
    <n v="5"/>
    <x v="13"/>
    <n v="2006"/>
    <s v="Gable"/>
    <s v="CompShg"/>
    <s v="VinylSd"/>
    <s v="VinylSd"/>
    <s v="Stone"/>
    <n v="84"/>
    <s v="Gd"/>
    <s v="TA"/>
    <s v="PConc"/>
    <s v="Gd"/>
    <s v="TA"/>
    <s v="Av"/>
    <s v="GLQ"/>
    <n v="684"/>
    <s v="Unf"/>
    <n v="0"/>
    <n v="515"/>
    <n v="1199"/>
    <s v="GasA"/>
    <s v="Ex"/>
    <s v="Y"/>
    <s v="SBrkr"/>
    <n v="1220"/>
    <n v="0"/>
    <n v="0"/>
    <x v="562"/>
    <n v="1"/>
    <n v="0"/>
    <n v="2"/>
    <n v="0"/>
    <n v="2"/>
    <n v="1"/>
    <s v="Gd"/>
    <n v="6"/>
    <s v="Typ"/>
    <n v="0"/>
    <s v="NA"/>
    <s v="Attchd"/>
    <n v="2006"/>
    <s v="RFn"/>
    <n v="2"/>
    <n v="632"/>
    <s v="TA"/>
    <s v="TA"/>
    <s v="Y"/>
    <n v="105"/>
    <n v="54"/>
    <n v="0"/>
    <n v="0"/>
    <n v="0"/>
    <n v="0"/>
    <s v="NA"/>
    <s v="NA"/>
    <s v="NA"/>
    <n v="0"/>
    <n v="7"/>
    <n v="2006"/>
    <s v="New"/>
    <s v="Partial"/>
    <n v="194000"/>
  </r>
  <r>
    <n v="1023"/>
    <n v="50"/>
    <s v="RM"/>
    <n v="52"/>
    <n v="9439"/>
    <s v="Pave"/>
    <s v="NA"/>
    <s v="Reg"/>
    <s v="Lvl"/>
    <s v="AllPub"/>
    <s v="Inside"/>
    <s v="Gtl"/>
    <x v="7"/>
    <x v="0"/>
    <s v="Norm"/>
    <x v="0"/>
    <x v="2"/>
    <n v="5"/>
    <n v="5"/>
    <x v="19"/>
    <n v="1950"/>
    <s v="Gable"/>
    <s v="CompShg"/>
    <s v="Wd Sdng"/>
    <s v="Wd Sdng"/>
    <s v="None"/>
    <n v="0"/>
    <s v="TA"/>
    <s v="TA"/>
    <s v="CBlock"/>
    <s v="TA"/>
    <s v="TA"/>
    <s v="No"/>
    <s v="LwQ"/>
    <n v="324"/>
    <s v="Unf"/>
    <n v="0"/>
    <n v="588"/>
    <n v="912"/>
    <s v="GasA"/>
    <s v="Gd"/>
    <s v="Y"/>
    <s v="FuseA"/>
    <n v="912"/>
    <n v="336"/>
    <n v="0"/>
    <x v="193"/>
    <n v="0"/>
    <n v="0"/>
    <n v="1"/>
    <n v="0"/>
    <n v="2"/>
    <n v="1"/>
    <s v="TA"/>
    <n v="6"/>
    <s v="Typ"/>
    <n v="0"/>
    <s v="NA"/>
    <s v="Detchd"/>
    <n v="1957"/>
    <s v="Unf"/>
    <n v="1"/>
    <n v="160"/>
    <s v="Fa"/>
    <s v="Fa"/>
    <s v="Y"/>
    <n v="0"/>
    <n v="0"/>
    <n v="192"/>
    <n v="0"/>
    <n v="0"/>
    <n v="0"/>
    <s v="NA"/>
    <s v="NA"/>
    <s v="NA"/>
    <n v="0"/>
    <n v="3"/>
    <n v="2007"/>
    <s v="WD"/>
    <s v="Normal"/>
    <n v="87000"/>
  </r>
  <r>
    <n v="1024"/>
    <n v="120"/>
    <s v="RL"/>
    <n v="43"/>
    <n v="3182"/>
    <s v="Pave"/>
    <s v="NA"/>
    <s v="Reg"/>
    <s v="Lvl"/>
    <s v="AllPub"/>
    <s v="Inside"/>
    <s v="Gtl"/>
    <x v="21"/>
    <x v="0"/>
    <s v="Norm"/>
    <x v="3"/>
    <x v="1"/>
    <n v="7"/>
    <n v="5"/>
    <x v="11"/>
    <n v="2006"/>
    <s v="Gable"/>
    <s v="CompShg"/>
    <s v="VinylSd"/>
    <s v="VinylSd"/>
    <s v="BrkFace"/>
    <n v="14"/>
    <s v="Gd"/>
    <s v="TA"/>
    <s v="PConc"/>
    <s v="Gd"/>
    <s v="Gd"/>
    <s v="No"/>
    <s v="GLQ"/>
    <n v="16"/>
    <s v="Unf"/>
    <n v="0"/>
    <n v="1330"/>
    <n v="1346"/>
    <s v="GasA"/>
    <s v="Ex"/>
    <s v="Y"/>
    <s v="SBrkr"/>
    <n v="1504"/>
    <n v="0"/>
    <n v="0"/>
    <x v="678"/>
    <n v="0"/>
    <n v="0"/>
    <n v="2"/>
    <n v="0"/>
    <n v="2"/>
    <n v="1"/>
    <s v="Gd"/>
    <n v="7"/>
    <s v="Typ"/>
    <n v="1"/>
    <s v="Gd"/>
    <s v="Attchd"/>
    <n v="2005"/>
    <s v="Fin"/>
    <n v="2"/>
    <n v="437"/>
    <s v="TA"/>
    <s v="TA"/>
    <s v="Y"/>
    <n v="156"/>
    <n v="20"/>
    <n v="0"/>
    <n v="0"/>
    <n v="0"/>
    <n v="0"/>
    <s v="NA"/>
    <s v="NA"/>
    <s v="NA"/>
    <n v="0"/>
    <n v="5"/>
    <n v="2008"/>
    <s v="WD"/>
    <s v="Normal"/>
    <n v="191000"/>
  </r>
  <r>
    <n v="1025"/>
    <n v="20"/>
    <s v="RL"/>
    <s v="NA"/>
    <n v="15498"/>
    <s v="Pave"/>
    <s v="NA"/>
    <s v="IR1"/>
    <s v="Lvl"/>
    <s v="AllPub"/>
    <s v="Corner"/>
    <s v="Gtl"/>
    <x v="16"/>
    <x v="0"/>
    <s v="Norm"/>
    <x v="0"/>
    <x v="1"/>
    <n v="8"/>
    <n v="6"/>
    <x v="1"/>
    <n v="1976"/>
    <s v="Hip"/>
    <s v="WdShake"/>
    <s v="Stone"/>
    <s v="HdBoard"/>
    <s v="None"/>
    <n v="0"/>
    <s v="Gd"/>
    <s v="TA"/>
    <s v="CBlock"/>
    <s v="Gd"/>
    <s v="TA"/>
    <s v="Av"/>
    <s v="ALQ"/>
    <n v="1165"/>
    <s v="LwQ"/>
    <n v="400"/>
    <n v="0"/>
    <n v="1565"/>
    <s v="GasA"/>
    <s v="TA"/>
    <s v="Y"/>
    <s v="SBrkr"/>
    <n v="2898"/>
    <n v="0"/>
    <n v="0"/>
    <x v="686"/>
    <n v="1"/>
    <n v="0"/>
    <n v="2"/>
    <n v="0"/>
    <n v="2"/>
    <n v="1"/>
    <s v="Gd"/>
    <n v="10"/>
    <s v="Typ"/>
    <n v="1"/>
    <s v="Gd"/>
    <s v="Attchd"/>
    <n v="1976"/>
    <s v="Fin"/>
    <n v="2"/>
    <n v="665"/>
    <s v="TA"/>
    <s v="TA"/>
    <s v="Y"/>
    <n v="0"/>
    <n v="72"/>
    <n v="174"/>
    <n v="0"/>
    <n v="0"/>
    <n v="0"/>
    <s v="NA"/>
    <s v="NA"/>
    <s v="NA"/>
    <n v="0"/>
    <n v="5"/>
    <n v="2008"/>
    <s v="COD"/>
    <s v="Abnorml"/>
    <n v="287000"/>
  </r>
  <r>
    <n v="1026"/>
    <n v="20"/>
    <s v="RL"/>
    <n v="70"/>
    <n v="7700"/>
    <s v="Pave"/>
    <s v="NA"/>
    <s v="Reg"/>
    <s v="Lvl"/>
    <s v="AllPub"/>
    <s v="Corner"/>
    <s v="Gtl"/>
    <x v="0"/>
    <x v="0"/>
    <s v="Norm"/>
    <x v="0"/>
    <x v="1"/>
    <n v="5"/>
    <n v="5"/>
    <x v="41"/>
    <n v="1972"/>
    <s v="Gable"/>
    <s v="CompShg"/>
    <s v="VinylSd"/>
    <s v="VinylSd"/>
    <s v="None"/>
    <n v="0"/>
    <s v="TA"/>
    <s v="TA"/>
    <s v="CBlock"/>
    <s v="TA"/>
    <s v="TA"/>
    <s v="No"/>
    <s v="LwQ"/>
    <n v="138"/>
    <s v="Rec"/>
    <n v="468"/>
    <n v="276"/>
    <n v="882"/>
    <s v="GasA"/>
    <s v="TA"/>
    <s v="Y"/>
    <s v="SBrkr"/>
    <n v="882"/>
    <n v="0"/>
    <n v="0"/>
    <x v="152"/>
    <n v="1"/>
    <n v="0"/>
    <n v="1"/>
    <n v="0"/>
    <n v="3"/>
    <n v="1"/>
    <s v="TA"/>
    <n v="5"/>
    <s v="Typ"/>
    <n v="0"/>
    <s v="NA"/>
    <s v="Detchd"/>
    <n v="1980"/>
    <s v="Unf"/>
    <n v="2"/>
    <n v="461"/>
    <s v="TA"/>
    <s v="TA"/>
    <s v="Y"/>
    <n v="96"/>
    <n v="0"/>
    <n v="0"/>
    <n v="0"/>
    <n v="0"/>
    <n v="0"/>
    <s v="NA"/>
    <s v="MnPrv"/>
    <s v="NA"/>
    <n v="0"/>
    <n v="3"/>
    <n v="2007"/>
    <s v="WD"/>
    <s v="Normal"/>
    <n v="112500"/>
  </r>
  <r>
    <n v="1027"/>
    <n v="20"/>
    <s v="RL"/>
    <n v="73"/>
    <n v="9300"/>
    <s v="Pave"/>
    <s v="NA"/>
    <s v="Reg"/>
    <s v="Lvl"/>
    <s v="AllPub"/>
    <s v="Inside"/>
    <s v="Gtl"/>
    <x v="11"/>
    <x v="1"/>
    <s v="Norm"/>
    <x v="0"/>
    <x v="1"/>
    <n v="5"/>
    <n v="5"/>
    <x v="14"/>
    <n v="1960"/>
    <s v="Gable"/>
    <s v="CompShg"/>
    <s v="MetalSd"/>
    <s v="HdBoard"/>
    <s v="BrkFace"/>
    <n v="324"/>
    <s v="TA"/>
    <s v="TA"/>
    <s v="CBlock"/>
    <s v="TA"/>
    <s v="TA"/>
    <s v="No"/>
    <s v="Rec"/>
    <n v="697"/>
    <s v="Unf"/>
    <n v="0"/>
    <n v="571"/>
    <n v="1268"/>
    <s v="GasA"/>
    <s v="TA"/>
    <s v="Y"/>
    <s v="SBrkr"/>
    <n v="1264"/>
    <n v="0"/>
    <n v="0"/>
    <x v="687"/>
    <n v="1"/>
    <n v="0"/>
    <n v="1"/>
    <n v="0"/>
    <n v="3"/>
    <n v="1"/>
    <s v="TA"/>
    <n v="6"/>
    <s v="Typ"/>
    <n v="2"/>
    <s v="Gd"/>
    <s v="Attchd"/>
    <n v="1960"/>
    <s v="Unf"/>
    <n v="2"/>
    <n v="461"/>
    <s v="TA"/>
    <s v="TA"/>
    <s v="Y"/>
    <n v="0"/>
    <n v="0"/>
    <n v="0"/>
    <n v="0"/>
    <n v="143"/>
    <n v="0"/>
    <s v="NA"/>
    <s v="NA"/>
    <s v="NA"/>
    <n v="0"/>
    <n v="4"/>
    <n v="2010"/>
    <s v="WD"/>
    <s v="Normal"/>
    <n v="167500"/>
  </r>
  <r>
    <n v="1028"/>
    <n v="20"/>
    <s v="RL"/>
    <n v="71"/>
    <n v="9520"/>
    <s v="Pave"/>
    <s v="NA"/>
    <s v="IR1"/>
    <s v="HLS"/>
    <s v="AllPub"/>
    <s v="Inside"/>
    <s v="Gtl"/>
    <x v="16"/>
    <x v="0"/>
    <s v="Norm"/>
    <x v="0"/>
    <x v="1"/>
    <n v="8"/>
    <n v="5"/>
    <x v="22"/>
    <n v="2008"/>
    <s v="Gable"/>
    <s v="CompShg"/>
    <s v="VinylSd"/>
    <s v="VinylSd"/>
    <s v="Stone"/>
    <n v="338"/>
    <s v="Gd"/>
    <s v="TA"/>
    <s v="PConc"/>
    <s v="Gd"/>
    <s v="TA"/>
    <s v="Gd"/>
    <s v="GLQ"/>
    <n v="1513"/>
    <s v="Unf"/>
    <n v="0"/>
    <n v="125"/>
    <n v="1638"/>
    <s v="GasA"/>
    <s v="Ex"/>
    <s v="Y"/>
    <s v="SBrkr"/>
    <n v="1646"/>
    <n v="0"/>
    <n v="0"/>
    <x v="607"/>
    <n v="1"/>
    <n v="0"/>
    <n v="2"/>
    <n v="0"/>
    <n v="3"/>
    <n v="1"/>
    <s v="Gd"/>
    <n v="7"/>
    <s v="Typ"/>
    <n v="1"/>
    <s v="Gd"/>
    <s v="Attchd"/>
    <n v="2008"/>
    <s v="RFn"/>
    <n v="3"/>
    <n v="800"/>
    <s v="TA"/>
    <s v="TA"/>
    <s v="Y"/>
    <n v="192"/>
    <n v="44"/>
    <n v="0"/>
    <n v="0"/>
    <n v="0"/>
    <n v="0"/>
    <s v="NA"/>
    <s v="NA"/>
    <s v="NA"/>
    <n v="0"/>
    <n v="4"/>
    <n v="2008"/>
    <s v="New"/>
    <s v="Partial"/>
    <n v="293077"/>
  </r>
  <r>
    <n v="1029"/>
    <n v="50"/>
    <s v="RL"/>
    <n v="79"/>
    <n v="9492"/>
    <s v="Pave"/>
    <s v="NA"/>
    <s v="Reg"/>
    <s v="Lvl"/>
    <s v="AllPub"/>
    <s v="Inside"/>
    <s v="Gtl"/>
    <x v="11"/>
    <x v="3"/>
    <s v="Norm"/>
    <x v="0"/>
    <x v="2"/>
    <n v="5"/>
    <n v="5"/>
    <x v="71"/>
    <n v="1950"/>
    <s v="Gable"/>
    <s v="CompShg"/>
    <s v="WdShing"/>
    <s v="Wd Shng"/>
    <s v="None"/>
    <n v="0"/>
    <s v="TA"/>
    <s v="TA"/>
    <s v="CBlock"/>
    <s v="TA"/>
    <s v="TA"/>
    <s v="No"/>
    <s v="Rec"/>
    <n v="368"/>
    <s v="BLQ"/>
    <n v="41"/>
    <n v="359"/>
    <n v="768"/>
    <s v="GasA"/>
    <s v="TA"/>
    <s v="Y"/>
    <s v="SBrkr"/>
    <n v="968"/>
    <n v="408"/>
    <n v="0"/>
    <x v="362"/>
    <n v="1"/>
    <n v="0"/>
    <n v="1"/>
    <n v="0"/>
    <n v="3"/>
    <n v="1"/>
    <s v="TA"/>
    <n v="6"/>
    <s v="Typ"/>
    <n v="1"/>
    <s v="Gd"/>
    <s v="Attchd"/>
    <n v="1941"/>
    <s v="Unf"/>
    <n v="1"/>
    <n v="240"/>
    <s v="TA"/>
    <s v="TA"/>
    <s v="Y"/>
    <n v="0"/>
    <n v="0"/>
    <n v="0"/>
    <n v="0"/>
    <n v="0"/>
    <n v="0"/>
    <s v="NA"/>
    <s v="NA"/>
    <s v="NA"/>
    <n v="0"/>
    <n v="4"/>
    <n v="2007"/>
    <s v="WD"/>
    <s v="Normal"/>
    <n v="105000"/>
  </r>
  <r>
    <n v="1030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6"/>
    <n v="7"/>
    <x v="41"/>
    <n v="1972"/>
    <s v="Gable"/>
    <s v="CompShg"/>
    <s v="HdBoard"/>
    <s v="HdBoard"/>
    <s v="BrkFace"/>
    <n v="281"/>
    <s v="TA"/>
    <s v="TA"/>
    <s v="CBlock"/>
    <s v="TA"/>
    <s v="TA"/>
    <s v="No"/>
    <s v="BLQ"/>
    <n v="317"/>
    <s v="Unf"/>
    <n v="0"/>
    <n v="355"/>
    <n v="672"/>
    <s v="GasA"/>
    <s v="Gd"/>
    <s v="Y"/>
    <s v="SBrkr"/>
    <n v="672"/>
    <n v="546"/>
    <n v="0"/>
    <x v="399"/>
    <n v="0"/>
    <n v="1"/>
    <n v="1"/>
    <n v="1"/>
    <n v="3"/>
    <n v="1"/>
    <s v="TA"/>
    <n v="7"/>
    <s v="Typ"/>
    <n v="0"/>
    <s v="NA"/>
    <s v="Detchd"/>
    <n v="1972"/>
    <s v="Unf"/>
    <n v="1"/>
    <n v="264"/>
    <s v="TA"/>
    <s v="TA"/>
    <s v="Y"/>
    <n v="0"/>
    <n v="28"/>
    <n v="0"/>
    <n v="0"/>
    <n v="0"/>
    <n v="0"/>
    <s v="NA"/>
    <s v="NA"/>
    <s v="NA"/>
    <n v="0"/>
    <n v="5"/>
    <n v="2006"/>
    <s v="WD"/>
    <s v="Normal"/>
    <n v="118000"/>
  </r>
  <r>
    <n v="1031"/>
    <n v="190"/>
    <s v="RH"/>
    <s v="NA"/>
    <n v="7082"/>
    <s v="Pave"/>
    <s v="NA"/>
    <s v="Reg"/>
    <s v="Lvl"/>
    <s v="AllPub"/>
    <s v="Inside"/>
    <s v="Gtl"/>
    <x v="23"/>
    <x v="0"/>
    <s v="Norm"/>
    <x v="1"/>
    <x v="0"/>
    <n v="5"/>
    <n v="8"/>
    <x v="77"/>
    <n v="1995"/>
    <s v="Gable"/>
    <s v="CompShg"/>
    <s v="VinylSd"/>
    <s v="VinylSd"/>
    <s v="None"/>
    <n v="0"/>
    <s v="TA"/>
    <s v="TA"/>
    <s v="PConc"/>
    <s v="TA"/>
    <s v="TA"/>
    <s v="Mn"/>
    <s v="Unf"/>
    <n v="0"/>
    <s v="Unf"/>
    <n v="0"/>
    <n v="686"/>
    <n v="686"/>
    <s v="GasA"/>
    <s v="Gd"/>
    <s v="Y"/>
    <s v="SBrkr"/>
    <n v="948"/>
    <n v="980"/>
    <n v="0"/>
    <x v="214"/>
    <n v="0"/>
    <n v="0"/>
    <n v="2"/>
    <n v="0"/>
    <n v="5"/>
    <n v="2"/>
    <s v="TA"/>
    <n v="10"/>
    <s v="Typ"/>
    <n v="0"/>
    <s v="NA"/>
    <s v="NA"/>
    <s v="NA"/>
    <s v="NA"/>
    <n v="0"/>
    <n v="0"/>
    <s v="NA"/>
    <s v="NA"/>
    <s v="N"/>
    <n v="0"/>
    <n v="0"/>
    <n v="228"/>
    <n v="0"/>
    <n v="0"/>
    <n v="0"/>
    <s v="NA"/>
    <s v="NA"/>
    <s v="NA"/>
    <n v="0"/>
    <n v="7"/>
    <n v="2006"/>
    <s v="WD"/>
    <s v="Normal"/>
    <n v="160000"/>
  </r>
  <r>
    <n v="1032"/>
    <n v="75"/>
    <s v="RL"/>
    <n v="102"/>
    <n v="15863"/>
    <s v="Pave"/>
    <s v="NA"/>
    <s v="Reg"/>
    <s v="Lvl"/>
    <s v="AllPub"/>
    <s v="Corner"/>
    <s v="Gtl"/>
    <x v="23"/>
    <x v="0"/>
    <s v="Norm"/>
    <x v="0"/>
    <x v="7"/>
    <n v="7"/>
    <n v="3"/>
    <x v="26"/>
    <n v="1970"/>
    <s v="Gable"/>
    <s v="CompShg"/>
    <s v="Wd Sdng"/>
    <s v="Plywood"/>
    <s v="None"/>
    <n v="0"/>
    <s v="TA"/>
    <s v="TA"/>
    <s v="BrkTil"/>
    <s v="TA"/>
    <s v="TA"/>
    <s v="No"/>
    <s v="GLQ"/>
    <n v="523"/>
    <s v="Unf"/>
    <n v="0"/>
    <n v="301"/>
    <n v="824"/>
    <s v="GasA"/>
    <s v="Ex"/>
    <s v="Y"/>
    <s v="SBrkr"/>
    <n v="1687"/>
    <n v="998"/>
    <n v="397"/>
    <x v="688"/>
    <n v="1"/>
    <n v="0"/>
    <n v="2"/>
    <n v="1"/>
    <n v="5"/>
    <n v="1"/>
    <s v="TA"/>
    <n v="12"/>
    <s v="Typ"/>
    <n v="2"/>
    <s v="TA"/>
    <s v="Basment"/>
    <n v="1970"/>
    <s v="Fin"/>
    <n v="2"/>
    <n v="672"/>
    <s v="TA"/>
    <s v="TA"/>
    <s v="Y"/>
    <n v="136"/>
    <n v="63"/>
    <n v="0"/>
    <n v="0"/>
    <n v="0"/>
    <n v="0"/>
    <s v="NA"/>
    <s v="NA"/>
    <s v="NA"/>
    <n v="0"/>
    <n v="8"/>
    <n v="2009"/>
    <s v="WD"/>
    <s v="Normal"/>
    <n v="197000"/>
  </r>
  <r>
    <n v="1033"/>
    <n v="60"/>
    <s v="RL"/>
    <s v="NA"/>
    <n v="14541"/>
    <s v="Pave"/>
    <s v="NA"/>
    <s v="IR1"/>
    <s v="Lvl"/>
    <s v="AllPub"/>
    <s v="Corner"/>
    <s v="Gtl"/>
    <x v="3"/>
    <x v="0"/>
    <s v="Norm"/>
    <x v="0"/>
    <x v="0"/>
    <n v="8"/>
    <n v="7"/>
    <x v="5"/>
    <n v="1993"/>
    <s v="Gable"/>
    <s v="CompShg"/>
    <s v="MetalSd"/>
    <s v="MetalSd"/>
    <s v="None"/>
    <n v="0"/>
    <s v="Gd"/>
    <s v="Gd"/>
    <s v="PConc"/>
    <s v="Gd"/>
    <s v="Gd"/>
    <s v="No"/>
    <s v="GLQ"/>
    <n v="1012"/>
    <s v="Unf"/>
    <n v="0"/>
    <n v="326"/>
    <n v="1338"/>
    <s v="GasA"/>
    <s v="Ex"/>
    <s v="Y"/>
    <s v="SBrkr"/>
    <n v="1352"/>
    <n v="1168"/>
    <n v="0"/>
    <x v="199"/>
    <n v="1"/>
    <n v="0"/>
    <n v="2"/>
    <n v="1"/>
    <n v="5"/>
    <n v="1"/>
    <s v="Gd"/>
    <n v="10"/>
    <s v="Typ"/>
    <n v="1"/>
    <s v="TA"/>
    <s v="Attchd"/>
    <n v="1993"/>
    <s v="RFn"/>
    <n v="3"/>
    <n v="796"/>
    <s v="TA"/>
    <s v="TA"/>
    <s v="Y"/>
    <n v="209"/>
    <n v="55"/>
    <n v="0"/>
    <n v="0"/>
    <n v="0"/>
    <n v="0"/>
    <s v="NA"/>
    <s v="NA"/>
    <s v="NA"/>
    <n v="0"/>
    <n v="11"/>
    <n v="2006"/>
    <s v="WD"/>
    <s v="Abnorml"/>
    <n v="310000"/>
  </r>
  <r>
    <n v="1034"/>
    <n v="20"/>
    <s v="RL"/>
    <s v="NA"/>
    <n v="8125"/>
    <s v="Pave"/>
    <s v="NA"/>
    <s v="Reg"/>
    <s v="Lvl"/>
    <s v="AllPub"/>
    <s v="Inside"/>
    <s v="Gtl"/>
    <x v="0"/>
    <x v="0"/>
    <s v="Norm"/>
    <x v="0"/>
    <x v="1"/>
    <n v="7"/>
    <n v="5"/>
    <x v="20"/>
    <n v="2002"/>
    <s v="Gable"/>
    <s v="CompShg"/>
    <s v="VinylSd"/>
    <s v="VinylSd"/>
    <s v="Stone"/>
    <n v="295"/>
    <s v="Gd"/>
    <s v="TA"/>
    <s v="PConc"/>
    <s v="Gd"/>
    <s v="TA"/>
    <s v="No"/>
    <s v="GLQ"/>
    <n v="986"/>
    <s v="Unf"/>
    <n v="0"/>
    <n v="668"/>
    <n v="1654"/>
    <s v="GasA"/>
    <s v="Ex"/>
    <s v="Y"/>
    <s v="SBrkr"/>
    <n v="1654"/>
    <n v="0"/>
    <n v="0"/>
    <x v="689"/>
    <n v="1"/>
    <n v="0"/>
    <n v="2"/>
    <n v="0"/>
    <n v="3"/>
    <n v="1"/>
    <s v="Gd"/>
    <n v="6"/>
    <s v="Typ"/>
    <n v="0"/>
    <s v="NA"/>
    <s v="Attchd"/>
    <n v="2002"/>
    <s v="Unf"/>
    <n v="3"/>
    <n v="900"/>
    <s v="TA"/>
    <s v="TA"/>
    <s v="Y"/>
    <n v="0"/>
    <n v="136"/>
    <n v="0"/>
    <n v="0"/>
    <n v="0"/>
    <n v="0"/>
    <s v="NA"/>
    <s v="NA"/>
    <s v="NA"/>
    <n v="0"/>
    <n v="2"/>
    <n v="2006"/>
    <s v="WD"/>
    <s v="Normal"/>
    <n v="230000"/>
  </r>
  <r>
    <n v="1035"/>
    <n v="30"/>
    <s v="RL"/>
    <n v="50"/>
    <n v="6305"/>
    <s v="Pave"/>
    <s v="NA"/>
    <s v="Reg"/>
    <s v="Bnk"/>
    <s v="AllPub"/>
    <s v="Inside"/>
    <s v="Gtl"/>
    <x v="2"/>
    <x v="0"/>
    <s v="Norm"/>
    <x v="0"/>
    <x v="1"/>
    <n v="5"/>
    <n v="7"/>
    <x v="98"/>
    <n v="1950"/>
    <s v="Gable"/>
    <s v="CompShg"/>
    <s v="MetalSd"/>
    <s v="MetalSd"/>
    <s v="None"/>
    <n v="0"/>
    <s v="TA"/>
    <s v="Gd"/>
    <s v="PConc"/>
    <s v="Fa"/>
    <s v="Fa"/>
    <s v="No"/>
    <s v="Unf"/>
    <n v="0"/>
    <s v="Unf"/>
    <n v="0"/>
    <n v="920"/>
    <n v="920"/>
    <s v="GasA"/>
    <s v="Ex"/>
    <s v="Y"/>
    <s v="SBrkr"/>
    <n v="954"/>
    <n v="0"/>
    <n v="0"/>
    <x v="690"/>
    <n v="0"/>
    <n v="0"/>
    <n v="1"/>
    <n v="0"/>
    <n v="2"/>
    <n v="1"/>
    <s v="Fa"/>
    <n v="5"/>
    <s v="Typ"/>
    <n v="1"/>
    <s v="Gd"/>
    <s v="Basment"/>
    <n v="1938"/>
    <s v="Unf"/>
    <n v="1"/>
    <n v="240"/>
    <s v="Fa"/>
    <s v="TA"/>
    <s v="Y"/>
    <n v="0"/>
    <n v="0"/>
    <n v="0"/>
    <n v="0"/>
    <n v="0"/>
    <n v="0"/>
    <s v="NA"/>
    <s v="MnPrv"/>
    <s v="NA"/>
    <n v="0"/>
    <n v="6"/>
    <n v="2007"/>
    <s v="WD"/>
    <s v="Normal"/>
    <n v="119750"/>
  </r>
  <r>
    <n v="1036"/>
    <n v="20"/>
    <s v="RL"/>
    <s v="NA"/>
    <n v="11500"/>
    <s v="Pave"/>
    <s v="NA"/>
    <s v="IR1"/>
    <s v="Lvl"/>
    <s v="AllPub"/>
    <s v="CulDSac"/>
    <s v="Gtl"/>
    <x v="15"/>
    <x v="0"/>
    <s v="Norm"/>
    <x v="0"/>
    <x v="1"/>
    <n v="4"/>
    <n v="3"/>
    <x v="24"/>
    <n v="1957"/>
    <s v="Gable"/>
    <s v="CompShg"/>
    <s v="Wd Sdng"/>
    <s v="Wd Sdng"/>
    <s v="None"/>
    <n v="0"/>
    <s v="TA"/>
    <s v="Gd"/>
    <s v="Slab"/>
    <s v="NA"/>
    <s v="NA"/>
    <s v="NA"/>
    <s v="NA"/>
    <n v="0"/>
    <s v="NA"/>
    <n v="0"/>
    <n v="0"/>
    <n v="0"/>
    <s v="GasA"/>
    <s v="Ex"/>
    <s v="N"/>
    <s v="SBrkr"/>
    <n v="845"/>
    <n v="0"/>
    <n v="0"/>
    <x v="68"/>
    <n v="0"/>
    <n v="0"/>
    <n v="1"/>
    <n v="0"/>
    <n v="3"/>
    <n v="1"/>
    <s v="TA"/>
    <n v="5"/>
    <s v="Typ"/>
    <n v="0"/>
    <s v="NA"/>
    <s v="Detchd"/>
    <n v="1957"/>
    <s v="Unf"/>
    <n v="1"/>
    <n v="290"/>
    <s v="TA"/>
    <s v="TA"/>
    <s v="N"/>
    <n v="186"/>
    <n v="0"/>
    <n v="0"/>
    <n v="0"/>
    <n v="0"/>
    <n v="0"/>
    <s v="NA"/>
    <s v="NA"/>
    <s v="NA"/>
    <n v="0"/>
    <n v="1"/>
    <n v="2009"/>
    <s v="WD"/>
    <s v="Normal"/>
    <n v="84000"/>
  </r>
  <r>
    <n v="1037"/>
    <n v="20"/>
    <s v="RL"/>
    <n v="89"/>
    <n v="12898"/>
    <s v="Pave"/>
    <s v="NA"/>
    <s v="IR1"/>
    <s v="HLS"/>
    <s v="AllPub"/>
    <s v="Inside"/>
    <s v="Gtl"/>
    <x v="16"/>
    <x v="0"/>
    <s v="Norm"/>
    <x v="0"/>
    <x v="1"/>
    <n v="9"/>
    <n v="5"/>
    <x v="22"/>
    <n v="2008"/>
    <s v="Hip"/>
    <s v="CompShg"/>
    <s v="VinylSd"/>
    <s v="VinylSd"/>
    <s v="Stone"/>
    <n v="70"/>
    <s v="Gd"/>
    <s v="TA"/>
    <s v="PConc"/>
    <s v="Ex"/>
    <s v="TA"/>
    <s v="Gd"/>
    <s v="GLQ"/>
    <n v="1022"/>
    <s v="Unf"/>
    <n v="0"/>
    <n v="598"/>
    <n v="1620"/>
    <s v="GasA"/>
    <s v="Ex"/>
    <s v="Y"/>
    <s v="SBrkr"/>
    <n v="1620"/>
    <n v="0"/>
    <n v="0"/>
    <x v="333"/>
    <n v="1"/>
    <n v="0"/>
    <n v="2"/>
    <n v="0"/>
    <n v="2"/>
    <n v="1"/>
    <s v="Ex"/>
    <n v="6"/>
    <s v="Typ"/>
    <n v="1"/>
    <s v="Ex"/>
    <s v="Attchd"/>
    <n v="2008"/>
    <s v="Fin"/>
    <n v="3"/>
    <n v="912"/>
    <s v="TA"/>
    <s v="TA"/>
    <s v="Y"/>
    <n v="228"/>
    <n v="0"/>
    <n v="0"/>
    <n v="0"/>
    <n v="0"/>
    <n v="0"/>
    <s v="NA"/>
    <s v="NA"/>
    <s v="NA"/>
    <n v="0"/>
    <n v="9"/>
    <n v="2009"/>
    <s v="WD"/>
    <s v="Normal"/>
    <n v="315500"/>
  </r>
  <r>
    <n v="1038"/>
    <n v="60"/>
    <s v="RL"/>
    <s v="NA"/>
    <n v="9240"/>
    <s v="Pave"/>
    <s v="NA"/>
    <s v="Reg"/>
    <s v="Lvl"/>
    <s v="AllPub"/>
    <s v="Inside"/>
    <s v="Gtl"/>
    <x v="0"/>
    <x v="0"/>
    <s v="Norm"/>
    <x v="0"/>
    <x v="0"/>
    <n v="8"/>
    <n v="5"/>
    <x v="2"/>
    <n v="2002"/>
    <s v="Gable"/>
    <s v="CompShg"/>
    <s v="VinylSd"/>
    <s v="VinylSd"/>
    <s v="BrkFace"/>
    <n v="396"/>
    <s v="Gd"/>
    <s v="TA"/>
    <s v="PConc"/>
    <s v="Gd"/>
    <s v="TA"/>
    <s v="No"/>
    <s v="Unf"/>
    <n v="0"/>
    <s v="Unf"/>
    <n v="0"/>
    <n v="1055"/>
    <n v="1055"/>
    <s v="GasA"/>
    <s v="Ex"/>
    <s v="Y"/>
    <s v="SBrkr"/>
    <n v="1055"/>
    <n v="1208"/>
    <n v="0"/>
    <x v="247"/>
    <n v="0"/>
    <n v="0"/>
    <n v="2"/>
    <n v="1"/>
    <n v="3"/>
    <n v="1"/>
    <s v="Gd"/>
    <n v="7"/>
    <s v="Typ"/>
    <n v="1"/>
    <s v="TA"/>
    <s v="BuiltIn"/>
    <n v="2001"/>
    <s v="Fin"/>
    <n v="2"/>
    <n v="905"/>
    <s v="TA"/>
    <s v="TA"/>
    <s v="Y"/>
    <n v="0"/>
    <n v="45"/>
    <n v="0"/>
    <n v="0"/>
    <n v="189"/>
    <n v="0"/>
    <s v="NA"/>
    <s v="NA"/>
    <s v="NA"/>
    <n v="0"/>
    <n v="9"/>
    <n v="2008"/>
    <s v="WD"/>
    <s v="Normal"/>
    <n v="287000"/>
  </r>
  <r>
    <n v="1039"/>
    <n v="160"/>
    <s v="RM"/>
    <n v="21"/>
    <n v="1533"/>
    <s v="Pave"/>
    <s v="NA"/>
    <s v="Reg"/>
    <s v="Lvl"/>
    <s v="AllPub"/>
    <s v="Inside"/>
    <s v="Gtl"/>
    <x v="14"/>
    <x v="0"/>
    <s v="Norm"/>
    <x v="4"/>
    <x v="0"/>
    <n v="4"/>
    <n v="6"/>
    <x v="16"/>
    <n v="2008"/>
    <s v="Gable"/>
    <s v="CompShg"/>
    <s v="CemntBd"/>
    <s v="CmentBd"/>
    <s v="None"/>
    <n v="0"/>
    <s v="TA"/>
    <s v="TA"/>
    <s v="CBlock"/>
    <s v="TA"/>
    <s v="TA"/>
    <s v="No"/>
    <s v="Unf"/>
    <n v="0"/>
    <s v="Unf"/>
    <n v="0"/>
    <n v="546"/>
    <n v="546"/>
    <s v="GasA"/>
    <s v="TA"/>
    <s v="Y"/>
    <s v="SBrkr"/>
    <n v="798"/>
    <n v="546"/>
    <n v="0"/>
    <x v="140"/>
    <n v="0"/>
    <n v="0"/>
    <n v="1"/>
    <n v="1"/>
    <n v="3"/>
    <n v="1"/>
    <s v="TA"/>
    <n v="6"/>
    <s v="Typ"/>
    <n v="1"/>
    <s v="T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5"/>
    <n v="2009"/>
    <s v="WD"/>
    <s v="Normal"/>
    <n v="97000"/>
  </r>
  <r>
    <n v="1040"/>
    <n v="180"/>
    <s v="RM"/>
    <n v="21"/>
    <n v="1477"/>
    <s v="Pave"/>
    <s v="NA"/>
    <s v="Reg"/>
    <s v="Lvl"/>
    <s v="AllPub"/>
    <s v="Inside"/>
    <s v="Gtl"/>
    <x v="14"/>
    <x v="0"/>
    <s v="Norm"/>
    <x v="3"/>
    <x v="4"/>
    <n v="4"/>
    <n v="4"/>
    <x v="16"/>
    <n v="1970"/>
    <s v="Gable"/>
    <s v="CompShg"/>
    <s v="CemntBd"/>
    <s v="CmentBd"/>
    <s v="None"/>
    <n v="0"/>
    <s v="TA"/>
    <s v="TA"/>
    <s v="CBlock"/>
    <s v="Gd"/>
    <s v="TA"/>
    <s v="Av"/>
    <s v="GLQ"/>
    <n v="509"/>
    <s v="Unf"/>
    <n v="0"/>
    <n v="121"/>
    <n v="630"/>
    <s v="GasA"/>
    <s v="TA"/>
    <s v="Y"/>
    <s v="SBrkr"/>
    <n v="630"/>
    <n v="0"/>
    <n v="0"/>
    <x v="353"/>
    <n v="1"/>
    <n v="0"/>
    <n v="1"/>
    <n v="0"/>
    <n v="1"/>
    <n v="1"/>
    <s v="TA"/>
    <n v="3"/>
    <s v="Typ"/>
    <n v="0"/>
    <s v="NA"/>
    <s v="Attchd"/>
    <n v="1970"/>
    <s v="Unf"/>
    <n v="1"/>
    <n v="286"/>
    <s v="TA"/>
    <s v="TA"/>
    <s v="Y"/>
    <n v="0"/>
    <n v="0"/>
    <n v="0"/>
    <n v="0"/>
    <n v="0"/>
    <n v="0"/>
    <s v="NA"/>
    <s v="NA"/>
    <s v="NA"/>
    <n v="0"/>
    <n v="4"/>
    <n v="2009"/>
    <s v="WD"/>
    <s v="Normal"/>
    <n v="80000"/>
  </r>
  <r>
    <n v="1041"/>
    <n v="20"/>
    <s v="RL"/>
    <n v="88"/>
    <n v="13125"/>
    <s v="Pave"/>
    <s v="NA"/>
    <s v="Reg"/>
    <s v="Lvl"/>
    <s v="AllPub"/>
    <s v="Corner"/>
    <s v="Gtl"/>
    <x v="9"/>
    <x v="0"/>
    <s v="Norm"/>
    <x v="0"/>
    <x v="1"/>
    <n v="5"/>
    <n v="4"/>
    <x v="24"/>
    <n v="2000"/>
    <s v="Gable"/>
    <s v="CompShg"/>
    <s v="Wd Sdng"/>
    <s v="Wd Sdng"/>
    <s v="BrkCmn"/>
    <n v="67"/>
    <s v="TA"/>
    <s v="TA"/>
    <s v="CBlock"/>
    <s v="TA"/>
    <s v="TA"/>
    <s v="No"/>
    <s v="Rec"/>
    <n v="168"/>
    <s v="BLQ"/>
    <n v="682"/>
    <n v="284"/>
    <n v="1134"/>
    <s v="GasA"/>
    <s v="Ex"/>
    <s v="Y"/>
    <s v="SBrkr"/>
    <n v="1803"/>
    <n v="0"/>
    <n v="0"/>
    <x v="691"/>
    <n v="1"/>
    <n v="0"/>
    <n v="2"/>
    <n v="0"/>
    <n v="3"/>
    <n v="1"/>
    <s v="TA"/>
    <n v="8"/>
    <s v="Maj1"/>
    <n v="1"/>
    <s v="TA"/>
    <s v="Attchd"/>
    <n v="1957"/>
    <s v="RFn"/>
    <n v="2"/>
    <n v="484"/>
    <s v="TA"/>
    <s v="TA"/>
    <s v="Y"/>
    <n v="0"/>
    <n v="0"/>
    <n v="0"/>
    <n v="0"/>
    <n v="0"/>
    <n v="0"/>
    <s v="NA"/>
    <s v="GdPrv"/>
    <s v="NA"/>
    <n v="0"/>
    <n v="1"/>
    <n v="2006"/>
    <s v="WD"/>
    <s v="Normal"/>
    <n v="155000"/>
  </r>
  <r>
    <n v="1042"/>
    <n v="60"/>
    <s v="RL"/>
    <s v="NA"/>
    <n v="9130"/>
    <s v="Pave"/>
    <s v="NA"/>
    <s v="Reg"/>
    <s v="Lvl"/>
    <s v="AllPub"/>
    <s v="Inside"/>
    <s v="Gtl"/>
    <x v="6"/>
    <x v="1"/>
    <s v="Norm"/>
    <x v="0"/>
    <x v="0"/>
    <n v="6"/>
    <n v="8"/>
    <x v="27"/>
    <n v="2000"/>
    <s v="Hip"/>
    <s v="CompShg"/>
    <s v="HdBoard"/>
    <s v="HdBoard"/>
    <s v="BrkFace"/>
    <n v="252"/>
    <s v="TA"/>
    <s v="TA"/>
    <s v="CBlock"/>
    <s v="TA"/>
    <s v="TA"/>
    <s v="No"/>
    <s v="GLQ"/>
    <n v="400"/>
    <s v="Rec"/>
    <n v="64"/>
    <n v="336"/>
    <n v="800"/>
    <s v="GasA"/>
    <s v="Gd"/>
    <s v="Y"/>
    <s v="SBrkr"/>
    <n v="800"/>
    <n v="832"/>
    <n v="0"/>
    <x v="235"/>
    <n v="0"/>
    <n v="1"/>
    <n v="1"/>
    <n v="1"/>
    <n v="4"/>
    <n v="1"/>
    <s v="Gd"/>
    <n v="7"/>
    <s v="Typ"/>
    <n v="0"/>
    <s v="NA"/>
    <s v="Attchd"/>
    <n v="1966"/>
    <s v="Unf"/>
    <n v="2"/>
    <n v="484"/>
    <s v="TA"/>
    <s v="TA"/>
    <s v="Y"/>
    <n v="0"/>
    <n v="40"/>
    <n v="0"/>
    <n v="0"/>
    <n v="0"/>
    <n v="0"/>
    <s v="NA"/>
    <s v="NA"/>
    <s v="NA"/>
    <n v="0"/>
    <n v="7"/>
    <n v="2008"/>
    <s v="WD"/>
    <s v="Normal"/>
    <n v="173000"/>
  </r>
  <r>
    <n v="1043"/>
    <n v="120"/>
    <s v="RL"/>
    <n v="34"/>
    <n v="5381"/>
    <s v="Pave"/>
    <s v="NA"/>
    <s v="IR1"/>
    <s v="Lvl"/>
    <s v="AllPub"/>
    <s v="Inside"/>
    <s v="Gtl"/>
    <x v="10"/>
    <x v="0"/>
    <s v="Norm"/>
    <x v="4"/>
    <x v="1"/>
    <n v="6"/>
    <n v="5"/>
    <x v="11"/>
    <n v="2005"/>
    <s v="Gable"/>
    <s v="CompShg"/>
    <s v="VinylSd"/>
    <s v="VinylSd"/>
    <s v="Stone"/>
    <n v="135"/>
    <s v="Gd"/>
    <s v="TA"/>
    <s v="PConc"/>
    <s v="Gd"/>
    <s v="TA"/>
    <s v="Av"/>
    <s v="ALQ"/>
    <n v="900"/>
    <s v="Unf"/>
    <n v="0"/>
    <n v="406"/>
    <n v="1306"/>
    <s v="GasA"/>
    <s v="Ex"/>
    <s v="Y"/>
    <s v="SBrkr"/>
    <n v="1306"/>
    <n v="0"/>
    <n v="0"/>
    <x v="218"/>
    <n v="1"/>
    <n v="0"/>
    <n v="2"/>
    <n v="0"/>
    <n v="1"/>
    <n v="1"/>
    <s v="Gd"/>
    <n v="5"/>
    <s v="Typ"/>
    <n v="1"/>
    <s v="Gd"/>
    <s v="Attchd"/>
    <n v="2005"/>
    <s v="RFn"/>
    <n v="2"/>
    <n v="624"/>
    <s v="TA"/>
    <s v="TA"/>
    <s v="Y"/>
    <n v="170"/>
    <n v="63"/>
    <n v="0"/>
    <n v="0"/>
    <n v="0"/>
    <n v="0"/>
    <s v="NA"/>
    <s v="NA"/>
    <s v="NA"/>
    <n v="0"/>
    <n v="8"/>
    <n v="2009"/>
    <s v="WD"/>
    <s v="Normal"/>
    <n v="196000"/>
  </r>
  <r>
    <n v="1044"/>
    <n v="60"/>
    <s v="RL"/>
    <n v="86"/>
    <n v="11839"/>
    <s v="Pave"/>
    <s v="NA"/>
    <s v="Reg"/>
    <s v="Lvl"/>
    <s v="AllPub"/>
    <s v="Inside"/>
    <s v="Gtl"/>
    <x v="12"/>
    <x v="0"/>
    <s v="Norm"/>
    <x v="0"/>
    <x v="0"/>
    <n v="7"/>
    <n v="5"/>
    <x v="59"/>
    <n v="1990"/>
    <s v="Hip"/>
    <s v="CompShg"/>
    <s v="HdBoard"/>
    <s v="HdBoard"/>
    <s v="BrkFace"/>
    <n v="99"/>
    <s v="TA"/>
    <s v="TA"/>
    <s v="PConc"/>
    <s v="Gd"/>
    <s v="TA"/>
    <s v="No"/>
    <s v="GLQ"/>
    <n v="1085"/>
    <s v="Unf"/>
    <n v="0"/>
    <n v="390"/>
    <n v="1475"/>
    <s v="GasA"/>
    <s v="Ex"/>
    <s v="Y"/>
    <s v="SBrkr"/>
    <n v="1532"/>
    <n v="797"/>
    <n v="0"/>
    <x v="692"/>
    <n v="1"/>
    <n v="0"/>
    <n v="2"/>
    <n v="1"/>
    <n v="4"/>
    <n v="1"/>
    <s v="Gd"/>
    <n v="10"/>
    <s v="Typ"/>
    <n v="1"/>
    <s v="Ex"/>
    <s v="Attchd"/>
    <n v="1990"/>
    <s v="Unf"/>
    <n v="2"/>
    <n v="514"/>
    <s v="TA"/>
    <s v="TA"/>
    <s v="Y"/>
    <n v="192"/>
    <n v="121"/>
    <n v="0"/>
    <n v="0"/>
    <n v="0"/>
    <n v="0"/>
    <s v="NA"/>
    <s v="NA"/>
    <s v="NA"/>
    <n v="0"/>
    <n v="5"/>
    <n v="2008"/>
    <s v="WD"/>
    <s v="Normal"/>
    <n v="262280"/>
  </r>
  <r>
    <n v="1045"/>
    <n v="20"/>
    <s v="RL"/>
    <n v="80"/>
    <n v="9600"/>
    <s v="Pave"/>
    <s v="NA"/>
    <s v="Reg"/>
    <s v="Lvl"/>
    <s v="AllPub"/>
    <s v="Inside"/>
    <s v="Gtl"/>
    <x v="6"/>
    <x v="2"/>
    <s v="Norm"/>
    <x v="0"/>
    <x v="1"/>
    <n v="8"/>
    <n v="5"/>
    <x v="38"/>
    <n v="1981"/>
    <s v="Hip"/>
    <s v="WdShngl"/>
    <s v="BrkFace"/>
    <s v="BrkFace"/>
    <s v="None"/>
    <n v="0"/>
    <s v="Gd"/>
    <s v="TA"/>
    <s v="PConc"/>
    <s v="Gd"/>
    <s v="TA"/>
    <s v="No"/>
    <s v="ALQ"/>
    <n v="1104"/>
    <s v="Unf"/>
    <n v="0"/>
    <n v="1420"/>
    <n v="2524"/>
    <s v="GasA"/>
    <s v="TA"/>
    <s v="Y"/>
    <s v="SBrkr"/>
    <n v="2524"/>
    <n v="0"/>
    <n v="0"/>
    <x v="693"/>
    <n v="1"/>
    <n v="0"/>
    <n v="2"/>
    <n v="1"/>
    <n v="4"/>
    <n v="1"/>
    <s v="Gd"/>
    <n v="9"/>
    <s v="Typ"/>
    <n v="1"/>
    <s v="Gd"/>
    <s v="Attchd"/>
    <n v="1981"/>
    <s v="Fin"/>
    <n v="2"/>
    <n v="542"/>
    <s v="TA"/>
    <s v="TA"/>
    <s v="Y"/>
    <n v="474"/>
    <n v="120"/>
    <n v="0"/>
    <n v="0"/>
    <n v="0"/>
    <n v="0"/>
    <s v="NA"/>
    <s v="MnPrv"/>
    <s v="NA"/>
    <n v="0"/>
    <n v="7"/>
    <n v="2009"/>
    <s v="WD"/>
    <s v="Normal"/>
    <n v="278000"/>
  </r>
  <r>
    <n v="1046"/>
    <n v="20"/>
    <s v="RL"/>
    <s v="NA"/>
    <n v="13680"/>
    <s v="Pave"/>
    <s v="NA"/>
    <s v="IR1"/>
    <s v="Lvl"/>
    <s v="AllPub"/>
    <s v="CulDSac"/>
    <s v="Gtl"/>
    <x v="15"/>
    <x v="0"/>
    <s v="Norm"/>
    <x v="0"/>
    <x v="1"/>
    <n v="3"/>
    <n v="5"/>
    <x v="32"/>
    <n v="1955"/>
    <s v="Hip"/>
    <s v="CompShg"/>
    <s v="BrkFace"/>
    <s v="Wd Sdng"/>
    <s v="None"/>
    <n v="0"/>
    <s v="TA"/>
    <s v="TA"/>
    <s v="Slab"/>
    <s v="NA"/>
    <s v="NA"/>
    <s v="NA"/>
    <s v="NA"/>
    <n v="0"/>
    <s v="NA"/>
    <n v="0"/>
    <n v="0"/>
    <n v="0"/>
    <s v="GasA"/>
    <s v="Ex"/>
    <s v="Y"/>
    <s v="FuseA"/>
    <n v="1733"/>
    <n v="0"/>
    <n v="0"/>
    <x v="591"/>
    <n v="0"/>
    <n v="0"/>
    <n v="2"/>
    <n v="0"/>
    <n v="4"/>
    <n v="1"/>
    <s v="TA"/>
    <n v="8"/>
    <s v="Min2"/>
    <n v="1"/>
    <s v="Gd"/>
    <s v="Attchd"/>
    <n v="1955"/>
    <s v="Unf"/>
    <n v="2"/>
    <n v="452"/>
    <s v="TA"/>
    <s v="TA"/>
    <s v="Y"/>
    <n v="0"/>
    <n v="0"/>
    <n v="0"/>
    <n v="0"/>
    <n v="0"/>
    <n v="0"/>
    <s v="NA"/>
    <s v="NA"/>
    <s v="NA"/>
    <n v="0"/>
    <n v="6"/>
    <n v="2009"/>
    <s v="WD"/>
    <s v="Normal"/>
    <n v="139600"/>
  </r>
  <r>
    <n v="1047"/>
    <n v="60"/>
    <s v="RL"/>
    <n v="85"/>
    <n v="16056"/>
    <s v="Pave"/>
    <s v="NA"/>
    <s v="IR1"/>
    <s v="Lvl"/>
    <s v="AllPub"/>
    <s v="Inside"/>
    <s v="Gtl"/>
    <x v="18"/>
    <x v="0"/>
    <s v="Norm"/>
    <x v="0"/>
    <x v="0"/>
    <n v="9"/>
    <n v="5"/>
    <x v="11"/>
    <n v="2006"/>
    <s v="Hip"/>
    <s v="CompShg"/>
    <s v="CemntBd"/>
    <s v="CmentBd"/>
    <s v="Stone"/>
    <n v="208"/>
    <s v="Gd"/>
    <s v="TA"/>
    <s v="PConc"/>
    <s v="Ex"/>
    <s v="TA"/>
    <s v="Av"/>
    <s v="GLQ"/>
    <n v="240"/>
    <s v="Unf"/>
    <n v="0"/>
    <n v="1752"/>
    <n v="1992"/>
    <s v="GasA"/>
    <s v="Ex"/>
    <s v="Y"/>
    <s v="SBrkr"/>
    <n v="1992"/>
    <n v="876"/>
    <n v="0"/>
    <x v="694"/>
    <n v="0"/>
    <n v="0"/>
    <n v="3"/>
    <n v="1"/>
    <n v="4"/>
    <n v="1"/>
    <s v="Ex"/>
    <n v="11"/>
    <s v="Typ"/>
    <n v="1"/>
    <s v="Gd"/>
    <s v="BuiltIn"/>
    <n v="2005"/>
    <s v="Fin"/>
    <n v="3"/>
    <n v="716"/>
    <s v="TA"/>
    <s v="TA"/>
    <s v="Y"/>
    <n v="214"/>
    <n v="108"/>
    <n v="0"/>
    <n v="0"/>
    <n v="0"/>
    <n v="0"/>
    <s v="NA"/>
    <s v="NA"/>
    <s v="NA"/>
    <n v="0"/>
    <n v="7"/>
    <n v="2006"/>
    <s v="New"/>
    <s v="Partial"/>
    <n v="556581"/>
  </r>
  <r>
    <n v="1048"/>
    <n v="20"/>
    <s v="RL"/>
    <n v="57"/>
    <n v="9245"/>
    <s v="Pave"/>
    <s v="NA"/>
    <s v="IR2"/>
    <s v="Lvl"/>
    <s v="AllPub"/>
    <s v="Inside"/>
    <s v="Gtl"/>
    <x v="0"/>
    <x v="0"/>
    <s v="Norm"/>
    <x v="0"/>
    <x v="1"/>
    <n v="5"/>
    <n v="5"/>
    <x v="29"/>
    <n v="1995"/>
    <s v="Gable"/>
    <s v="CompShg"/>
    <s v="VinylSd"/>
    <s v="VinylSd"/>
    <s v="None"/>
    <n v="0"/>
    <s v="TA"/>
    <s v="TA"/>
    <s v="PConc"/>
    <s v="Gd"/>
    <s v="TA"/>
    <s v="No"/>
    <s v="GLQ"/>
    <n v="686"/>
    <s v="Unf"/>
    <n v="0"/>
    <n v="304"/>
    <n v="990"/>
    <s v="GasA"/>
    <s v="Ex"/>
    <s v="Y"/>
    <s v="SBrkr"/>
    <n v="990"/>
    <n v="0"/>
    <n v="0"/>
    <x v="86"/>
    <n v="0"/>
    <n v="1"/>
    <n v="1"/>
    <n v="0"/>
    <n v="3"/>
    <n v="1"/>
    <s v="TA"/>
    <n v="5"/>
    <s v="Typ"/>
    <n v="0"/>
    <s v="NA"/>
    <s v="Detchd"/>
    <n v="1996"/>
    <s v="Unf"/>
    <n v="2"/>
    <n v="672"/>
    <s v="TA"/>
    <s v="TA"/>
    <s v="Y"/>
    <n v="0"/>
    <n v="0"/>
    <n v="0"/>
    <n v="0"/>
    <n v="0"/>
    <n v="0"/>
    <s v="NA"/>
    <s v="NA"/>
    <s v="NA"/>
    <n v="0"/>
    <n v="2"/>
    <n v="2008"/>
    <s v="WD"/>
    <s v="Normal"/>
    <n v="145000"/>
  </r>
  <r>
    <n v="1049"/>
    <n v="20"/>
    <s v="RL"/>
    <n v="100"/>
    <n v="21750"/>
    <s v="Pave"/>
    <s v="NA"/>
    <s v="Reg"/>
    <s v="Lvl"/>
    <s v="AllPub"/>
    <s v="Inside"/>
    <s v="Gtl"/>
    <x v="4"/>
    <x v="0"/>
    <s v="Norm"/>
    <x v="0"/>
    <x v="1"/>
    <n v="5"/>
    <n v="4"/>
    <x v="14"/>
    <n v="2006"/>
    <s v="Hip"/>
    <s v="CompShg"/>
    <s v="HdBoard"/>
    <s v="HdBoard"/>
    <s v="BrkFace"/>
    <n v="75"/>
    <s v="TA"/>
    <s v="Fa"/>
    <s v="Slab"/>
    <s v="NA"/>
    <s v="NA"/>
    <s v="NA"/>
    <s v="NA"/>
    <n v="0"/>
    <s v="NA"/>
    <n v="0"/>
    <n v="0"/>
    <n v="0"/>
    <s v="GasA"/>
    <s v="TA"/>
    <s v="Y"/>
    <s v="SBrkr"/>
    <n v="1771"/>
    <n v="0"/>
    <n v="0"/>
    <x v="695"/>
    <n v="0"/>
    <n v="0"/>
    <n v="1"/>
    <n v="0"/>
    <n v="3"/>
    <n v="1"/>
    <s v="TA"/>
    <n v="9"/>
    <s v="Min1"/>
    <n v="1"/>
    <s v="TA"/>
    <s v="Attchd"/>
    <n v="1960"/>
    <s v="Unf"/>
    <n v="2"/>
    <n v="336"/>
    <s v="TA"/>
    <s v="TA"/>
    <s v="Y"/>
    <n v="0"/>
    <n v="0"/>
    <n v="0"/>
    <n v="0"/>
    <n v="0"/>
    <n v="0"/>
    <s v="NA"/>
    <s v="GdPrv"/>
    <s v="NA"/>
    <n v="0"/>
    <n v="11"/>
    <n v="2009"/>
    <s v="WD"/>
    <s v="Normal"/>
    <n v="115000"/>
  </r>
  <r>
    <n v="1050"/>
    <n v="20"/>
    <s v="RL"/>
    <n v="60"/>
    <n v="11100"/>
    <s v="Pave"/>
    <s v="NA"/>
    <s v="Reg"/>
    <s v="Low"/>
    <s v="AllPub"/>
    <s v="Inside"/>
    <s v="Gtl"/>
    <x v="15"/>
    <x v="0"/>
    <s v="Norm"/>
    <x v="0"/>
    <x v="1"/>
    <n v="4"/>
    <n v="7"/>
    <x v="94"/>
    <n v="2006"/>
    <s v="Gable"/>
    <s v="CompShg"/>
    <s v="MetalSd"/>
    <s v="MetalSd"/>
    <s v="None"/>
    <n v="0"/>
    <s v="TA"/>
    <s v="TA"/>
    <s v="CBlock"/>
    <s v="NA"/>
    <s v="NA"/>
    <s v="NA"/>
    <s v="NA"/>
    <n v="0"/>
    <s v="NA"/>
    <n v="0"/>
    <n v="0"/>
    <n v="0"/>
    <s v="GasA"/>
    <s v="Ex"/>
    <s v="Y"/>
    <s v="SBrkr"/>
    <n v="930"/>
    <n v="0"/>
    <n v="0"/>
    <x v="696"/>
    <n v="0"/>
    <n v="0"/>
    <n v="1"/>
    <n v="0"/>
    <n v="2"/>
    <n v="1"/>
    <s v="Gd"/>
    <n v="6"/>
    <s v="Typ"/>
    <n v="0"/>
    <s v="NA"/>
    <s v="Detchd"/>
    <n v="1946"/>
    <s v="Unf"/>
    <n v="1"/>
    <n v="308"/>
    <s v="TA"/>
    <s v="TA"/>
    <s v="Y"/>
    <n v="0"/>
    <n v="0"/>
    <n v="0"/>
    <n v="0"/>
    <n v="0"/>
    <n v="0"/>
    <s v="NA"/>
    <s v="NA"/>
    <s v="NA"/>
    <n v="0"/>
    <n v="4"/>
    <n v="2010"/>
    <s v="WD"/>
    <s v="Abnorml"/>
    <n v="84900"/>
  </r>
  <r>
    <n v="1051"/>
    <n v="20"/>
    <s v="RL"/>
    <n v="73"/>
    <n v="8993"/>
    <s v="Pave"/>
    <s v="NA"/>
    <s v="IR1"/>
    <s v="Lvl"/>
    <s v="AllPub"/>
    <s v="Inside"/>
    <s v="Gtl"/>
    <x v="17"/>
    <x v="0"/>
    <s v="Norm"/>
    <x v="0"/>
    <x v="1"/>
    <n v="7"/>
    <n v="5"/>
    <x v="22"/>
    <n v="2007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302"/>
    <n v="1302"/>
    <s v="GasA"/>
    <s v="Ex"/>
    <s v="Y"/>
    <s v="SBrkr"/>
    <n v="1302"/>
    <n v="0"/>
    <n v="0"/>
    <x v="198"/>
    <n v="0"/>
    <n v="0"/>
    <n v="2"/>
    <n v="0"/>
    <n v="3"/>
    <n v="1"/>
    <s v="Gd"/>
    <n v="6"/>
    <s v="Typ"/>
    <n v="0"/>
    <s v="NA"/>
    <s v="Attchd"/>
    <n v="2007"/>
    <s v="Fin"/>
    <n v="2"/>
    <n v="436"/>
    <s v="TA"/>
    <s v="TA"/>
    <s v="Y"/>
    <n v="0"/>
    <n v="22"/>
    <n v="0"/>
    <n v="0"/>
    <n v="0"/>
    <n v="0"/>
    <s v="NA"/>
    <s v="NA"/>
    <s v="NA"/>
    <n v="0"/>
    <n v="8"/>
    <n v="2007"/>
    <s v="New"/>
    <s v="Partial"/>
    <n v="176485"/>
  </r>
  <r>
    <n v="1052"/>
    <n v="20"/>
    <s v="RL"/>
    <n v="103"/>
    <n v="11175"/>
    <s v="Pave"/>
    <s v="NA"/>
    <s v="IR1"/>
    <s v="Lvl"/>
    <s v="AllPub"/>
    <s v="Corner"/>
    <s v="Gtl"/>
    <x v="0"/>
    <x v="0"/>
    <s v="Norm"/>
    <x v="0"/>
    <x v="1"/>
    <n v="7"/>
    <n v="5"/>
    <x v="22"/>
    <n v="2007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316"/>
    <n v="1316"/>
    <s v="GasA"/>
    <s v="Ex"/>
    <s v="Y"/>
    <s v="SBrkr"/>
    <n v="1316"/>
    <n v="0"/>
    <n v="0"/>
    <x v="225"/>
    <n v="0"/>
    <n v="0"/>
    <n v="2"/>
    <n v="0"/>
    <n v="3"/>
    <n v="1"/>
    <s v="Gd"/>
    <n v="6"/>
    <s v="Typ"/>
    <n v="1"/>
    <s v="Gd"/>
    <s v="Attchd"/>
    <n v="2007"/>
    <s v="Fin"/>
    <n v="2"/>
    <n v="440"/>
    <s v="TA"/>
    <s v="TA"/>
    <s v="Y"/>
    <n v="0"/>
    <n v="20"/>
    <n v="0"/>
    <n v="0"/>
    <n v="0"/>
    <n v="0"/>
    <s v="NA"/>
    <s v="NA"/>
    <s v="NA"/>
    <n v="0"/>
    <n v="10"/>
    <n v="2007"/>
    <s v="New"/>
    <s v="Partial"/>
    <n v="200141"/>
  </r>
  <r>
    <n v="1053"/>
    <n v="60"/>
    <s v="RL"/>
    <n v="100"/>
    <n v="9500"/>
    <s v="Pave"/>
    <s v="NA"/>
    <s v="Reg"/>
    <s v="Lvl"/>
    <s v="AllPub"/>
    <s v="Corner"/>
    <s v="Gtl"/>
    <x v="11"/>
    <x v="3"/>
    <s v="Norm"/>
    <x v="0"/>
    <x v="0"/>
    <n v="6"/>
    <n v="6"/>
    <x v="39"/>
    <n v="1978"/>
    <s v="Gable"/>
    <s v="CompShg"/>
    <s v="VinylSd"/>
    <s v="VinylSd"/>
    <s v="BrkCmn"/>
    <n v="272"/>
    <s v="TA"/>
    <s v="TA"/>
    <s v="CBlock"/>
    <s v="TA"/>
    <s v="TA"/>
    <s v="No"/>
    <s v="Rec"/>
    <n v="442"/>
    <s v="Unf"/>
    <n v="0"/>
    <n v="374"/>
    <n v="816"/>
    <s v="GasA"/>
    <s v="TA"/>
    <s v="Y"/>
    <s v="SBrkr"/>
    <n v="1127"/>
    <n v="850"/>
    <n v="0"/>
    <x v="697"/>
    <n v="0"/>
    <n v="1"/>
    <n v="1"/>
    <n v="1"/>
    <n v="4"/>
    <n v="1"/>
    <s v="TA"/>
    <n v="9"/>
    <s v="Typ"/>
    <n v="1"/>
    <s v="TA"/>
    <s v="Attchd"/>
    <n v="1964"/>
    <s v="RFn"/>
    <n v="2"/>
    <n v="540"/>
    <s v="TA"/>
    <s v="TA"/>
    <s v="Y"/>
    <n v="0"/>
    <n v="52"/>
    <n v="0"/>
    <n v="0"/>
    <n v="0"/>
    <n v="0"/>
    <s v="NA"/>
    <s v="GdPrv"/>
    <s v="NA"/>
    <n v="0"/>
    <n v="6"/>
    <n v="2007"/>
    <s v="WD"/>
    <s v="Normal"/>
    <n v="165000"/>
  </r>
  <r>
    <n v="1054"/>
    <n v="20"/>
    <s v="RL"/>
    <n v="68"/>
    <n v="8562"/>
    <s v="Pave"/>
    <s v="NA"/>
    <s v="Reg"/>
    <s v="Lvl"/>
    <s v="AllPub"/>
    <s v="Inside"/>
    <s v="Mod"/>
    <x v="15"/>
    <x v="0"/>
    <s v="Norm"/>
    <x v="0"/>
    <x v="1"/>
    <n v="5"/>
    <n v="6"/>
    <x v="24"/>
    <n v="2002"/>
    <s v="Hip"/>
    <s v="CompShg"/>
    <s v="HdBoard"/>
    <s v="HdBoard"/>
    <s v="Stone"/>
    <n v="145"/>
    <s v="TA"/>
    <s v="TA"/>
    <s v="CBlock"/>
    <s v="TA"/>
    <s v="TA"/>
    <s v="Av"/>
    <s v="Rec"/>
    <n v="383"/>
    <s v="Unf"/>
    <n v="0"/>
    <n v="833"/>
    <n v="1216"/>
    <s v="GasA"/>
    <s v="Ex"/>
    <s v="Y"/>
    <s v="FuseA"/>
    <n v="1526"/>
    <n v="0"/>
    <n v="0"/>
    <x v="85"/>
    <n v="0"/>
    <n v="0"/>
    <n v="1"/>
    <n v="0"/>
    <n v="4"/>
    <n v="1"/>
    <s v="TA"/>
    <n v="7"/>
    <s v="Min2"/>
    <n v="1"/>
    <s v="Gd"/>
    <s v="Basment"/>
    <n v="1957"/>
    <s v="Unf"/>
    <n v="1"/>
    <n v="364"/>
    <s v="TA"/>
    <s v="TA"/>
    <s v="Y"/>
    <n v="116"/>
    <n v="78"/>
    <n v="0"/>
    <n v="0"/>
    <n v="0"/>
    <n v="0"/>
    <s v="NA"/>
    <s v="NA"/>
    <s v="NA"/>
    <n v="0"/>
    <n v="5"/>
    <n v="2010"/>
    <s v="WD"/>
    <s v="Normal"/>
    <n v="144500"/>
  </r>
  <r>
    <n v="1055"/>
    <n v="60"/>
    <s v="RL"/>
    <n v="90"/>
    <n v="11367"/>
    <s v="Pave"/>
    <s v="NA"/>
    <s v="Reg"/>
    <s v="Lvl"/>
    <s v="AllPub"/>
    <s v="Corner"/>
    <s v="Gtl"/>
    <x v="0"/>
    <x v="0"/>
    <s v="Norm"/>
    <x v="0"/>
    <x v="0"/>
    <n v="8"/>
    <n v="5"/>
    <x v="20"/>
    <n v="2002"/>
    <s v="Gable"/>
    <s v="CompShg"/>
    <s v="VinylSd"/>
    <s v="VinylSd"/>
    <s v="BrkFace"/>
    <n v="210"/>
    <s v="Gd"/>
    <s v="TA"/>
    <s v="PConc"/>
    <s v="Gd"/>
    <s v="TA"/>
    <s v="Mn"/>
    <s v="GLQ"/>
    <n v="932"/>
    <s v="Unf"/>
    <n v="0"/>
    <n v="133"/>
    <n v="1065"/>
    <s v="GasA"/>
    <s v="Ex"/>
    <s v="Y"/>
    <s v="SBrkr"/>
    <n v="1091"/>
    <n v="898"/>
    <n v="0"/>
    <x v="698"/>
    <n v="1"/>
    <n v="0"/>
    <n v="2"/>
    <n v="1"/>
    <n v="3"/>
    <n v="1"/>
    <s v="Gd"/>
    <n v="7"/>
    <s v="Typ"/>
    <n v="1"/>
    <s v="Gd"/>
    <s v="Attchd"/>
    <n v="2002"/>
    <s v="Fin"/>
    <n v="2"/>
    <n v="586"/>
    <s v="TA"/>
    <s v="TA"/>
    <s v="Y"/>
    <n v="199"/>
    <n v="60"/>
    <n v="0"/>
    <n v="0"/>
    <n v="0"/>
    <n v="0"/>
    <s v="NA"/>
    <s v="NA"/>
    <s v="NA"/>
    <n v="0"/>
    <n v="11"/>
    <n v="2006"/>
    <s v="WD"/>
    <s v="Normal"/>
    <n v="255000"/>
  </r>
  <r>
    <n v="1056"/>
    <n v="20"/>
    <s v="RL"/>
    <n v="104"/>
    <n v="11361"/>
    <s v="Pave"/>
    <s v="NA"/>
    <s v="Reg"/>
    <s v="Lvl"/>
    <s v="AllPub"/>
    <s v="Inside"/>
    <s v="Gtl"/>
    <x v="6"/>
    <x v="0"/>
    <s v="Norm"/>
    <x v="0"/>
    <x v="1"/>
    <n v="6"/>
    <n v="5"/>
    <x v="1"/>
    <n v="1976"/>
    <s v="Gable"/>
    <s v="CompShg"/>
    <s v="Plywood"/>
    <s v="Plywood"/>
    <s v="BrkFace"/>
    <n v="160"/>
    <s v="TA"/>
    <s v="TA"/>
    <s v="CBlock"/>
    <s v="Gd"/>
    <s v="TA"/>
    <s v="No"/>
    <s v="ALQ"/>
    <n v="644"/>
    <s v="Unf"/>
    <n v="0"/>
    <n v="549"/>
    <n v="1193"/>
    <s v="GasA"/>
    <s v="TA"/>
    <s v="Y"/>
    <s v="SBrkr"/>
    <n v="1523"/>
    <n v="0"/>
    <n v="0"/>
    <x v="699"/>
    <n v="0"/>
    <n v="1"/>
    <n v="2"/>
    <n v="0"/>
    <n v="3"/>
    <n v="1"/>
    <s v="TA"/>
    <n v="7"/>
    <s v="Typ"/>
    <n v="1"/>
    <s v="TA"/>
    <s v="Attchd"/>
    <n v="1976"/>
    <s v="Fin"/>
    <n v="2"/>
    <n v="478"/>
    <s v="TA"/>
    <s v="TA"/>
    <s v="Y"/>
    <n v="0"/>
    <n v="0"/>
    <n v="0"/>
    <n v="0"/>
    <n v="189"/>
    <n v="0"/>
    <s v="NA"/>
    <s v="MnPrv"/>
    <s v="NA"/>
    <n v="0"/>
    <n v="5"/>
    <n v="2008"/>
    <s v="COD"/>
    <s v="Abnorml"/>
    <n v="180000"/>
  </r>
  <r>
    <n v="1057"/>
    <n v="120"/>
    <s v="RL"/>
    <n v="43"/>
    <n v="7052"/>
    <s v="Pave"/>
    <s v="NA"/>
    <s v="IR1"/>
    <s v="Lvl"/>
    <s v="AllPub"/>
    <s v="Inside"/>
    <s v="Gtl"/>
    <x v="10"/>
    <x v="0"/>
    <s v="Norm"/>
    <x v="3"/>
    <x v="1"/>
    <n v="7"/>
    <n v="5"/>
    <x v="11"/>
    <n v="2005"/>
    <s v="Gable"/>
    <s v="CompShg"/>
    <s v="VinylSd"/>
    <s v="VinylSd"/>
    <s v="Stone"/>
    <n v="240"/>
    <s v="Gd"/>
    <s v="TA"/>
    <s v="PConc"/>
    <s v="Gd"/>
    <s v="TA"/>
    <s v="Av"/>
    <s v="GLQ"/>
    <n v="659"/>
    <s v="Unf"/>
    <n v="0"/>
    <n v="705"/>
    <n v="1364"/>
    <s v="GasA"/>
    <s v="Ex"/>
    <s v="Y"/>
    <s v="SBrkr"/>
    <n v="1364"/>
    <n v="0"/>
    <n v="0"/>
    <x v="700"/>
    <n v="1"/>
    <n v="0"/>
    <n v="2"/>
    <n v="0"/>
    <n v="2"/>
    <n v="1"/>
    <s v="Gd"/>
    <n v="6"/>
    <s v="Typ"/>
    <n v="1"/>
    <s v="Gd"/>
    <s v="Attchd"/>
    <n v="2005"/>
    <s v="RFn"/>
    <n v="2"/>
    <n v="484"/>
    <s v="TA"/>
    <s v="TA"/>
    <s v="Y"/>
    <n v="192"/>
    <n v="36"/>
    <n v="0"/>
    <n v="0"/>
    <n v="0"/>
    <n v="0"/>
    <s v="NA"/>
    <s v="NA"/>
    <s v="NA"/>
    <n v="0"/>
    <n v="6"/>
    <n v="2006"/>
    <s v="WD"/>
    <s v="Normal"/>
    <n v="185850"/>
  </r>
  <r>
    <n v="1058"/>
    <n v="60"/>
    <s v="RL"/>
    <s v="NA"/>
    <n v="29959"/>
    <s v="Pave"/>
    <s v="NA"/>
    <s v="IR2"/>
    <s v="Lvl"/>
    <s v="AllPub"/>
    <s v="FR2"/>
    <s v="Gtl"/>
    <x v="3"/>
    <x v="0"/>
    <s v="Norm"/>
    <x v="0"/>
    <x v="0"/>
    <n v="7"/>
    <n v="6"/>
    <x v="29"/>
    <n v="1994"/>
    <s v="Gable"/>
    <s v="CompShg"/>
    <s v="HdBoard"/>
    <s v="HdBoard"/>
    <s v="None"/>
    <n v="0"/>
    <s v="Gd"/>
    <s v="TA"/>
    <s v="PConc"/>
    <s v="Gd"/>
    <s v="TA"/>
    <s v="No"/>
    <s v="GLQ"/>
    <n v="595"/>
    <s v="Unf"/>
    <n v="0"/>
    <n v="378"/>
    <n v="973"/>
    <s v="GasA"/>
    <s v="Ex"/>
    <s v="Y"/>
    <s v="SBrkr"/>
    <n v="979"/>
    <n v="871"/>
    <n v="0"/>
    <x v="386"/>
    <n v="0"/>
    <n v="0"/>
    <n v="2"/>
    <n v="1"/>
    <n v="3"/>
    <n v="1"/>
    <s v="Gd"/>
    <n v="7"/>
    <s v="Typ"/>
    <n v="1"/>
    <s v="Gd"/>
    <s v="BuiltIn"/>
    <n v="1994"/>
    <s v="Fin"/>
    <n v="2"/>
    <n v="467"/>
    <s v="TA"/>
    <s v="TA"/>
    <s v="Y"/>
    <n v="168"/>
    <n v="98"/>
    <n v="0"/>
    <n v="0"/>
    <n v="0"/>
    <n v="0"/>
    <s v="NA"/>
    <s v="NA"/>
    <s v="NA"/>
    <n v="0"/>
    <n v="1"/>
    <n v="2009"/>
    <s v="WD"/>
    <s v="Normal"/>
    <n v="248000"/>
  </r>
  <r>
    <n v="1059"/>
    <n v="60"/>
    <s v="RL"/>
    <n v="96"/>
    <n v="11308"/>
    <s v="Pave"/>
    <s v="NA"/>
    <s v="IR1"/>
    <s v="Lvl"/>
    <s v="AllPub"/>
    <s v="Inside"/>
    <s v="Gtl"/>
    <x v="10"/>
    <x v="0"/>
    <s v="Norm"/>
    <x v="0"/>
    <x v="0"/>
    <n v="9"/>
    <n v="5"/>
    <x v="74"/>
    <n v="2008"/>
    <s v="Gable"/>
    <s v="CompShg"/>
    <s v="VinylSd"/>
    <s v="VinylSd"/>
    <s v="Stone"/>
    <n v="154"/>
    <s v="Ex"/>
    <s v="TA"/>
    <s v="PConc"/>
    <s v="Ex"/>
    <s v="TA"/>
    <s v="Av"/>
    <s v="GLQ"/>
    <n v="936"/>
    <s v="Unf"/>
    <n v="0"/>
    <n v="168"/>
    <n v="1104"/>
    <s v="GasA"/>
    <s v="Ex"/>
    <s v="Y"/>
    <s v="SBrkr"/>
    <n v="1130"/>
    <n v="1054"/>
    <n v="0"/>
    <x v="701"/>
    <n v="1"/>
    <n v="0"/>
    <n v="2"/>
    <n v="1"/>
    <n v="3"/>
    <n v="1"/>
    <s v="Ex"/>
    <n v="10"/>
    <s v="Typ"/>
    <n v="1"/>
    <s v="Gd"/>
    <s v="Attchd"/>
    <n v="2008"/>
    <s v="Fin"/>
    <n v="3"/>
    <n v="836"/>
    <s v="TA"/>
    <s v="TA"/>
    <s v="Y"/>
    <n v="0"/>
    <n v="102"/>
    <n v="0"/>
    <n v="0"/>
    <n v="0"/>
    <n v="0"/>
    <s v="NA"/>
    <s v="NA"/>
    <s v="NA"/>
    <n v="0"/>
    <n v="7"/>
    <n v="2009"/>
    <s v="WD"/>
    <s v="Normal"/>
    <n v="335000"/>
  </r>
  <r>
    <n v="1060"/>
    <n v="50"/>
    <s v="RL"/>
    <s v="NA"/>
    <n v="11275"/>
    <s v="Pave"/>
    <s v="NA"/>
    <s v="IR1"/>
    <s v="HLS"/>
    <s v="AllPub"/>
    <s v="Corner"/>
    <s v="Mod"/>
    <x v="2"/>
    <x v="0"/>
    <s v="Norm"/>
    <x v="0"/>
    <x v="2"/>
    <n v="6"/>
    <n v="7"/>
    <x v="78"/>
    <n v="1950"/>
    <s v="Gable"/>
    <s v="CompShg"/>
    <s v="MetalSd"/>
    <s v="MetalSd"/>
    <s v="BrkFace"/>
    <n v="480"/>
    <s v="TA"/>
    <s v="TA"/>
    <s v="CBlock"/>
    <s v="TA"/>
    <s v="TA"/>
    <s v="Mn"/>
    <s v="Rec"/>
    <n v="297"/>
    <s v="LwQ"/>
    <n v="557"/>
    <n v="0"/>
    <n v="854"/>
    <s v="GasA"/>
    <s v="TA"/>
    <s v="Y"/>
    <s v="SBrkr"/>
    <n v="1096"/>
    <n v="895"/>
    <n v="0"/>
    <x v="702"/>
    <n v="0"/>
    <n v="0"/>
    <n v="1"/>
    <n v="1"/>
    <n v="3"/>
    <n v="1"/>
    <s v="TA"/>
    <n v="7"/>
    <s v="Typ"/>
    <n v="1"/>
    <s v="Gd"/>
    <s v="Detchd"/>
    <n v="1977"/>
    <s v="Unf"/>
    <n v="2"/>
    <n v="432"/>
    <s v="TA"/>
    <s v="Fa"/>
    <s v="Y"/>
    <n v="0"/>
    <n v="0"/>
    <n v="19"/>
    <n v="0"/>
    <n v="0"/>
    <n v="0"/>
    <s v="NA"/>
    <s v="NA"/>
    <s v="NA"/>
    <n v="0"/>
    <n v="3"/>
    <n v="2007"/>
    <s v="WD"/>
    <s v="Normal"/>
    <n v="220000"/>
  </r>
  <r>
    <n v="1061"/>
    <n v="120"/>
    <s v="RL"/>
    <n v="41"/>
    <n v="4920"/>
    <s v="Pave"/>
    <s v="NA"/>
    <s v="Reg"/>
    <s v="Lvl"/>
    <s v="AllPub"/>
    <s v="Inside"/>
    <s v="Gtl"/>
    <x v="18"/>
    <x v="0"/>
    <s v="Norm"/>
    <x v="3"/>
    <x v="1"/>
    <n v="8"/>
    <n v="5"/>
    <x v="2"/>
    <n v="2001"/>
    <s v="Gable"/>
    <s v="CompShg"/>
    <s v="CemntBd"/>
    <s v="CmentBd"/>
    <s v="None"/>
    <n v="0"/>
    <s v="Gd"/>
    <s v="TA"/>
    <s v="PConc"/>
    <s v="Gd"/>
    <s v="TA"/>
    <s v="Mn"/>
    <s v="GLQ"/>
    <n v="616"/>
    <s v="Unf"/>
    <n v="0"/>
    <n v="722"/>
    <n v="1338"/>
    <s v="GasA"/>
    <s v="Ex"/>
    <s v="Y"/>
    <s v="SBrkr"/>
    <n v="1338"/>
    <n v="0"/>
    <n v="0"/>
    <x v="703"/>
    <n v="1"/>
    <n v="0"/>
    <n v="2"/>
    <n v="0"/>
    <n v="2"/>
    <n v="1"/>
    <s v="Gd"/>
    <n v="6"/>
    <s v="Typ"/>
    <n v="0"/>
    <s v="NA"/>
    <s v="Attchd"/>
    <n v="2001"/>
    <s v="Fin"/>
    <n v="2"/>
    <n v="582"/>
    <s v="TA"/>
    <s v="TA"/>
    <s v="Y"/>
    <n v="0"/>
    <n v="0"/>
    <n v="170"/>
    <n v="0"/>
    <n v="0"/>
    <n v="0"/>
    <s v="NA"/>
    <s v="NA"/>
    <s v="NA"/>
    <n v="0"/>
    <n v="4"/>
    <n v="2010"/>
    <s v="WD"/>
    <s v="Normal"/>
    <n v="213500"/>
  </r>
  <r>
    <n v="1062"/>
    <n v="30"/>
    <s v="C (all)"/>
    <n v="120"/>
    <n v="18000"/>
    <s v="Grvl"/>
    <s v="NA"/>
    <s v="Reg"/>
    <s v="Low"/>
    <s v="AllPub"/>
    <s v="Inside"/>
    <s v="Gtl"/>
    <x v="13"/>
    <x v="0"/>
    <s v="Norm"/>
    <x v="0"/>
    <x v="1"/>
    <n v="3"/>
    <n v="4"/>
    <x v="61"/>
    <n v="1950"/>
    <s v="Gable"/>
    <s v="CompShg"/>
    <s v="MetalSd"/>
    <s v="MetalSd"/>
    <s v="None"/>
    <n v="0"/>
    <s v="Fa"/>
    <s v="TA"/>
    <s v="CBlock"/>
    <s v="TA"/>
    <s v="TA"/>
    <s v="No"/>
    <s v="Unf"/>
    <n v="0"/>
    <s v="Unf"/>
    <n v="0"/>
    <n v="894"/>
    <n v="894"/>
    <s v="GasA"/>
    <s v="TA"/>
    <s v="Y"/>
    <s v="SBrkr"/>
    <n v="894"/>
    <n v="0"/>
    <n v="0"/>
    <x v="204"/>
    <n v="0"/>
    <n v="0"/>
    <n v="1"/>
    <n v="0"/>
    <n v="2"/>
    <n v="1"/>
    <s v="TA"/>
    <n v="6"/>
    <s v="Typ"/>
    <n v="0"/>
    <s v="NA"/>
    <s v="Detchd"/>
    <n v="1994"/>
    <s v="RFn"/>
    <n v="3"/>
    <n v="1248"/>
    <s v="TA"/>
    <s v="TA"/>
    <s v="Y"/>
    <n v="0"/>
    <n v="20"/>
    <n v="0"/>
    <n v="0"/>
    <n v="0"/>
    <n v="0"/>
    <s v="NA"/>
    <s v="NA"/>
    <s v="Shed"/>
    <n v="560"/>
    <n v="8"/>
    <n v="2008"/>
    <s v="ConLD"/>
    <s v="Normal"/>
    <n v="81000"/>
  </r>
  <r>
    <n v="1063"/>
    <n v="190"/>
    <s v="RM"/>
    <n v="85"/>
    <n v="13600"/>
    <s v="Pave"/>
    <s v="Grvl"/>
    <s v="Reg"/>
    <s v="Lvl"/>
    <s v="AllPub"/>
    <s v="Inside"/>
    <s v="Gtl"/>
    <x v="7"/>
    <x v="0"/>
    <s v="Norm"/>
    <x v="1"/>
    <x v="0"/>
    <n v="5"/>
    <n v="5"/>
    <x v="83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662"/>
    <n v="662"/>
    <s v="GasA"/>
    <s v="TA"/>
    <s v="N"/>
    <s v="SBrkr"/>
    <n v="1422"/>
    <n v="915"/>
    <n v="0"/>
    <x v="704"/>
    <n v="0"/>
    <n v="0"/>
    <n v="2"/>
    <n v="0"/>
    <n v="5"/>
    <n v="2"/>
    <s v="TA"/>
    <n v="10"/>
    <s v="Min2"/>
    <n v="0"/>
    <s v="NA"/>
    <s v="Detchd"/>
    <n v="1945"/>
    <s v="Unf"/>
    <n v="2"/>
    <n v="560"/>
    <s v="TA"/>
    <s v="TA"/>
    <s v="Y"/>
    <n v="0"/>
    <n v="57"/>
    <n v="0"/>
    <n v="0"/>
    <n v="0"/>
    <n v="0"/>
    <s v="NA"/>
    <s v="NA"/>
    <s v="NA"/>
    <n v="0"/>
    <n v="9"/>
    <n v="2007"/>
    <s v="WD"/>
    <s v="Normal"/>
    <n v="90000"/>
  </r>
  <r>
    <n v="1064"/>
    <n v="30"/>
    <s v="RM"/>
    <n v="50"/>
    <n v="6000"/>
    <s v="Pave"/>
    <s v="NA"/>
    <s v="Reg"/>
    <s v="Lvl"/>
    <s v="AllPub"/>
    <s v="Inside"/>
    <s v="Gtl"/>
    <x v="7"/>
    <x v="3"/>
    <s v="Norm"/>
    <x v="0"/>
    <x v="1"/>
    <n v="6"/>
    <n v="6"/>
    <x v="82"/>
    <n v="1980"/>
    <s v="Gable"/>
    <s v="CompShg"/>
    <s v="MetalSd"/>
    <s v="MetalSd"/>
    <s v="None"/>
    <n v="0"/>
    <s v="TA"/>
    <s v="Gd"/>
    <s v="BrkTil"/>
    <s v="TA"/>
    <s v="TA"/>
    <s v="No"/>
    <s v="BLQ"/>
    <n v="397"/>
    <s v="Unf"/>
    <n v="0"/>
    <n v="706"/>
    <n v="1103"/>
    <s v="GasA"/>
    <s v="Gd"/>
    <s v="Y"/>
    <s v="SBrkr"/>
    <n v="1103"/>
    <n v="0"/>
    <n v="0"/>
    <x v="705"/>
    <n v="0"/>
    <n v="0"/>
    <n v="1"/>
    <n v="0"/>
    <n v="2"/>
    <n v="1"/>
    <s v="Gd"/>
    <n v="5"/>
    <s v="Typ"/>
    <n v="1"/>
    <s v="Gd"/>
    <s v="Detchd"/>
    <n v="1976"/>
    <s v="Unf"/>
    <n v="2"/>
    <n v="440"/>
    <s v="TA"/>
    <s v="TA"/>
    <s v="Y"/>
    <n v="166"/>
    <n v="120"/>
    <n v="0"/>
    <n v="0"/>
    <n v="0"/>
    <n v="0"/>
    <s v="NA"/>
    <s v="MnPrv"/>
    <s v="NA"/>
    <n v="0"/>
    <n v="7"/>
    <n v="2006"/>
    <s v="WD"/>
    <s v="Normal"/>
    <n v="110500"/>
  </r>
  <r>
    <n v="1065"/>
    <n v="20"/>
    <s v="RL"/>
    <s v="NA"/>
    <n v="11000"/>
    <s v="Pave"/>
    <s v="NA"/>
    <s v="IR1"/>
    <s v="Lvl"/>
    <s v="AllPub"/>
    <s v="CulDSac"/>
    <s v="Gtl"/>
    <x v="11"/>
    <x v="0"/>
    <s v="Norm"/>
    <x v="0"/>
    <x v="1"/>
    <n v="5"/>
    <n v="6"/>
    <x v="27"/>
    <n v="1966"/>
    <s v="Gable"/>
    <s v="CompShg"/>
    <s v="Plywood"/>
    <s v="Plywood"/>
    <s v="BrkFace"/>
    <n v="200"/>
    <s v="TA"/>
    <s v="TA"/>
    <s v="CBlock"/>
    <s v="TA"/>
    <s v="TA"/>
    <s v="Mn"/>
    <s v="BLQ"/>
    <n v="740"/>
    <s v="Rec"/>
    <n v="230"/>
    <n v="184"/>
    <n v="1154"/>
    <s v="GasA"/>
    <s v="Ex"/>
    <s v="Y"/>
    <s v="SBrkr"/>
    <n v="1154"/>
    <n v="0"/>
    <n v="0"/>
    <x v="706"/>
    <n v="0"/>
    <n v="0"/>
    <n v="1"/>
    <n v="1"/>
    <n v="3"/>
    <n v="1"/>
    <s v="TA"/>
    <n v="6"/>
    <s v="Typ"/>
    <n v="1"/>
    <s v="Po"/>
    <s v="Attchd"/>
    <n v="1966"/>
    <s v="RFn"/>
    <n v="2"/>
    <n v="480"/>
    <s v="TA"/>
    <s v="TA"/>
    <s v="Y"/>
    <n v="0"/>
    <n v="58"/>
    <n v="0"/>
    <n v="0"/>
    <n v="0"/>
    <n v="0"/>
    <s v="NA"/>
    <s v="MnPrv"/>
    <s v="NA"/>
    <n v="0"/>
    <n v="11"/>
    <n v="2009"/>
    <s v="WD"/>
    <s v="Normal"/>
    <n v="154000"/>
  </r>
  <r>
    <n v="1066"/>
    <n v="60"/>
    <s v="RL"/>
    <n v="80"/>
    <n v="14000"/>
    <s v="Pave"/>
    <s v="NA"/>
    <s v="Reg"/>
    <s v="Lvl"/>
    <s v="AllPub"/>
    <s v="Inside"/>
    <s v="Mod"/>
    <x v="19"/>
    <x v="0"/>
    <s v="Norm"/>
    <x v="0"/>
    <x v="0"/>
    <n v="7"/>
    <n v="5"/>
    <x v="92"/>
    <n v="1997"/>
    <s v="Gable"/>
    <s v="CompShg"/>
    <s v="Wd Sdng"/>
    <s v="Wd Sdng"/>
    <s v="None"/>
    <n v="0"/>
    <s v="Gd"/>
    <s v="TA"/>
    <s v="PConc"/>
    <s v="Ex"/>
    <s v="TA"/>
    <s v="Gd"/>
    <s v="GLQ"/>
    <n v="1201"/>
    <s v="Unf"/>
    <n v="0"/>
    <n v="105"/>
    <n v="1306"/>
    <s v="GasA"/>
    <s v="Ex"/>
    <s v="Y"/>
    <s v="SBrkr"/>
    <n v="1306"/>
    <n v="954"/>
    <n v="0"/>
    <x v="707"/>
    <n v="1"/>
    <n v="0"/>
    <n v="2"/>
    <n v="1"/>
    <n v="3"/>
    <n v="1"/>
    <s v="Gd"/>
    <n v="7"/>
    <s v="Typ"/>
    <n v="0"/>
    <s v="NA"/>
    <s v="Attchd"/>
    <n v="1996"/>
    <s v="RFn"/>
    <n v="2"/>
    <n v="533"/>
    <s v="TA"/>
    <s v="TA"/>
    <s v="Y"/>
    <n v="296"/>
    <n v="44"/>
    <n v="0"/>
    <n v="0"/>
    <n v="0"/>
    <n v="0"/>
    <s v="NA"/>
    <s v="NA"/>
    <s v="NA"/>
    <n v="0"/>
    <n v="4"/>
    <n v="2010"/>
    <s v="WD"/>
    <s v="Normal"/>
    <n v="328000"/>
  </r>
  <r>
    <n v="1067"/>
    <n v="60"/>
    <s v="RL"/>
    <n v="59"/>
    <n v="7837"/>
    <s v="Pave"/>
    <s v="NA"/>
    <s v="IR1"/>
    <s v="Lvl"/>
    <s v="AllPub"/>
    <s v="Inside"/>
    <s v="Gtl"/>
    <x v="17"/>
    <x v="0"/>
    <s v="Norm"/>
    <x v="0"/>
    <x v="0"/>
    <n v="6"/>
    <n v="7"/>
    <x v="5"/>
    <n v="199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99"/>
    <n v="799"/>
    <s v="GasA"/>
    <s v="Gd"/>
    <s v="Y"/>
    <s v="SBrkr"/>
    <n v="799"/>
    <n v="772"/>
    <n v="0"/>
    <x v="708"/>
    <n v="0"/>
    <n v="0"/>
    <n v="2"/>
    <n v="1"/>
    <n v="3"/>
    <n v="1"/>
    <s v="TA"/>
    <n v="7"/>
    <s v="Typ"/>
    <n v="1"/>
    <s v="TA"/>
    <s v="Attchd"/>
    <n v="1993"/>
    <s v="RFn"/>
    <n v="2"/>
    <n v="380"/>
    <s v="TA"/>
    <s v="TA"/>
    <s v="Y"/>
    <n v="0"/>
    <n v="40"/>
    <n v="0"/>
    <n v="0"/>
    <n v="0"/>
    <n v="0"/>
    <s v="NA"/>
    <s v="NA"/>
    <s v="NA"/>
    <n v="0"/>
    <n v="5"/>
    <n v="2009"/>
    <s v="WD"/>
    <s v="Normal"/>
    <n v="178000"/>
  </r>
  <r>
    <n v="1068"/>
    <n v="60"/>
    <s v="RL"/>
    <n v="80"/>
    <n v="9760"/>
    <s v="Pave"/>
    <s v="NA"/>
    <s v="Reg"/>
    <s v="Lvl"/>
    <s v="AllPub"/>
    <s v="Inside"/>
    <s v="Mod"/>
    <x v="11"/>
    <x v="0"/>
    <s v="Norm"/>
    <x v="0"/>
    <x v="0"/>
    <n v="6"/>
    <n v="6"/>
    <x v="39"/>
    <n v="1964"/>
    <s v="Gable"/>
    <s v="CompShg"/>
    <s v="HdBoard"/>
    <s v="HdBoard"/>
    <s v="BrkFace"/>
    <n v="360"/>
    <s v="TA"/>
    <s v="TA"/>
    <s v="CBlock"/>
    <s v="TA"/>
    <s v="TA"/>
    <s v="Gd"/>
    <s v="GLQ"/>
    <n v="674"/>
    <s v="LwQ"/>
    <n v="106"/>
    <n v="0"/>
    <n v="780"/>
    <s v="GasA"/>
    <s v="TA"/>
    <s v="Y"/>
    <s v="SBrkr"/>
    <n v="798"/>
    <n v="813"/>
    <n v="0"/>
    <x v="709"/>
    <n v="1"/>
    <n v="0"/>
    <n v="1"/>
    <n v="1"/>
    <n v="4"/>
    <n v="1"/>
    <s v="TA"/>
    <n v="7"/>
    <s v="Typ"/>
    <n v="0"/>
    <s v="NA"/>
    <s v="Attchd"/>
    <n v="1964"/>
    <s v="RFn"/>
    <n v="2"/>
    <n v="442"/>
    <s v="TA"/>
    <s v="TA"/>
    <s v="Y"/>
    <n v="328"/>
    <n v="128"/>
    <n v="0"/>
    <n v="0"/>
    <n v="189"/>
    <n v="0"/>
    <s v="NA"/>
    <s v="NA"/>
    <s v="NA"/>
    <n v="0"/>
    <n v="6"/>
    <n v="2008"/>
    <s v="WD"/>
    <s v="Normal"/>
    <n v="167900"/>
  </r>
  <r>
    <n v="1069"/>
    <n v="160"/>
    <s v="RM"/>
    <n v="42"/>
    <n v="3964"/>
    <s v="Pave"/>
    <s v="NA"/>
    <s v="Reg"/>
    <s v="Lvl"/>
    <s v="AllPub"/>
    <s v="Inside"/>
    <s v="Gtl"/>
    <x v="14"/>
    <x v="0"/>
    <s v="Norm"/>
    <x v="3"/>
    <x v="0"/>
    <n v="6"/>
    <n v="4"/>
    <x v="7"/>
    <n v="1973"/>
    <s v="Gable"/>
    <s v="CompShg"/>
    <s v="CemntBd"/>
    <s v="CmentBd"/>
    <s v="None"/>
    <n v="0"/>
    <s v="TA"/>
    <s v="TA"/>
    <s v="CBlock"/>
    <s v="Gd"/>
    <s v="TA"/>
    <s v="No"/>
    <s v="ALQ"/>
    <n v="837"/>
    <s v="Unf"/>
    <n v="0"/>
    <n v="105"/>
    <n v="942"/>
    <s v="GasA"/>
    <s v="Gd"/>
    <s v="Y"/>
    <s v="SBrkr"/>
    <n v="1291"/>
    <n v="1230"/>
    <n v="0"/>
    <x v="710"/>
    <n v="1"/>
    <n v="0"/>
    <n v="2"/>
    <n v="1"/>
    <n v="5"/>
    <n v="1"/>
    <s v="TA"/>
    <n v="10"/>
    <s v="Maj1"/>
    <n v="1"/>
    <s v="Gd"/>
    <s v="Attchd"/>
    <n v="1973"/>
    <s v="Fin"/>
    <n v="2"/>
    <n v="576"/>
    <s v="TA"/>
    <s v="TA"/>
    <s v="Y"/>
    <n v="728"/>
    <n v="20"/>
    <n v="0"/>
    <n v="0"/>
    <n v="0"/>
    <n v="0"/>
    <s v="NA"/>
    <s v="GdPrv"/>
    <s v="NA"/>
    <n v="0"/>
    <n v="6"/>
    <n v="2006"/>
    <s v="WD"/>
    <s v="Normal"/>
    <n v="151400"/>
  </r>
  <r>
    <n v="1070"/>
    <n v="45"/>
    <s v="RL"/>
    <n v="60"/>
    <n v="9600"/>
    <s v="Pave"/>
    <s v="NA"/>
    <s v="Reg"/>
    <s v="Lvl"/>
    <s v="AllPub"/>
    <s v="Inside"/>
    <s v="Gtl"/>
    <x v="11"/>
    <x v="0"/>
    <s v="Norm"/>
    <x v="0"/>
    <x v="3"/>
    <n v="5"/>
    <n v="7"/>
    <x v="87"/>
    <n v="2003"/>
    <s v="Gable"/>
    <s v="CompShg"/>
    <s v="MetalSd"/>
    <s v="MetalSd"/>
    <s v="None"/>
    <n v="0"/>
    <s v="TA"/>
    <s v="TA"/>
    <s v="CBlock"/>
    <s v="TA"/>
    <s v="TA"/>
    <s v="No"/>
    <s v="ALQ"/>
    <n v="220"/>
    <s v="Unf"/>
    <n v="0"/>
    <n v="625"/>
    <n v="845"/>
    <s v="GasA"/>
    <s v="TA"/>
    <s v="Y"/>
    <s v="SBrkr"/>
    <n v="893"/>
    <n v="0"/>
    <n v="0"/>
    <x v="711"/>
    <n v="0"/>
    <n v="1"/>
    <n v="1"/>
    <n v="0"/>
    <n v="2"/>
    <n v="1"/>
    <s v="Gd"/>
    <n v="4"/>
    <s v="Typ"/>
    <n v="0"/>
    <s v="NA"/>
    <s v="Detchd"/>
    <n v="1985"/>
    <s v="Unf"/>
    <n v="2"/>
    <n v="576"/>
    <s v="TA"/>
    <s v="TA"/>
    <s v="Y"/>
    <n v="0"/>
    <n v="0"/>
    <n v="0"/>
    <n v="0"/>
    <n v="0"/>
    <n v="0"/>
    <s v="NA"/>
    <s v="NA"/>
    <s v="NA"/>
    <n v="0"/>
    <n v="5"/>
    <n v="2007"/>
    <s v="WD"/>
    <s v="Normal"/>
    <n v="135000"/>
  </r>
  <r>
    <n v="1071"/>
    <n v="20"/>
    <s v="RL"/>
    <n v="72"/>
    <n v="10152"/>
    <s v="Pave"/>
    <s v="NA"/>
    <s v="Reg"/>
    <s v="Lvl"/>
    <s v="AllPub"/>
    <s v="Inside"/>
    <s v="Gtl"/>
    <x v="11"/>
    <x v="0"/>
    <s v="Norm"/>
    <x v="0"/>
    <x v="1"/>
    <n v="5"/>
    <n v="5"/>
    <x v="46"/>
    <n v="1956"/>
    <s v="Hip"/>
    <s v="CompShg"/>
    <s v="MetalSd"/>
    <s v="MetalSd"/>
    <s v="BrkFace"/>
    <n v="120"/>
    <s v="TA"/>
    <s v="TA"/>
    <s v="CBlock"/>
    <s v="TA"/>
    <s v="TA"/>
    <s v="No"/>
    <s v="BLQ"/>
    <n v="586"/>
    <s v="Unf"/>
    <n v="0"/>
    <n v="462"/>
    <n v="1048"/>
    <s v="GasA"/>
    <s v="TA"/>
    <s v="Y"/>
    <s v="SBrkr"/>
    <n v="1048"/>
    <n v="0"/>
    <n v="0"/>
    <x v="439"/>
    <n v="1"/>
    <n v="0"/>
    <n v="1"/>
    <n v="0"/>
    <n v="3"/>
    <n v="1"/>
    <s v="TA"/>
    <n v="6"/>
    <s v="Typ"/>
    <n v="0"/>
    <s v="NA"/>
    <s v="Attchd"/>
    <n v="1956"/>
    <s v="Unf"/>
    <n v="1"/>
    <n v="286"/>
    <s v="TA"/>
    <s v="TA"/>
    <s v="Y"/>
    <n v="0"/>
    <n v="20"/>
    <n v="0"/>
    <n v="0"/>
    <n v="192"/>
    <n v="0"/>
    <s v="NA"/>
    <s v="NA"/>
    <s v="NA"/>
    <n v="0"/>
    <n v="6"/>
    <n v="2007"/>
    <s v="WD"/>
    <s v="Normal"/>
    <n v="135000"/>
  </r>
  <r>
    <n v="1072"/>
    <n v="60"/>
    <s v="RL"/>
    <n v="78"/>
    <n v="11700"/>
    <s v="Pave"/>
    <s v="NA"/>
    <s v="Reg"/>
    <s v="Lvl"/>
    <s v="AllPub"/>
    <s v="Inside"/>
    <s v="Gtl"/>
    <x v="6"/>
    <x v="6"/>
    <s v="Norm"/>
    <x v="0"/>
    <x v="0"/>
    <n v="6"/>
    <n v="6"/>
    <x v="21"/>
    <n v="1968"/>
    <s v="Gable"/>
    <s v="CompShg"/>
    <s v="MetalSd"/>
    <s v="MetalSd"/>
    <s v="None"/>
    <n v="0"/>
    <s v="TA"/>
    <s v="TA"/>
    <s v="CBlock"/>
    <s v="TA"/>
    <s v="TA"/>
    <s v="No"/>
    <s v="Rec"/>
    <n v="298"/>
    <s v="Unf"/>
    <n v="0"/>
    <n v="429"/>
    <n v="727"/>
    <s v="GasA"/>
    <s v="Ex"/>
    <s v="Y"/>
    <s v="SBrkr"/>
    <n v="829"/>
    <n v="727"/>
    <n v="0"/>
    <x v="465"/>
    <n v="0"/>
    <n v="0"/>
    <n v="1"/>
    <n v="1"/>
    <n v="4"/>
    <n v="1"/>
    <s v="TA"/>
    <n v="8"/>
    <s v="Typ"/>
    <n v="0"/>
    <s v="NA"/>
    <s v="Attchd"/>
    <n v="1968"/>
    <s v="Unf"/>
    <n v="2"/>
    <n v="441"/>
    <s v="TA"/>
    <s v="TA"/>
    <s v="Y"/>
    <n v="0"/>
    <n v="0"/>
    <n v="0"/>
    <n v="0"/>
    <n v="0"/>
    <n v="0"/>
    <s v="NA"/>
    <s v="NA"/>
    <s v="NA"/>
    <n v="0"/>
    <n v="5"/>
    <n v="2009"/>
    <s v="WD"/>
    <s v="Normal"/>
    <n v="154000"/>
  </r>
  <r>
    <n v="1073"/>
    <n v="50"/>
    <s v="RL"/>
    <n v="50"/>
    <n v="7585"/>
    <s v="Pave"/>
    <s v="NA"/>
    <s v="Reg"/>
    <s v="Lvl"/>
    <s v="AllPub"/>
    <s v="Inside"/>
    <s v="Gtl"/>
    <x v="15"/>
    <x v="3"/>
    <s v="Norm"/>
    <x v="0"/>
    <x v="2"/>
    <n v="5"/>
    <n v="3"/>
    <x v="47"/>
    <n v="1950"/>
    <s v="Gable"/>
    <s v="CompShg"/>
    <s v="MetalSd"/>
    <s v="MetalSd"/>
    <s v="None"/>
    <n v="0"/>
    <s v="TA"/>
    <s v="TA"/>
    <s v="CBlock"/>
    <s v="Fa"/>
    <s v="Fa"/>
    <s v="Mn"/>
    <s v="Unf"/>
    <n v="0"/>
    <s v="Unf"/>
    <n v="0"/>
    <n v="810"/>
    <n v="810"/>
    <s v="GasA"/>
    <s v="Fa"/>
    <s v="Y"/>
    <s v="FuseA"/>
    <n v="1002"/>
    <n v="454"/>
    <n v="0"/>
    <x v="113"/>
    <n v="1"/>
    <n v="1"/>
    <n v="1"/>
    <n v="0"/>
    <n v="4"/>
    <n v="1"/>
    <s v="TA"/>
    <n v="7"/>
    <s v="Typ"/>
    <n v="1"/>
    <s v="TA"/>
    <s v="Detchd"/>
    <n v="1954"/>
    <s v="Unf"/>
    <n v="1"/>
    <n v="280"/>
    <s v="TA"/>
    <s v="TA"/>
    <s v="P"/>
    <n v="0"/>
    <n v="0"/>
    <n v="0"/>
    <n v="0"/>
    <n v="0"/>
    <n v="0"/>
    <s v="NA"/>
    <s v="NA"/>
    <s v="NA"/>
    <n v="0"/>
    <n v="8"/>
    <n v="2006"/>
    <s v="WD"/>
    <s v="Normal"/>
    <n v="91500"/>
  </r>
  <r>
    <n v="1074"/>
    <n v="60"/>
    <s v="RL"/>
    <n v="75"/>
    <n v="7950"/>
    <s v="Pave"/>
    <s v="NA"/>
    <s v="IR1"/>
    <s v="Bnk"/>
    <s v="AllPub"/>
    <s v="Corner"/>
    <s v="Gtl"/>
    <x v="15"/>
    <x v="0"/>
    <s v="Norm"/>
    <x v="0"/>
    <x v="0"/>
    <n v="6"/>
    <n v="6"/>
    <x v="54"/>
    <n v="1977"/>
    <s v="Hip"/>
    <s v="CompShg"/>
    <s v="HdBoard"/>
    <s v="Plywood"/>
    <s v="BrkFace"/>
    <n v="140"/>
    <s v="TA"/>
    <s v="TA"/>
    <s v="CBlock"/>
    <s v="TA"/>
    <s v="TA"/>
    <s v="No"/>
    <s v="BLQ"/>
    <n v="535"/>
    <s v="Unf"/>
    <n v="0"/>
    <n v="155"/>
    <n v="690"/>
    <s v="GasA"/>
    <s v="TA"/>
    <s v="Y"/>
    <s v="SBrkr"/>
    <n v="698"/>
    <n v="728"/>
    <n v="0"/>
    <x v="612"/>
    <n v="0"/>
    <n v="0"/>
    <n v="1"/>
    <n v="1"/>
    <n v="3"/>
    <n v="1"/>
    <s v="TA"/>
    <n v="6"/>
    <s v="Typ"/>
    <n v="0"/>
    <s v="NA"/>
    <s v="Attchd"/>
    <n v="1977"/>
    <s v="Fin"/>
    <n v="2"/>
    <n v="440"/>
    <s v="TA"/>
    <s v="TA"/>
    <s v="Y"/>
    <n v="252"/>
    <n v="0"/>
    <n v="0"/>
    <n v="0"/>
    <n v="0"/>
    <n v="0"/>
    <s v="NA"/>
    <s v="MnPrv"/>
    <s v="NA"/>
    <n v="0"/>
    <n v="7"/>
    <n v="2009"/>
    <s v="WD"/>
    <s v="Normal"/>
    <n v="159500"/>
  </r>
  <r>
    <n v="1075"/>
    <n v="20"/>
    <s v="RL"/>
    <n v="74"/>
    <n v="8556"/>
    <s v="Pave"/>
    <s v="NA"/>
    <s v="Reg"/>
    <s v="Lvl"/>
    <s v="AllPub"/>
    <s v="Inside"/>
    <s v="Gtl"/>
    <x v="0"/>
    <x v="0"/>
    <s v="Norm"/>
    <x v="0"/>
    <x v="1"/>
    <n v="7"/>
    <n v="5"/>
    <x v="13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240"/>
    <n v="1240"/>
    <s v="GasA"/>
    <s v="Ex"/>
    <s v="Y"/>
    <s v="SBrkr"/>
    <n v="1240"/>
    <n v="0"/>
    <n v="0"/>
    <x v="712"/>
    <n v="0"/>
    <n v="0"/>
    <n v="2"/>
    <n v="0"/>
    <n v="2"/>
    <n v="1"/>
    <s v="Gd"/>
    <n v="5"/>
    <s v="Typ"/>
    <n v="0"/>
    <s v="NA"/>
    <s v="Attchd"/>
    <n v="2006"/>
    <s v="RFn"/>
    <n v="3"/>
    <n v="826"/>
    <s v="TA"/>
    <s v="TA"/>
    <s v="Y"/>
    <n v="140"/>
    <n v="93"/>
    <n v="0"/>
    <n v="0"/>
    <n v="0"/>
    <n v="0"/>
    <s v="NA"/>
    <s v="NA"/>
    <s v="NA"/>
    <n v="0"/>
    <n v="5"/>
    <n v="2007"/>
    <s v="WD"/>
    <s v="Normal"/>
    <n v="194000"/>
  </r>
  <r>
    <n v="1076"/>
    <n v="70"/>
    <s v="RL"/>
    <n v="75"/>
    <n v="13125"/>
    <s v="Pave"/>
    <s v="NA"/>
    <s v="Reg"/>
    <s v="Lvl"/>
    <s v="AllPub"/>
    <s v="Inside"/>
    <s v="Gtl"/>
    <x v="2"/>
    <x v="0"/>
    <s v="Norm"/>
    <x v="0"/>
    <x v="0"/>
    <n v="7"/>
    <n v="6"/>
    <x v="70"/>
    <n v="1984"/>
    <s v="Gable"/>
    <s v="CompShg"/>
    <s v="Wd Sdng"/>
    <s v="Wd Sdng"/>
    <s v="None"/>
    <n v="0"/>
    <s v="TA"/>
    <s v="TA"/>
    <s v="CBlock"/>
    <s v="TA"/>
    <s v="TA"/>
    <s v="No"/>
    <s v="BLQ"/>
    <n v="410"/>
    <s v="Unf"/>
    <n v="0"/>
    <n v="390"/>
    <n v="800"/>
    <s v="GasA"/>
    <s v="TA"/>
    <s v="Y"/>
    <s v="SBrkr"/>
    <n v="960"/>
    <n v="780"/>
    <n v="0"/>
    <x v="713"/>
    <n v="0"/>
    <n v="0"/>
    <n v="1"/>
    <n v="1"/>
    <n v="3"/>
    <n v="1"/>
    <s v="TA"/>
    <n v="6"/>
    <s v="Typ"/>
    <n v="2"/>
    <s v="Gd"/>
    <s v="Attchd"/>
    <n v="1940"/>
    <s v="Unf"/>
    <n v="1"/>
    <n v="240"/>
    <s v="TA"/>
    <s v="TA"/>
    <s v="Y"/>
    <n v="0"/>
    <n v="0"/>
    <n v="0"/>
    <n v="0"/>
    <n v="0"/>
    <n v="0"/>
    <s v="NA"/>
    <s v="NA"/>
    <s v="NA"/>
    <n v="0"/>
    <n v="7"/>
    <n v="2007"/>
    <s v="CWD"/>
    <s v="Normal"/>
    <n v="219500"/>
  </r>
  <r>
    <n v="1077"/>
    <n v="50"/>
    <s v="RL"/>
    <n v="60"/>
    <n v="10800"/>
    <s v="Pave"/>
    <s v="Grvl"/>
    <s v="Reg"/>
    <s v="Lvl"/>
    <s v="AllPub"/>
    <s v="Inside"/>
    <s v="Gtl"/>
    <x v="7"/>
    <x v="0"/>
    <s v="Norm"/>
    <x v="0"/>
    <x v="2"/>
    <n v="5"/>
    <n v="8"/>
    <x v="65"/>
    <n v="1989"/>
    <s v="Gable"/>
    <s v="CompShg"/>
    <s v="Wd Sdng"/>
    <s v="Wd Sdng"/>
    <s v="None"/>
    <n v="0"/>
    <s v="TA"/>
    <s v="TA"/>
    <s v="CBlock"/>
    <s v="Fa"/>
    <s v="TA"/>
    <s v="No"/>
    <s v="ALQ"/>
    <n v="626"/>
    <s v="Unf"/>
    <n v="0"/>
    <n v="170"/>
    <n v="796"/>
    <s v="GasA"/>
    <s v="Gd"/>
    <s v="Y"/>
    <s v="SBrkr"/>
    <n v="1096"/>
    <n v="370"/>
    <n v="0"/>
    <x v="650"/>
    <n v="0"/>
    <n v="1"/>
    <n v="2"/>
    <n v="0"/>
    <n v="3"/>
    <n v="1"/>
    <s v="Gd"/>
    <n v="7"/>
    <s v="Min1"/>
    <n v="1"/>
    <s v="TA"/>
    <s v="Attchd"/>
    <n v="1950"/>
    <s v="Unf"/>
    <n v="2"/>
    <n v="566"/>
    <s v="TA"/>
    <s v="TA"/>
    <s v="Y"/>
    <n v="436"/>
    <n v="21"/>
    <n v="0"/>
    <n v="0"/>
    <n v="0"/>
    <n v="0"/>
    <s v="NA"/>
    <s v="NA"/>
    <s v="Shed"/>
    <n v="500"/>
    <n v="4"/>
    <n v="2006"/>
    <s v="WD"/>
    <s v="Normal"/>
    <n v="170000"/>
  </r>
  <r>
    <n v="1078"/>
    <n v="20"/>
    <s v="RL"/>
    <s v="NA"/>
    <n v="15870"/>
    <s v="Pave"/>
    <s v="NA"/>
    <s v="IR1"/>
    <s v="Lvl"/>
    <s v="AllPub"/>
    <s v="Corner"/>
    <s v="Gtl"/>
    <x v="11"/>
    <x v="0"/>
    <s v="Norm"/>
    <x v="0"/>
    <x v="1"/>
    <n v="5"/>
    <n v="5"/>
    <x v="60"/>
    <n v="1969"/>
    <s v="Gable"/>
    <s v="CompShg"/>
    <s v="VinylSd"/>
    <s v="Plywood"/>
    <s v="None"/>
    <n v="0"/>
    <s v="TA"/>
    <s v="TA"/>
    <s v="CBlock"/>
    <s v="TA"/>
    <s v="TA"/>
    <s v="Mn"/>
    <s v="BLQ"/>
    <n v="75"/>
    <s v="Rec"/>
    <n v="791"/>
    <n v="230"/>
    <n v="1096"/>
    <s v="GasA"/>
    <s v="Ex"/>
    <s v="Y"/>
    <s v="SBrkr"/>
    <n v="1096"/>
    <n v="0"/>
    <n v="0"/>
    <x v="145"/>
    <n v="1"/>
    <n v="0"/>
    <n v="1"/>
    <n v="0"/>
    <n v="3"/>
    <n v="1"/>
    <s v="TA"/>
    <n v="6"/>
    <s v="Typ"/>
    <n v="0"/>
    <s v="NA"/>
    <s v="Attchd"/>
    <n v="1969"/>
    <s v="Fin"/>
    <n v="1"/>
    <n v="299"/>
    <s v="TA"/>
    <s v="TA"/>
    <s v="Y"/>
    <n v="240"/>
    <n v="32"/>
    <n v="0"/>
    <n v="0"/>
    <n v="0"/>
    <n v="0"/>
    <s v="NA"/>
    <s v="NA"/>
    <s v="NA"/>
    <n v="0"/>
    <n v="3"/>
    <n v="2006"/>
    <s v="WD"/>
    <s v="Abnorml"/>
    <n v="138800"/>
  </r>
  <r>
    <n v="1079"/>
    <n v="120"/>
    <s v="RM"/>
    <n v="37"/>
    <n v="4435"/>
    <s v="Pave"/>
    <s v="NA"/>
    <s v="Reg"/>
    <s v="Lvl"/>
    <s v="AllPub"/>
    <s v="Inside"/>
    <s v="Gtl"/>
    <x v="0"/>
    <x v="0"/>
    <s v="Norm"/>
    <x v="3"/>
    <x v="1"/>
    <n v="6"/>
    <n v="5"/>
    <x v="6"/>
    <n v="2004"/>
    <s v="Gable"/>
    <s v="CompShg"/>
    <s v="VinylSd"/>
    <s v="VinylSd"/>
    <s v="BrkFace"/>
    <n v="169"/>
    <s v="Gd"/>
    <s v="TA"/>
    <s v="PConc"/>
    <s v="Gd"/>
    <s v="TA"/>
    <s v="Mn"/>
    <s v="GLQ"/>
    <n v="662"/>
    <s v="Unf"/>
    <n v="0"/>
    <n v="186"/>
    <n v="848"/>
    <s v="GasA"/>
    <s v="Ex"/>
    <s v="Y"/>
    <s v="SBrkr"/>
    <n v="848"/>
    <n v="0"/>
    <n v="0"/>
    <x v="182"/>
    <n v="1"/>
    <n v="0"/>
    <n v="1"/>
    <n v="0"/>
    <n v="1"/>
    <n v="1"/>
    <s v="Gd"/>
    <n v="3"/>
    <s v="Typ"/>
    <n v="1"/>
    <s v="Gd"/>
    <s v="Attchd"/>
    <n v="2004"/>
    <s v="RFn"/>
    <n v="2"/>
    <n v="420"/>
    <s v="TA"/>
    <s v="TA"/>
    <s v="Y"/>
    <n v="140"/>
    <n v="0"/>
    <n v="0"/>
    <n v="0"/>
    <n v="0"/>
    <n v="0"/>
    <s v="NA"/>
    <s v="NA"/>
    <s v="NA"/>
    <n v="0"/>
    <n v="5"/>
    <n v="2006"/>
    <s v="WD"/>
    <s v="Normal"/>
    <n v="155900"/>
  </r>
  <r>
    <n v="1080"/>
    <n v="20"/>
    <s v="RL"/>
    <n v="65"/>
    <n v="8775"/>
    <s v="Pave"/>
    <s v="NA"/>
    <s v="Reg"/>
    <s v="Lvl"/>
    <s v="AllPub"/>
    <s v="Inside"/>
    <s v="Gtl"/>
    <x v="0"/>
    <x v="0"/>
    <s v="Norm"/>
    <x v="0"/>
    <x v="1"/>
    <n v="5"/>
    <n v="5"/>
    <x v="29"/>
    <n v="1994"/>
    <s v="Gable"/>
    <s v="CompShg"/>
    <s v="VinylSd"/>
    <s v="VinylSd"/>
    <s v="None"/>
    <n v="0"/>
    <s v="TA"/>
    <s v="TA"/>
    <s v="PConc"/>
    <s v="Gd"/>
    <s v="TA"/>
    <s v="No"/>
    <s v="GLQ"/>
    <n v="495"/>
    <s v="Unf"/>
    <n v="0"/>
    <n v="495"/>
    <n v="990"/>
    <s v="GasA"/>
    <s v="Gd"/>
    <s v="Y"/>
    <s v="SBrkr"/>
    <n v="990"/>
    <n v="0"/>
    <n v="0"/>
    <x v="86"/>
    <n v="0"/>
    <n v="0"/>
    <n v="1"/>
    <n v="0"/>
    <n v="3"/>
    <n v="1"/>
    <s v="TA"/>
    <n v="5"/>
    <s v="Typ"/>
    <n v="0"/>
    <s v="NA"/>
    <s v="Attchd"/>
    <n v="1996"/>
    <s v="Unf"/>
    <n v="1"/>
    <n v="299"/>
    <s v="TA"/>
    <s v="TA"/>
    <s v="Y"/>
    <n v="0"/>
    <n v="64"/>
    <n v="0"/>
    <n v="0"/>
    <n v="0"/>
    <n v="0"/>
    <s v="NA"/>
    <s v="NA"/>
    <s v="NA"/>
    <n v="0"/>
    <n v="4"/>
    <n v="2007"/>
    <s v="WD"/>
    <s v="Normal"/>
    <n v="126000"/>
  </r>
  <r>
    <n v="1081"/>
    <n v="20"/>
    <s v="RL"/>
    <n v="80"/>
    <n v="11040"/>
    <s v="Pave"/>
    <s v="NA"/>
    <s v="Reg"/>
    <s v="Lvl"/>
    <s v="AllPub"/>
    <s v="Inside"/>
    <s v="Gtl"/>
    <x v="6"/>
    <x v="0"/>
    <s v="Norm"/>
    <x v="0"/>
    <x v="1"/>
    <n v="6"/>
    <n v="7"/>
    <x v="63"/>
    <n v="2004"/>
    <s v="Gable"/>
    <s v="CompShg"/>
    <s v="VinylSd"/>
    <s v="VinylSd"/>
    <s v="BrkFace"/>
    <n v="144"/>
    <s v="Gd"/>
    <s v="Gd"/>
    <s v="CBlock"/>
    <s v="TA"/>
    <s v="TA"/>
    <s v="No"/>
    <s v="ALQ"/>
    <n v="656"/>
    <s v="Unf"/>
    <n v="0"/>
    <n v="602"/>
    <n v="1258"/>
    <s v="GasA"/>
    <s v="Ex"/>
    <s v="Y"/>
    <s v="SBrkr"/>
    <n v="1258"/>
    <n v="0"/>
    <n v="0"/>
    <x v="358"/>
    <n v="0"/>
    <n v="1"/>
    <n v="2"/>
    <n v="0"/>
    <n v="3"/>
    <n v="1"/>
    <s v="Gd"/>
    <n v="5"/>
    <s v="Typ"/>
    <n v="0"/>
    <s v="NA"/>
    <s v="Attchd"/>
    <n v="1971"/>
    <s v="RFn"/>
    <n v="2"/>
    <n v="528"/>
    <s v="TA"/>
    <s v="TA"/>
    <s v="Y"/>
    <n v="55"/>
    <n v="0"/>
    <n v="0"/>
    <n v="216"/>
    <n v="0"/>
    <n v="0"/>
    <s v="NA"/>
    <s v="NA"/>
    <s v="NA"/>
    <n v="0"/>
    <n v="10"/>
    <n v="2008"/>
    <s v="COD"/>
    <s v="Abnorml"/>
    <n v="145000"/>
  </r>
  <r>
    <n v="1082"/>
    <n v="20"/>
    <s v="RL"/>
    <n v="75"/>
    <n v="7500"/>
    <s v="Pave"/>
    <s v="NA"/>
    <s v="Reg"/>
    <s v="Lvl"/>
    <s v="AllPub"/>
    <s v="Corner"/>
    <s v="Gtl"/>
    <x v="9"/>
    <x v="1"/>
    <s v="Norm"/>
    <x v="0"/>
    <x v="1"/>
    <n v="5"/>
    <n v="5"/>
    <x v="37"/>
    <n v="1963"/>
    <s v="Gable"/>
    <s v="CompShg"/>
    <s v="HdBoard"/>
    <s v="HdBoard"/>
    <s v="None"/>
    <n v="0"/>
    <s v="TA"/>
    <s v="TA"/>
    <s v="CBlock"/>
    <s v="TA"/>
    <s v="TA"/>
    <s v="No"/>
    <s v="ALQ"/>
    <n v="824"/>
    <s v="Unf"/>
    <n v="0"/>
    <n v="216"/>
    <n v="1040"/>
    <s v="GasA"/>
    <s v="Fa"/>
    <s v="Y"/>
    <s v="SBrkr"/>
    <n v="1040"/>
    <n v="0"/>
    <n v="0"/>
    <x v="10"/>
    <n v="1"/>
    <n v="0"/>
    <n v="1"/>
    <n v="1"/>
    <n v="3"/>
    <n v="1"/>
    <s v="TA"/>
    <n v="5"/>
    <s v="Typ"/>
    <n v="0"/>
    <s v="NA"/>
    <s v="Attchd"/>
    <n v="1963"/>
    <s v="Fin"/>
    <n v="1"/>
    <n v="308"/>
    <s v="TA"/>
    <s v="TA"/>
    <s v="Y"/>
    <n v="0"/>
    <n v="0"/>
    <n v="220"/>
    <n v="0"/>
    <n v="0"/>
    <n v="0"/>
    <s v="NA"/>
    <s v="MnPrv"/>
    <s v="NA"/>
    <n v="0"/>
    <n v="6"/>
    <n v="2010"/>
    <s v="WD"/>
    <s v="Normal"/>
    <n v="133000"/>
  </r>
  <r>
    <n v="1083"/>
    <n v="20"/>
    <s v="RL"/>
    <n v="70"/>
    <n v="8749"/>
    <s v="Pave"/>
    <s v="NA"/>
    <s v="Reg"/>
    <s v="Lvl"/>
    <s v="AllPub"/>
    <s v="Inside"/>
    <s v="Gtl"/>
    <x v="0"/>
    <x v="0"/>
    <s v="Norm"/>
    <x v="0"/>
    <x v="1"/>
    <n v="7"/>
    <n v="5"/>
    <x v="20"/>
    <n v="2002"/>
    <s v="Gable"/>
    <s v="CompShg"/>
    <s v="VinylSd"/>
    <s v="VinylSd"/>
    <s v="BrkFace"/>
    <n v="100"/>
    <s v="Gd"/>
    <s v="TA"/>
    <s v="PConc"/>
    <s v="Gd"/>
    <s v="TA"/>
    <s v="No"/>
    <s v="Unf"/>
    <n v="0"/>
    <s v="Unf"/>
    <n v="0"/>
    <n v="1459"/>
    <n v="1459"/>
    <s v="GasA"/>
    <s v="Ex"/>
    <s v="Y"/>
    <s v="SBrkr"/>
    <n v="1459"/>
    <n v="0"/>
    <n v="0"/>
    <x v="714"/>
    <n v="0"/>
    <n v="0"/>
    <n v="2"/>
    <n v="0"/>
    <n v="3"/>
    <n v="1"/>
    <s v="Gd"/>
    <n v="6"/>
    <s v="Typ"/>
    <n v="1"/>
    <s v="Gd"/>
    <s v="Attchd"/>
    <n v="2002"/>
    <s v="RFn"/>
    <n v="2"/>
    <n v="527"/>
    <s v="TA"/>
    <s v="TA"/>
    <s v="Y"/>
    <n v="192"/>
    <n v="39"/>
    <n v="0"/>
    <n v="0"/>
    <n v="0"/>
    <n v="0"/>
    <s v="NA"/>
    <s v="NA"/>
    <s v="NA"/>
    <n v="0"/>
    <n v="9"/>
    <n v="2007"/>
    <s v="WD"/>
    <s v="Normal"/>
    <n v="192000"/>
  </r>
  <r>
    <n v="1084"/>
    <n v="20"/>
    <s v="RL"/>
    <n v="80"/>
    <n v="8800"/>
    <s v="Pave"/>
    <s v="NA"/>
    <s v="Reg"/>
    <s v="Lvl"/>
    <s v="AllPub"/>
    <s v="Inside"/>
    <s v="Gtl"/>
    <x v="11"/>
    <x v="0"/>
    <s v="Norm"/>
    <x v="0"/>
    <x v="1"/>
    <n v="6"/>
    <n v="6"/>
    <x v="39"/>
    <n v="1964"/>
    <s v="Hip"/>
    <s v="CompShg"/>
    <s v="HdBoard"/>
    <s v="HdBoard"/>
    <s v="BrkFace"/>
    <n v="425"/>
    <s v="TA"/>
    <s v="TA"/>
    <s v="CBlock"/>
    <s v="TA"/>
    <s v="TA"/>
    <s v="No"/>
    <s v="BLQ"/>
    <n v="553"/>
    <s v="Unf"/>
    <n v="0"/>
    <n v="698"/>
    <n v="1251"/>
    <s v="GasA"/>
    <s v="TA"/>
    <s v="Y"/>
    <s v="SBrkr"/>
    <n v="1251"/>
    <n v="0"/>
    <n v="0"/>
    <x v="715"/>
    <n v="1"/>
    <n v="0"/>
    <n v="1"/>
    <n v="0"/>
    <n v="3"/>
    <n v="1"/>
    <s v="TA"/>
    <n v="6"/>
    <s v="Typ"/>
    <n v="2"/>
    <s v="Gd"/>
    <s v="Attchd"/>
    <n v="1964"/>
    <s v="RFn"/>
    <n v="1"/>
    <n v="461"/>
    <s v="TA"/>
    <s v="TA"/>
    <s v="Y"/>
    <n v="0"/>
    <n v="116"/>
    <n v="0"/>
    <n v="0"/>
    <n v="0"/>
    <n v="0"/>
    <s v="NA"/>
    <s v="MnPrv"/>
    <s v="Shed"/>
    <n v="700"/>
    <n v="3"/>
    <n v="2006"/>
    <s v="WD"/>
    <s v="Normal"/>
    <n v="160000"/>
  </r>
  <r>
    <n v="1085"/>
    <n v="60"/>
    <s v="RL"/>
    <s v="NA"/>
    <n v="13031"/>
    <s v="Pave"/>
    <s v="NA"/>
    <s v="IR2"/>
    <s v="Lvl"/>
    <s v="AllPub"/>
    <s v="Corner"/>
    <s v="Gtl"/>
    <x v="17"/>
    <x v="0"/>
    <s v="Norm"/>
    <x v="0"/>
    <x v="0"/>
    <n v="6"/>
    <n v="5"/>
    <x v="49"/>
    <n v="1996"/>
    <s v="Gable"/>
    <s v="CompShg"/>
    <s v="HdBoard"/>
    <s v="HdBoard"/>
    <s v="None"/>
    <n v="0"/>
    <s v="TA"/>
    <s v="TA"/>
    <s v="PConc"/>
    <s v="Gd"/>
    <s v="TA"/>
    <s v="No"/>
    <s v="ALQ"/>
    <n v="592"/>
    <s v="Unf"/>
    <n v="0"/>
    <n v="99"/>
    <n v="691"/>
    <s v="GasA"/>
    <s v="Gd"/>
    <s v="Y"/>
    <s v="SBrkr"/>
    <n v="691"/>
    <n v="807"/>
    <n v="0"/>
    <x v="194"/>
    <n v="0"/>
    <n v="0"/>
    <n v="2"/>
    <n v="1"/>
    <n v="3"/>
    <n v="1"/>
    <s v="TA"/>
    <n v="6"/>
    <s v="Typ"/>
    <n v="1"/>
    <s v="TA"/>
    <s v="Attchd"/>
    <n v="1995"/>
    <s v="Fin"/>
    <n v="2"/>
    <n v="409"/>
    <s v="TA"/>
    <s v="TA"/>
    <s v="Y"/>
    <n v="315"/>
    <n v="44"/>
    <n v="0"/>
    <n v="0"/>
    <n v="0"/>
    <n v="0"/>
    <s v="NA"/>
    <s v="NA"/>
    <s v="NA"/>
    <n v="0"/>
    <n v="7"/>
    <n v="2006"/>
    <s v="WD"/>
    <s v="Normal"/>
    <n v="187500"/>
  </r>
  <r>
    <n v="1086"/>
    <n v="85"/>
    <s v="RL"/>
    <n v="73"/>
    <n v="9069"/>
    <s v="Pave"/>
    <s v="NA"/>
    <s v="Reg"/>
    <s v="Lvl"/>
    <s v="AllPub"/>
    <s v="Inside"/>
    <s v="Gtl"/>
    <x v="12"/>
    <x v="0"/>
    <s v="Norm"/>
    <x v="0"/>
    <x v="4"/>
    <n v="6"/>
    <n v="6"/>
    <x v="86"/>
    <n v="1992"/>
    <s v="Gable"/>
    <s v="CompShg"/>
    <s v="HdBoard"/>
    <s v="HdBoard"/>
    <s v="None"/>
    <n v="0"/>
    <s v="TA"/>
    <s v="TA"/>
    <s v="PConc"/>
    <s v="Gd"/>
    <s v="TA"/>
    <s v="Av"/>
    <s v="GLQ"/>
    <n v="747"/>
    <s v="Unf"/>
    <n v="0"/>
    <n v="189"/>
    <n v="936"/>
    <s v="GasA"/>
    <s v="Ex"/>
    <s v="Y"/>
    <s v="SBrkr"/>
    <n v="996"/>
    <n v="0"/>
    <n v="0"/>
    <x v="442"/>
    <n v="1"/>
    <n v="0"/>
    <n v="1"/>
    <n v="0"/>
    <n v="2"/>
    <n v="1"/>
    <s v="Gd"/>
    <n v="5"/>
    <s v="Typ"/>
    <n v="0"/>
    <s v="NA"/>
    <s v="Attchd"/>
    <n v="1992"/>
    <s v="Unf"/>
    <n v="2"/>
    <n v="564"/>
    <s v="TA"/>
    <s v="TA"/>
    <s v="Y"/>
    <n v="120"/>
    <n v="0"/>
    <n v="0"/>
    <n v="0"/>
    <n v="0"/>
    <n v="0"/>
    <s v="NA"/>
    <s v="NA"/>
    <s v="NA"/>
    <n v="0"/>
    <n v="4"/>
    <n v="2010"/>
    <s v="WD"/>
    <s v="Normal"/>
    <n v="147000"/>
  </r>
  <r>
    <n v="1087"/>
    <n v="160"/>
    <s v="RM"/>
    <s v="NA"/>
    <n v="1974"/>
    <s v="Pave"/>
    <s v="NA"/>
    <s v="Reg"/>
    <s v="Lvl"/>
    <s v="AllPub"/>
    <s v="Inside"/>
    <s v="Gtl"/>
    <x v="14"/>
    <x v="0"/>
    <s v="Norm"/>
    <x v="3"/>
    <x v="0"/>
    <n v="4"/>
    <n v="5"/>
    <x v="7"/>
    <n v="1973"/>
    <s v="Gable"/>
    <s v="CompShg"/>
    <s v="CemntBd"/>
    <s v="CmentBd"/>
    <s v="None"/>
    <n v="0"/>
    <s v="TA"/>
    <s v="TA"/>
    <s v="CBlock"/>
    <s v="TA"/>
    <s v="TA"/>
    <s v="No"/>
    <s v="BLQ"/>
    <n v="334"/>
    <s v="Unf"/>
    <n v="0"/>
    <n v="212"/>
    <n v="546"/>
    <s v="GasA"/>
    <s v="TA"/>
    <s v="Y"/>
    <s v="SBrkr"/>
    <n v="546"/>
    <n v="546"/>
    <n v="0"/>
    <x v="110"/>
    <n v="0"/>
    <n v="0"/>
    <n v="1"/>
    <n v="1"/>
    <n v="3"/>
    <n v="1"/>
    <s v="TA"/>
    <n v="6"/>
    <s v="Typ"/>
    <n v="0"/>
    <s v="NA"/>
    <s v="Attchd"/>
    <n v="1973"/>
    <s v="RFn"/>
    <n v="1"/>
    <n v="286"/>
    <s v="TA"/>
    <s v="TA"/>
    <s v="Y"/>
    <n v="120"/>
    <n v="96"/>
    <n v="0"/>
    <n v="0"/>
    <n v="0"/>
    <n v="0"/>
    <s v="NA"/>
    <s v="NA"/>
    <s v="NA"/>
    <n v="0"/>
    <n v="5"/>
    <n v="2010"/>
    <s v="WD"/>
    <s v="Normal"/>
    <n v="83500"/>
  </r>
  <r>
    <n v="1088"/>
    <n v="60"/>
    <s v="FV"/>
    <n v="85"/>
    <n v="10574"/>
    <s v="Pave"/>
    <s v="NA"/>
    <s v="Reg"/>
    <s v="Lvl"/>
    <s v="AllPub"/>
    <s v="Inside"/>
    <s v="Gtl"/>
    <x v="5"/>
    <x v="0"/>
    <s v="Norm"/>
    <x v="0"/>
    <x v="0"/>
    <n v="8"/>
    <n v="5"/>
    <x v="11"/>
    <n v="2006"/>
    <s v="Gable"/>
    <s v="CompShg"/>
    <s v="VinylSd"/>
    <s v="VinylSd"/>
    <s v="None"/>
    <n v="0"/>
    <s v="Gd"/>
    <s v="TA"/>
    <s v="PConc"/>
    <s v="Gd"/>
    <s v="TA"/>
    <s v="Mn"/>
    <s v="Unf"/>
    <n v="0"/>
    <s v="Unf"/>
    <n v="0"/>
    <n v="1082"/>
    <n v="1082"/>
    <s v="GasA"/>
    <s v="Ex"/>
    <s v="Y"/>
    <s v="SBrkr"/>
    <n v="1082"/>
    <n v="871"/>
    <n v="0"/>
    <x v="319"/>
    <n v="0"/>
    <n v="0"/>
    <n v="2"/>
    <n v="1"/>
    <n v="3"/>
    <n v="1"/>
    <s v="Gd"/>
    <n v="9"/>
    <s v="Typ"/>
    <n v="1"/>
    <s v="Gd"/>
    <s v="Attchd"/>
    <n v="2005"/>
    <s v="RFn"/>
    <n v="3"/>
    <n v="1043"/>
    <s v="TA"/>
    <s v="TA"/>
    <s v="Y"/>
    <n v="160"/>
    <n v="50"/>
    <n v="0"/>
    <n v="0"/>
    <n v="0"/>
    <n v="0"/>
    <s v="NA"/>
    <s v="NA"/>
    <s v="NA"/>
    <n v="0"/>
    <n v="5"/>
    <n v="2009"/>
    <s v="WD"/>
    <s v="Normal"/>
    <n v="252000"/>
  </r>
  <r>
    <n v="1089"/>
    <n v="160"/>
    <s v="RM"/>
    <n v="24"/>
    <n v="2522"/>
    <s v="Pave"/>
    <s v="NA"/>
    <s v="Reg"/>
    <s v="Lvl"/>
    <s v="AllPub"/>
    <s v="Inside"/>
    <s v="Gtl"/>
    <x v="15"/>
    <x v="0"/>
    <s v="Norm"/>
    <x v="4"/>
    <x v="0"/>
    <n v="7"/>
    <n v="5"/>
    <x v="6"/>
    <n v="2004"/>
    <s v="Gable"/>
    <s v="CompShg"/>
    <s v="VinylSd"/>
    <s v="VinylSd"/>
    <s v="Stone"/>
    <n v="50"/>
    <s v="Gd"/>
    <s v="TA"/>
    <s v="PConc"/>
    <s v="Gd"/>
    <s v="TA"/>
    <s v="No"/>
    <s v="Unf"/>
    <n v="0"/>
    <s v="Unf"/>
    <n v="0"/>
    <n v="970"/>
    <n v="970"/>
    <s v="GasA"/>
    <s v="Ex"/>
    <s v="Y"/>
    <s v="SBrkr"/>
    <n v="970"/>
    <n v="739"/>
    <n v="0"/>
    <x v="137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4"/>
    <n v="2006"/>
    <s v="WD"/>
    <s v="Normal"/>
    <n v="137500"/>
  </r>
  <r>
    <n v="1090"/>
    <n v="120"/>
    <s v="FV"/>
    <n v="37"/>
    <n v="3316"/>
    <s v="Pave"/>
    <s v="Pave"/>
    <s v="IR1"/>
    <s v="Lvl"/>
    <s v="AllPub"/>
    <s v="Inside"/>
    <s v="Gtl"/>
    <x v="5"/>
    <x v="0"/>
    <s v="Norm"/>
    <x v="3"/>
    <x v="1"/>
    <n v="8"/>
    <n v="5"/>
    <x v="11"/>
    <n v="2005"/>
    <s v="Gable"/>
    <s v="CompShg"/>
    <s v="MetalSd"/>
    <s v="MetalSd"/>
    <s v="None"/>
    <n v="0"/>
    <s v="Gd"/>
    <s v="TA"/>
    <s v="PConc"/>
    <s v="Gd"/>
    <s v="TA"/>
    <s v="No"/>
    <s v="GLQ"/>
    <n v="1039"/>
    <s v="Unf"/>
    <n v="0"/>
    <n v="208"/>
    <n v="1247"/>
    <s v="GasA"/>
    <s v="Ex"/>
    <s v="Y"/>
    <s v="SBrkr"/>
    <n v="1247"/>
    <n v="0"/>
    <n v="0"/>
    <x v="716"/>
    <n v="1"/>
    <n v="0"/>
    <n v="1"/>
    <n v="1"/>
    <n v="1"/>
    <n v="1"/>
    <s v="Gd"/>
    <n v="4"/>
    <s v="Typ"/>
    <n v="1"/>
    <s v="Gd"/>
    <s v="Attchd"/>
    <n v="2005"/>
    <s v="Fin"/>
    <n v="2"/>
    <n v="550"/>
    <s v="TA"/>
    <s v="TA"/>
    <s v="Y"/>
    <n v="0"/>
    <n v="84"/>
    <n v="0"/>
    <n v="0"/>
    <n v="0"/>
    <n v="0"/>
    <s v="NA"/>
    <s v="NA"/>
    <s v="NA"/>
    <n v="0"/>
    <n v="4"/>
    <n v="2006"/>
    <s v="WD"/>
    <s v="Normal"/>
    <n v="197000"/>
  </r>
  <r>
    <n v="1091"/>
    <n v="90"/>
    <s v="RL"/>
    <n v="60"/>
    <n v="8544"/>
    <s v="Pave"/>
    <s v="NA"/>
    <s v="Reg"/>
    <s v="Lvl"/>
    <s v="AllPub"/>
    <s v="Corner"/>
    <s v="Gtl"/>
    <x v="11"/>
    <x v="0"/>
    <s v="Norm"/>
    <x v="2"/>
    <x v="1"/>
    <n v="3"/>
    <n v="4"/>
    <x v="52"/>
    <n v="1950"/>
    <s v="Gable"/>
    <s v="CompShg"/>
    <s v="BrkFace"/>
    <s v="BrkFace"/>
    <s v="None"/>
    <n v="0"/>
    <s v="TA"/>
    <s v="TA"/>
    <s v="Slab"/>
    <s v="NA"/>
    <s v="NA"/>
    <s v="NA"/>
    <s v="NA"/>
    <n v="0"/>
    <s v="NA"/>
    <n v="0"/>
    <n v="0"/>
    <n v="0"/>
    <s v="Wall"/>
    <s v="Fa"/>
    <s v="N"/>
    <s v="FuseA"/>
    <n v="1040"/>
    <n v="0"/>
    <n v="0"/>
    <x v="10"/>
    <n v="0"/>
    <n v="0"/>
    <n v="2"/>
    <n v="0"/>
    <n v="2"/>
    <n v="2"/>
    <s v="TA"/>
    <n v="6"/>
    <s v="Typ"/>
    <n v="0"/>
    <s v="NA"/>
    <s v="Detchd"/>
    <n v="1987"/>
    <s v="Unf"/>
    <n v="2"/>
    <n v="400"/>
    <s v="TA"/>
    <s v="TA"/>
    <s v="Y"/>
    <n v="0"/>
    <n v="0"/>
    <n v="0"/>
    <n v="0"/>
    <n v="0"/>
    <n v="0"/>
    <s v="NA"/>
    <s v="NA"/>
    <s v="NA"/>
    <n v="0"/>
    <n v="6"/>
    <n v="2009"/>
    <s v="WD"/>
    <s v="Normal"/>
    <n v="92900"/>
  </r>
  <r>
    <n v="1092"/>
    <n v="160"/>
    <s v="FV"/>
    <n v="24"/>
    <n v="2160"/>
    <s v="Pave"/>
    <s v="Pave"/>
    <s v="Reg"/>
    <s v="Lvl"/>
    <s v="AllPub"/>
    <s v="Inside"/>
    <s v="Gtl"/>
    <x v="5"/>
    <x v="0"/>
    <s v="Norm"/>
    <x v="4"/>
    <x v="0"/>
    <n v="7"/>
    <n v="5"/>
    <x v="40"/>
    <n v="2000"/>
    <s v="Gable"/>
    <s v="CompShg"/>
    <s v="MetalSd"/>
    <s v="MetalSd"/>
    <s v="BrkFace"/>
    <n v="212"/>
    <s v="Gd"/>
    <s v="TA"/>
    <s v="PConc"/>
    <s v="Gd"/>
    <s v="TA"/>
    <s v="No"/>
    <s v="BLQ"/>
    <n v="510"/>
    <s v="Unf"/>
    <n v="0"/>
    <n v="90"/>
    <n v="600"/>
    <s v="GasA"/>
    <s v="Ex"/>
    <s v="Y"/>
    <s v="SBrkr"/>
    <n v="624"/>
    <n v="628"/>
    <n v="0"/>
    <x v="143"/>
    <n v="1"/>
    <n v="0"/>
    <n v="2"/>
    <n v="1"/>
    <n v="2"/>
    <n v="1"/>
    <s v="Gd"/>
    <n v="4"/>
    <s v="Typ"/>
    <n v="0"/>
    <s v="NA"/>
    <s v="Detchd"/>
    <n v="1999"/>
    <s v="Unf"/>
    <n v="2"/>
    <n v="462"/>
    <s v="TA"/>
    <s v="TA"/>
    <s v="Y"/>
    <n v="0"/>
    <n v="48"/>
    <n v="0"/>
    <n v="0"/>
    <n v="0"/>
    <n v="0"/>
    <s v="NA"/>
    <s v="NA"/>
    <s v="NA"/>
    <n v="0"/>
    <n v="3"/>
    <n v="2008"/>
    <s v="WD"/>
    <s v="Normal"/>
    <n v="160000"/>
  </r>
  <r>
    <n v="1093"/>
    <n v="50"/>
    <s v="RL"/>
    <n v="60"/>
    <n v="8400"/>
    <s v="Pave"/>
    <s v="NA"/>
    <s v="Reg"/>
    <s v="Bnk"/>
    <s v="AllPub"/>
    <s v="Inside"/>
    <s v="Gtl"/>
    <x v="23"/>
    <x v="0"/>
    <s v="Norm"/>
    <x v="0"/>
    <x v="2"/>
    <n v="6"/>
    <n v="5"/>
    <x v="82"/>
    <n v="1950"/>
    <s v="Gable"/>
    <s v="CompShg"/>
    <s v="MetalSd"/>
    <s v="MetalSd"/>
    <s v="None"/>
    <n v="0"/>
    <s v="TA"/>
    <s v="TA"/>
    <s v="PConc"/>
    <s v="TA"/>
    <s v="TA"/>
    <s v="No"/>
    <s v="Rec"/>
    <n v="423"/>
    <s v="Unf"/>
    <n v="0"/>
    <n v="758"/>
    <n v="1181"/>
    <s v="GasA"/>
    <s v="Fa"/>
    <s v="Y"/>
    <s v="SBrkr"/>
    <n v="1390"/>
    <n v="304"/>
    <n v="0"/>
    <x v="6"/>
    <n v="0"/>
    <n v="0"/>
    <n v="2"/>
    <n v="0"/>
    <n v="4"/>
    <n v="1"/>
    <s v="TA"/>
    <n v="7"/>
    <s v="Typ"/>
    <n v="1"/>
    <s v="Gd"/>
    <s v="Detchd"/>
    <n v="1925"/>
    <s v="Unf"/>
    <n v="2"/>
    <n v="576"/>
    <s v="TA"/>
    <s v="TA"/>
    <s v="Y"/>
    <n v="342"/>
    <n v="0"/>
    <n v="128"/>
    <n v="0"/>
    <n v="0"/>
    <n v="0"/>
    <s v="NA"/>
    <s v="NA"/>
    <s v="NA"/>
    <n v="0"/>
    <n v="6"/>
    <n v="2008"/>
    <s v="WD"/>
    <s v="Normal"/>
    <n v="136500"/>
  </r>
  <r>
    <n v="1094"/>
    <n v="20"/>
    <s v="RL"/>
    <n v="71"/>
    <n v="9230"/>
    <s v="Pave"/>
    <s v="NA"/>
    <s v="Reg"/>
    <s v="Lvl"/>
    <s v="AllPub"/>
    <s v="Corner"/>
    <s v="Gtl"/>
    <x v="11"/>
    <x v="1"/>
    <s v="Norm"/>
    <x v="0"/>
    <x v="1"/>
    <n v="5"/>
    <n v="8"/>
    <x v="10"/>
    <n v="1998"/>
    <s v="Hip"/>
    <s v="CompShg"/>
    <s v="MetalSd"/>
    <s v="MetalSd"/>
    <s v="BrkFace"/>
    <n v="166"/>
    <s v="TA"/>
    <s v="TA"/>
    <s v="CBlock"/>
    <s v="TA"/>
    <s v="TA"/>
    <s v="Mn"/>
    <s v="GLQ"/>
    <n v="661"/>
    <s v="Unf"/>
    <n v="0"/>
    <n v="203"/>
    <n v="864"/>
    <s v="GasA"/>
    <s v="Gd"/>
    <s v="Y"/>
    <s v="SBrkr"/>
    <n v="1200"/>
    <n v="0"/>
    <n v="0"/>
    <x v="144"/>
    <n v="1"/>
    <n v="0"/>
    <n v="1"/>
    <n v="1"/>
    <n v="1"/>
    <n v="1"/>
    <s v="Gd"/>
    <n v="6"/>
    <s v="Typ"/>
    <n v="0"/>
    <s v="NA"/>
    <s v="Detchd"/>
    <n v="1977"/>
    <s v="Unf"/>
    <n v="2"/>
    <n v="884"/>
    <s v="TA"/>
    <s v="TA"/>
    <s v="Y"/>
    <n v="0"/>
    <n v="64"/>
    <n v="0"/>
    <n v="0"/>
    <n v="0"/>
    <n v="0"/>
    <s v="NA"/>
    <s v="MnPrv"/>
    <s v="NA"/>
    <n v="0"/>
    <n v="10"/>
    <n v="2006"/>
    <s v="WD"/>
    <s v="Normal"/>
    <n v="146000"/>
  </r>
  <r>
    <n v="1095"/>
    <n v="20"/>
    <s v="RL"/>
    <n v="74"/>
    <n v="5868"/>
    <s v="Pave"/>
    <s v="NA"/>
    <s v="Reg"/>
    <s v="Lvl"/>
    <s v="AllPub"/>
    <s v="Inside"/>
    <s v="Gtl"/>
    <x v="11"/>
    <x v="0"/>
    <s v="Norm"/>
    <x v="0"/>
    <x v="1"/>
    <n v="5"/>
    <n v="7"/>
    <x v="46"/>
    <n v="2000"/>
    <s v="Gable"/>
    <s v="CompShg"/>
    <s v="MetalSd"/>
    <s v="MetalSd"/>
    <s v="None"/>
    <n v="0"/>
    <s v="TA"/>
    <s v="TA"/>
    <s v="CBlock"/>
    <s v="TA"/>
    <s v="TA"/>
    <s v="No"/>
    <s v="BLQ"/>
    <n v="248"/>
    <s v="Rec"/>
    <n v="240"/>
    <n v="448"/>
    <n v="936"/>
    <s v="GasA"/>
    <s v="Ex"/>
    <s v="Y"/>
    <s v="SBrkr"/>
    <n v="936"/>
    <n v="0"/>
    <n v="0"/>
    <x v="590"/>
    <n v="1"/>
    <n v="0"/>
    <n v="1"/>
    <n v="0"/>
    <n v="2"/>
    <n v="1"/>
    <s v="TA"/>
    <n v="4"/>
    <s v="Typ"/>
    <n v="0"/>
    <s v="NA"/>
    <s v="Attchd"/>
    <n v="1956"/>
    <s v="Fin"/>
    <n v="1"/>
    <n v="308"/>
    <s v="TA"/>
    <s v="TA"/>
    <s v="Y"/>
    <n v="0"/>
    <n v="0"/>
    <n v="80"/>
    <n v="0"/>
    <n v="160"/>
    <n v="0"/>
    <s v="NA"/>
    <s v="NA"/>
    <s v="NA"/>
    <n v="0"/>
    <n v="5"/>
    <n v="2010"/>
    <s v="WD"/>
    <s v="Normal"/>
    <n v="129000"/>
  </r>
  <r>
    <n v="1096"/>
    <n v="20"/>
    <s v="RL"/>
    <n v="78"/>
    <n v="9317"/>
    <s v="Pave"/>
    <s v="NA"/>
    <s v="IR1"/>
    <s v="Lvl"/>
    <s v="AllPub"/>
    <s v="Inside"/>
    <s v="Gtl"/>
    <x v="0"/>
    <x v="0"/>
    <s v="Norm"/>
    <x v="0"/>
    <x v="1"/>
    <n v="6"/>
    <n v="5"/>
    <x v="13"/>
    <n v="2006"/>
    <s v="Gable"/>
    <s v="CompShg"/>
    <s v="VinylSd"/>
    <s v="VinylSd"/>
    <s v="None"/>
    <n v="0"/>
    <s v="Gd"/>
    <s v="TA"/>
    <s v="PConc"/>
    <s v="Gd"/>
    <s v="TA"/>
    <s v="No"/>
    <s v="GLQ"/>
    <n v="24"/>
    <s v="Unf"/>
    <n v="0"/>
    <n v="1290"/>
    <n v="1314"/>
    <s v="GasA"/>
    <s v="Gd"/>
    <s v="Y"/>
    <s v="SBrkr"/>
    <n v="1314"/>
    <n v="0"/>
    <n v="0"/>
    <x v="221"/>
    <n v="0"/>
    <n v="0"/>
    <n v="2"/>
    <n v="0"/>
    <n v="3"/>
    <n v="1"/>
    <s v="Gd"/>
    <n v="6"/>
    <s v="Typ"/>
    <n v="1"/>
    <s v="Gd"/>
    <s v="Attchd"/>
    <n v="2006"/>
    <s v="RFn"/>
    <n v="2"/>
    <n v="440"/>
    <s v="TA"/>
    <s v="TA"/>
    <s v="Y"/>
    <n v="0"/>
    <n v="22"/>
    <n v="0"/>
    <n v="0"/>
    <n v="0"/>
    <n v="0"/>
    <s v="NA"/>
    <s v="NA"/>
    <s v="NA"/>
    <n v="0"/>
    <n v="3"/>
    <n v="2007"/>
    <s v="WD"/>
    <s v="Normal"/>
    <n v="176432"/>
  </r>
  <r>
    <n v="1097"/>
    <n v="70"/>
    <s v="RM"/>
    <n v="60"/>
    <n v="6882"/>
    <s v="Pave"/>
    <s v="NA"/>
    <s v="Reg"/>
    <s v="Lvl"/>
    <s v="AllPub"/>
    <s v="Inside"/>
    <s v="Gtl"/>
    <x v="13"/>
    <x v="0"/>
    <s v="Norm"/>
    <x v="0"/>
    <x v="0"/>
    <n v="6"/>
    <n v="7"/>
    <x v="101"/>
    <n v="2006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84"/>
    <n v="684"/>
    <s v="GasA"/>
    <s v="TA"/>
    <s v="Y"/>
    <s v="SBrkr"/>
    <n v="773"/>
    <n v="582"/>
    <n v="0"/>
    <x v="154"/>
    <n v="0"/>
    <n v="0"/>
    <n v="1"/>
    <n v="1"/>
    <n v="3"/>
    <n v="1"/>
    <s v="Gd"/>
    <n v="7"/>
    <s v="Typ"/>
    <n v="0"/>
    <s v="NA"/>
    <s v="NA"/>
    <s v="NA"/>
    <s v="NA"/>
    <n v="0"/>
    <n v="0"/>
    <s v="NA"/>
    <s v="NA"/>
    <s v="Y"/>
    <n v="136"/>
    <n v="0"/>
    <n v="115"/>
    <n v="0"/>
    <n v="0"/>
    <n v="0"/>
    <s v="NA"/>
    <s v="NA"/>
    <s v="NA"/>
    <n v="0"/>
    <n v="3"/>
    <n v="2007"/>
    <s v="WD"/>
    <s v="Normal"/>
    <n v="127000"/>
  </r>
  <r>
    <n v="1098"/>
    <n v="120"/>
    <s v="RL"/>
    <s v="NA"/>
    <n v="3696"/>
    <s v="Pave"/>
    <s v="NA"/>
    <s v="Reg"/>
    <s v="Lvl"/>
    <s v="AllPub"/>
    <s v="Inside"/>
    <s v="Gtl"/>
    <x v="18"/>
    <x v="0"/>
    <s v="Norm"/>
    <x v="3"/>
    <x v="1"/>
    <n v="8"/>
    <n v="5"/>
    <x v="73"/>
    <n v="1986"/>
    <s v="Gable"/>
    <s v="CompShg"/>
    <s v="HdBoard"/>
    <s v="HdBoard"/>
    <s v="None"/>
    <n v="0"/>
    <s v="Gd"/>
    <s v="TA"/>
    <s v="CBlock"/>
    <s v="Gd"/>
    <s v="TA"/>
    <s v="No"/>
    <s v="Unf"/>
    <n v="0"/>
    <s v="Unf"/>
    <n v="0"/>
    <n v="1074"/>
    <n v="1074"/>
    <s v="GasA"/>
    <s v="Ex"/>
    <s v="Y"/>
    <s v="SBrkr"/>
    <n v="1088"/>
    <n v="0"/>
    <n v="0"/>
    <x v="717"/>
    <n v="0"/>
    <n v="0"/>
    <n v="1"/>
    <n v="1"/>
    <n v="2"/>
    <n v="1"/>
    <s v="Gd"/>
    <n v="5"/>
    <s v="Typ"/>
    <n v="0"/>
    <s v="NA"/>
    <s v="Attchd"/>
    <n v="1987"/>
    <s v="RFn"/>
    <n v="2"/>
    <n v="461"/>
    <s v="TA"/>
    <s v="TA"/>
    <s v="Y"/>
    <n v="0"/>
    <n v="74"/>
    <n v="137"/>
    <n v="0"/>
    <n v="0"/>
    <n v="0"/>
    <s v="NA"/>
    <s v="NA"/>
    <s v="NA"/>
    <n v="0"/>
    <n v="10"/>
    <n v="2007"/>
    <s v="WD"/>
    <s v="Normal"/>
    <n v="170000"/>
  </r>
  <r>
    <n v="1099"/>
    <n v="50"/>
    <s v="RM"/>
    <n v="50"/>
    <n v="6000"/>
    <s v="Pave"/>
    <s v="NA"/>
    <s v="Reg"/>
    <s v="Lvl"/>
    <s v="AllPub"/>
    <s v="Inside"/>
    <s v="Gtl"/>
    <x v="8"/>
    <x v="0"/>
    <s v="Norm"/>
    <x v="0"/>
    <x v="2"/>
    <n v="4"/>
    <n v="6"/>
    <x v="65"/>
    <n v="1950"/>
    <s v="Gable"/>
    <s v="CompShg"/>
    <s v="MetalSd"/>
    <s v="MetalSd"/>
    <s v="None"/>
    <n v="0"/>
    <s v="TA"/>
    <s v="TA"/>
    <s v="BrkTil"/>
    <s v="TA"/>
    <s v="TA"/>
    <s v="No"/>
    <s v="BLQ"/>
    <n v="672"/>
    <s v="Unf"/>
    <n v="0"/>
    <n v="0"/>
    <n v="672"/>
    <s v="GasA"/>
    <s v="TA"/>
    <s v="Y"/>
    <s v="SBrkr"/>
    <n v="757"/>
    <n v="567"/>
    <n v="0"/>
    <x v="38"/>
    <n v="0"/>
    <n v="0"/>
    <n v="1"/>
    <n v="0"/>
    <n v="3"/>
    <n v="1"/>
    <s v="TA"/>
    <n v="6"/>
    <s v="Typ"/>
    <n v="0"/>
    <s v="NA"/>
    <s v="Detchd"/>
    <n v="1936"/>
    <s v="Unf"/>
    <n v="1"/>
    <n v="240"/>
    <s v="TA"/>
    <s v="TA"/>
    <s v="Y"/>
    <n v="0"/>
    <n v="0"/>
    <n v="0"/>
    <n v="0"/>
    <n v="0"/>
    <n v="0"/>
    <s v="NA"/>
    <s v="NA"/>
    <s v="NA"/>
    <n v="0"/>
    <n v="7"/>
    <n v="2009"/>
    <s v="WD"/>
    <s v="Normal"/>
    <n v="128000"/>
  </r>
  <r>
    <n v="1100"/>
    <n v="20"/>
    <s v="RL"/>
    <n v="82"/>
    <n v="11880"/>
    <s v="Pave"/>
    <s v="NA"/>
    <s v="IR1"/>
    <s v="Lvl"/>
    <s v="AllPub"/>
    <s v="Inside"/>
    <s v="Gtl"/>
    <x v="6"/>
    <x v="6"/>
    <s v="Norm"/>
    <x v="0"/>
    <x v="1"/>
    <n v="7"/>
    <n v="5"/>
    <x v="90"/>
    <n v="1978"/>
    <s v="Gable"/>
    <s v="CompShg"/>
    <s v="Plywood"/>
    <s v="Plywood"/>
    <s v="BrkFace"/>
    <n v="206"/>
    <s v="TA"/>
    <s v="TA"/>
    <s v="CBlock"/>
    <s v="Gd"/>
    <s v="TA"/>
    <s v="No"/>
    <s v="ALQ"/>
    <n v="704"/>
    <s v="Unf"/>
    <n v="0"/>
    <n v="567"/>
    <n v="1271"/>
    <s v="GasA"/>
    <s v="TA"/>
    <s v="Y"/>
    <s v="SBrkr"/>
    <n v="1601"/>
    <n v="0"/>
    <n v="0"/>
    <x v="426"/>
    <n v="0"/>
    <n v="0"/>
    <n v="2"/>
    <n v="0"/>
    <n v="3"/>
    <n v="1"/>
    <s v="TA"/>
    <n v="7"/>
    <s v="Typ"/>
    <n v="1"/>
    <s v="TA"/>
    <s v="Attchd"/>
    <n v="1978"/>
    <s v="RFn"/>
    <n v="2"/>
    <n v="478"/>
    <s v="TA"/>
    <s v="TA"/>
    <s v="Y"/>
    <n v="0"/>
    <n v="0"/>
    <n v="0"/>
    <n v="0"/>
    <n v="0"/>
    <n v="0"/>
    <s v="NA"/>
    <s v="NA"/>
    <s v="NA"/>
    <n v="0"/>
    <n v="4"/>
    <n v="2009"/>
    <s v="COD"/>
    <s v="Abnorml"/>
    <n v="157000"/>
  </r>
  <r>
    <n v="1101"/>
    <n v="30"/>
    <s v="RL"/>
    <n v="60"/>
    <n v="8400"/>
    <s v="Pave"/>
    <s v="NA"/>
    <s v="Reg"/>
    <s v="Bnk"/>
    <s v="AllPub"/>
    <s v="Inside"/>
    <s v="Gtl"/>
    <x v="23"/>
    <x v="0"/>
    <s v="Norm"/>
    <x v="0"/>
    <x v="1"/>
    <n v="2"/>
    <n v="5"/>
    <x v="26"/>
    <n v="1950"/>
    <s v="Gable"/>
    <s v="CompShg"/>
    <s v="Wd Sdng"/>
    <s v="Wd Sdng"/>
    <s v="None"/>
    <n v="0"/>
    <s v="TA"/>
    <s v="TA"/>
    <s v="CBlock"/>
    <s v="TA"/>
    <s v="Fa"/>
    <s v="No"/>
    <s v="Rec"/>
    <n v="290"/>
    <s v="Unf"/>
    <n v="0"/>
    <n v="0"/>
    <n v="290"/>
    <s v="GasA"/>
    <s v="TA"/>
    <s v="N"/>
    <s v="FuseF"/>
    <n v="438"/>
    <n v="0"/>
    <n v="0"/>
    <x v="718"/>
    <n v="0"/>
    <n v="0"/>
    <n v="1"/>
    <n v="0"/>
    <n v="1"/>
    <n v="1"/>
    <s v="Fa"/>
    <n v="3"/>
    <s v="Typ"/>
    <n v="0"/>
    <s v="NA"/>
    <s v="Detchd"/>
    <n v="1930"/>
    <s v="Unf"/>
    <n v="1"/>
    <n v="246"/>
    <s v="TA"/>
    <s v="TA"/>
    <s v="N"/>
    <n v="0"/>
    <n v="0"/>
    <n v="0"/>
    <n v="0"/>
    <n v="0"/>
    <n v="0"/>
    <s v="NA"/>
    <s v="NA"/>
    <s v="NA"/>
    <n v="0"/>
    <n v="1"/>
    <n v="2009"/>
    <s v="WD"/>
    <s v="Normal"/>
    <n v="60000"/>
  </r>
  <r>
    <n v="1102"/>
    <n v="20"/>
    <s v="RL"/>
    <n v="61"/>
    <n v="9758"/>
    <s v="Pave"/>
    <s v="NA"/>
    <s v="IR1"/>
    <s v="Lvl"/>
    <s v="AllPub"/>
    <s v="Inside"/>
    <s v="Gtl"/>
    <x v="11"/>
    <x v="0"/>
    <s v="Norm"/>
    <x v="0"/>
    <x v="1"/>
    <n v="5"/>
    <n v="5"/>
    <x v="63"/>
    <n v="1971"/>
    <s v="Gable"/>
    <s v="CompShg"/>
    <s v="HdBoard"/>
    <s v="MetalSd"/>
    <s v="None"/>
    <n v="0"/>
    <s v="TA"/>
    <s v="TA"/>
    <s v="CBlock"/>
    <s v="TA"/>
    <s v="TA"/>
    <s v="No"/>
    <s v="BLQ"/>
    <n v="412"/>
    <s v="LwQ"/>
    <n v="287"/>
    <n v="251"/>
    <n v="950"/>
    <s v="GasA"/>
    <s v="TA"/>
    <s v="Y"/>
    <s v="SBrkr"/>
    <n v="950"/>
    <n v="0"/>
    <n v="0"/>
    <x v="719"/>
    <n v="0"/>
    <n v="0"/>
    <n v="1"/>
    <n v="0"/>
    <n v="3"/>
    <n v="1"/>
    <s v="TA"/>
    <n v="5"/>
    <s v="Typ"/>
    <n v="0"/>
    <s v="NA"/>
    <s v="Detchd"/>
    <n v="1981"/>
    <s v="Unf"/>
    <n v="1"/>
    <n v="280"/>
    <s v="TA"/>
    <s v="TA"/>
    <s v="Y"/>
    <n v="0"/>
    <n v="0"/>
    <n v="0"/>
    <n v="0"/>
    <n v="0"/>
    <n v="0"/>
    <s v="NA"/>
    <s v="NA"/>
    <s v="NA"/>
    <n v="0"/>
    <n v="7"/>
    <n v="2007"/>
    <s v="WD"/>
    <s v="Normal"/>
    <n v="119500"/>
  </r>
  <r>
    <n v="1103"/>
    <n v="20"/>
    <s v="RL"/>
    <n v="70"/>
    <n v="7000"/>
    <s v="Pave"/>
    <s v="NA"/>
    <s v="Reg"/>
    <s v="Lvl"/>
    <s v="AllPub"/>
    <s v="Inside"/>
    <s v="Gtl"/>
    <x v="11"/>
    <x v="0"/>
    <s v="Norm"/>
    <x v="0"/>
    <x v="1"/>
    <n v="5"/>
    <n v="7"/>
    <x v="14"/>
    <n v="2002"/>
    <s v="Gable"/>
    <s v="CompShg"/>
    <s v="Wd Sdng"/>
    <s v="Wd Sdng"/>
    <s v="BrkFace"/>
    <n v="45"/>
    <s v="TA"/>
    <s v="TA"/>
    <s v="CBlock"/>
    <s v="TA"/>
    <s v="TA"/>
    <s v="No"/>
    <s v="Rec"/>
    <n v="588"/>
    <s v="Unf"/>
    <n v="0"/>
    <n v="422"/>
    <n v="1010"/>
    <s v="GasA"/>
    <s v="Ex"/>
    <s v="Y"/>
    <s v="SBrkr"/>
    <n v="1134"/>
    <n v="0"/>
    <n v="0"/>
    <x v="343"/>
    <n v="0"/>
    <n v="0"/>
    <n v="1"/>
    <n v="0"/>
    <n v="2"/>
    <n v="1"/>
    <s v="TA"/>
    <n v="6"/>
    <s v="Typ"/>
    <n v="0"/>
    <s v="NA"/>
    <s v="Attchd"/>
    <n v="1960"/>
    <s v="RFn"/>
    <n v="1"/>
    <n v="254"/>
    <s v="TA"/>
    <s v="TA"/>
    <s v="Y"/>
    <n v="0"/>
    <n v="16"/>
    <n v="0"/>
    <n v="0"/>
    <n v="0"/>
    <n v="0"/>
    <s v="NA"/>
    <s v="MnWw"/>
    <s v="NA"/>
    <n v="0"/>
    <n v="4"/>
    <n v="2007"/>
    <s v="WD"/>
    <s v="Family"/>
    <n v="135000"/>
  </r>
  <r>
    <n v="1104"/>
    <n v="20"/>
    <s v="RL"/>
    <n v="79"/>
    <n v="8910"/>
    <s v="Pave"/>
    <s v="NA"/>
    <s v="Reg"/>
    <s v="Lvl"/>
    <s v="AllPub"/>
    <s v="Corner"/>
    <s v="Gtl"/>
    <x v="11"/>
    <x v="0"/>
    <s v="Norm"/>
    <x v="0"/>
    <x v="1"/>
    <n v="6"/>
    <n v="6"/>
    <x v="28"/>
    <n v="1959"/>
    <s v="Hip"/>
    <s v="CompShg"/>
    <s v="BrkFace"/>
    <s v="BrkFace"/>
    <s v="None"/>
    <n v="0"/>
    <s v="TA"/>
    <s v="TA"/>
    <s v="CBlock"/>
    <s v="TA"/>
    <s v="TA"/>
    <s v="Mn"/>
    <s v="ALQ"/>
    <n v="655"/>
    <s v="Unf"/>
    <n v="0"/>
    <n v="0"/>
    <n v="655"/>
    <s v="GasA"/>
    <s v="Ex"/>
    <s v="Y"/>
    <s v="SBrkr"/>
    <n v="1194"/>
    <n v="0"/>
    <n v="0"/>
    <x v="202"/>
    <n v="0"/>
    <n v="1"/>
    <n v="1"/>
    <n v="0"/>
    <n v="3"/>
    <n v="1"/>
    <s v="TA"/>
    <n v="6"/>
    <s v="Typ"/>
    <n v="1"/>
    <s v="Fa"/>
    <s v="BuiltIn"/>
    <n v="1954"/>
    <s v="Fin"/>
    <n v="2"/>
    <n v="539"/>
    <s v="TA"/>
    <s v="TA"/>
    <s v="Y"/>
    <n v="0"/>
    <n v="0"/>
    <n v="192"/>
    <n v="0"/>
    <n v="0"/>
    <n v="0"/>
    <s v="NA"/>
    <s v="NA"/>
    <s v="NA"/>
    <n v="0"/>
    <n v="7"/>
    <n v="2006"/>
    <s v="WD"/>
    <s v="Normal"/>
    <n v="159500"/>
  </r>
  <r>
    <n v="1105"/>
    <n v="160"/>
    <s v="RM"/>
    <n v="24"/>
    <n v="2016"/>
    <s v="Pave"/>
    <s v="NA"/>
    <s v="Reg"/>
    <s v="Lvl"/>
    <s v="AllPub"/>
    <s v="Inside"/>
    <s v="Gtl"/>
    <x v="22"/>
    <x v="0"/>
    <s v="Norm"/>
    <x v="3"/>
    <x v="0"/>
    <n v="5"/>
    <n v="5"/>
    <x v="16"/>
    <n v="1970"/>
    <s v="Gable"/>
    <s v="CompShg"/>
    <s v="HdBoard"/>
    <s v="HdBoard"/>
    <s v="BrkFace"/>
    <n v="304"/>
    <s v="TA"/>
    <s v="TA"/>
    <s v="CBlock"/>
    <s v="TA"/>
    <s v="TA"/>
    <s v="No"/>
    <s v="Unf"/>
    <n v="0"/>
    <s v="Unf"/>
    <n v="0"/>
    <n v="630"/>
    <n v="630"/>
    <s v="GasA"/>
    <s v="TA"/>
    <s v="Y"/>
    <s v="SBrkr"/>
    <n v="630"/>
    <n v="672"/>
    <n v="0"/>
    <x v="198"/>
    <n v="0"/>
    <n v="0"/>
    <n v="2"/>
    <n v="1"/>
    <n v="3"/>
    <n v="1"/>
    <s v="TA"/>
    <n v="6"/>
    <s v="Typ"/>
    <n v="0"/>
    <s v="NA"/>
    <s v="Detchd"/>
    <n v="1970"/>
    <s v="Unf"/>
    <n v="2"/>
    <n v="440"/>
    <s v="TA"/>
    <s v="TA"/>
    <s v="Y"/>
    <n v="0"/>
    <n v="0"/>
    <n v="0"/>
    <n v="0"/>
    <n v="0"/>
    <n v="0"/>
    <s v="NA"/>
    <s v="NA"/>
    <s v="NA"/>
    <n v="0"/>
    <n v="4"/>
    <n v="2007"/>
    <s v="WD"/>
    <s v="Normal"/>
    <n v="106000"/>
  </r>
  <r>
    <n v="1106"/>
    <n v="60"/>
    <s v="RL"/>
    <n v="98"/>
    <n v="12256"/>
    <s v="Pave"/>
    <s v="NA"/>
    <s v="IR1"/>
    <s v="Lvl"/>
    <s v="AllPub"/>
    <s v="Corner"/>
    <s v="Gtl"/>
    <x v="3"/>
    <x v="0"/>
    <s v="Norm"/>
    <x v="0"/>
    <x v="0"/>
    <n v="8"/>
    <n v="5"/>
    <x v="29"/>
    <n v="1995"/>
    <s v="Gable"/>
    <s v="CompShg"/>
    <s v="HdBoard"/>
    <s v="HdBoard"/>
    <s v="BrkFace"/>
    <n v="362"/>
    <s v="Gd"/>
    <s v="TA"/>
    <s v="PConc"/>
    <s v="Ex"/>
    <s v="TA"/>
    <s v="Av"/>
    <s v="GLQ"/>
    <n v="1032"/>
    <s v="Unf"/>
    <n v="0"/>
    <n v="431"/>
    <n v="1463"/>
    <s v="GasA"/>
    <s v="Ex"/>
    <s v="Y"/>
    <s v="SBrkr"/>
    <n v="1500"/>
    <n v="1122"/>
    <n v="0"/>
    <x v="720"/>
    <n v="1"/>
    <n v="0"/>
    <n v="2"/>
    <n v="1"/>
    <n v="3"/>
    <n v="1"/>
    <s v="Gd"/>
    <n v="9"/>
    <s v="Typ"/>
    <n v="2"/>
    <s v="TA"/>
    <s v="Attchd"/>
    <n v="1994"/>
    <s v="RFn"/>
    <n v="2"/>
    <n v="712"/>
    <s v="TA"/>
    <s v="TA"/>
    <s v="Y"/>
    <n v="186"/>
    <n v="32"/>
    <n v="0"/>
    <n v="0"/>
    <n v="0"/>
    <n v="0"/>
    <s v="NA"/>
    <s v="NA"/>
    <s v="NA"/>
    <n v="0"/>
    <n v="4"/>
    <n v="2010"/>
    <s v="WD"/>
    <s v="Normal"/>
    <n v="325000"/>
  </r>
  <r>
    <n v="1107"/>
    <n v="20"/>
    <s v="RL"/>
    <n v="114"/>
    <n v="10357"/>
    <s v="Pave"/>
    <s v="NA"/>
    <s v="IR1"/>
    <s v="Lvl"/>
    <s v="AllPub"/>
    <s v="Corner"/>
    <s v="Gtl"/>
    <x v="12"/>
    <x v="1"/>
    <s v="Norm"/>
    <x v="0"/>
    <x v="1"/>
    <n v="7"/>
    <n v="5"/>
    <x v="59"/>
    <n v="1991"/>
    <s v="Hip"/>
    <s v="CompShg"/>
    <s v="HdBoard"/>
    <s v="HdBoard"/>
    <s v="None"/>
    <n v="0"/>
    <s v="Gd"/>
    <s v="TA"/>
    <s v="PConc"/>
    <s v="Gd"/>
    <s v="TA"/>
    <s v="Mn"/>
    <s v="GLQ"/>
    <n v="738"/>
    <s v="Unf"/>
    <n v="0"/>
    <n v="172"/>
    <n v="910"/>
    <s v="GasA"/>
    <s v="Gd"/>
    <s v="Y"/>
    <s v="SBrkr"/>
    <n v="1442"/>
    <n v="0"/>
    <n v="0"/>
    <x v="184"/>
    <n v="1"/>
    <n v="0"/>
    <n v="2"/>
    <n v="0"/>
    <n v="3"/>
    <n v="1"/>
    <s v="Gd"/>
    <n v="6"/>
    <s v="Typ"/>
    <n v="1"/>
    <s v="TA"/>
    <s v="Attchd"/>
    <n v="1990"/>
    <s v="Fin"/>
    <n v="2"/>
    <n v="719"/>
    <s v="TA"/>
    <s v="TA"/>
    <s v="Y"/>
    <n v="0"/>
    <n v="244"/>
    <n v="0"/>
    <n v="0"/>
    <n v="0"/>
    <n v="0"/>
    <s v="NA"/>
    <s v="NA"/>
    <s v="NA"/>
    <n v="0"/>
    <n v="5"/>
    <n v="2007"/>
    <s v="WD"/>
    <s v="Normal"/>
    <n v="179900"/>
  </r>
  <r>
    <n v="1108"/>
    <n v="60"/>
    <s v="RL"/>
    <n v="168"/>
    <n v="23257"/>
    <s v="Pave"/>
    <s v="NA"/>
    <s v="IR3"/>
    <s v="HLS"/>
    <s v="AllPub"/>
    <s v="CulDSac"/>
    <s v="Gtl"/>
    <x v="17"/>
    <x v="0"/>
    <s v="Norm"/>
    <x v="0"/>
    <x v="0"/>
    <n v="7"/>
    <n v="5"/>
    <x v="13"/>
    <n v="2006"/>
    <s v="Gable"/>
    <s v="CompShg"/>
    <s v="VinylSd"/>
    <s v="VinylSd"/>
    <s v="None"/>
    <n v="0"/>
    <s v="Gd"/>
    <s v="TA"/>
    <s v="PConc"/>
    <s v="Ex"/>
    <s v="Gd"/>
    <s v="No"/>
    <s v="Unf"/>
    <n v="0"/>
    <s v="Unf"/>
    <n v="0"/>
    <n v="868"/>
    <n v="868"/>
    <s v="GasA"/>
    <s v="Ex"/>
    <s v="Y"/>
    <s v="SBrkr"/>
    <n v="887"/>
    <n v="1134"/>
    <n v="0"/>
    <x v="721"/>
    <n v="0"/>
    <n v="0"/>
    <n v="2"/>
    <n v="1"/>
    <n v="3"/>
    <n v="1"/>
    <s v="Gd"/>
    <n v="9"/>
    <s v="Typ"/>
    <n v="1"/>
    <s v="Gd"/>
    <s v="BuiltIn"/>
    <n v="2006"/>
    <s v="RFn"/>
    <n v="2"/>
    <n v="422"/>
    <s v="TA"/>
    <s v="TA"/>
    <s v="Y"/>
    <n v="0"/>
    <n v="100"/>
    <n v="0"/>
    <n v="0"/>
    <n v="0"/>
    <n v="0"/>
    <s v="NA"/>
    <s v="NA"/>
    <s v="NA"/>
    <n v="0"/>
    <n v="9"/>
    <n v="2006"/>
    <s v="New"/>
    <s v="Partial"/>
    <n v="274725"/>
  </r>
  <r>
    <n v="1109"/>
    <n v="60"/>
    <s v="RL"/>
    <s v="NA"/>
    <n v="8063"/>
    <s v="Pave"/>
    <s v="NA"/>
    <s v="Reg"/>
    <s v="Lvl"/>
    <s v="AllPub"/>
    <s v="Inside"/>
    <s v="Gtl"/>
    <x v="17"/>
    <x v="0"/>
    <s v="Norm"/>
    <x v="0"/>
    <x v="0"/>
    <n v="6"/>
    <n v="5"/>
    <x v="4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24"/>
    <n v="924"/>
    <s v="GasA"/>
    <s v="Ex"/>
    <s v="Y"/>
    <s v="SBrkr"/>
    <n v="948"/>
    <n v="742"/>
    <n v="0"/>
    <x v="722"/>
    <n v="0"/>
    <n v="0"/>
    <n v="2"/>
    <n v="1"/>
    <n v="3"/>
    <n v="1"/>
    <s v="TA"/>
    <n v="7"/>
    <s v="Typ"/>
    <n v="1"/>
    <s v="TA"/>
    <s v="Attchd"/>
    <n v="2000"/>
    <s v="RFn"/>
    <n v="2"/>
    <n v="463"/>
    <s v="TA"/>
    <s v="TA"/>
    <s v="Y"/>
    <n v="100"/>
    <n v="48"/>
    <n v="0"/>
    <n v="0"/>
    <n v="0"/>
    <n v="0"/>
    <s v="NA"/>
    <s v="NA"/>
    <s v="NA"/>
    <n v="0"/>
    <n v="11"/>
    <n v="2007"/>
    <s v="WD"/>
    <s v="Abnorml"/>
    <n v="181000"/>
  </r>
  <r>
    <n v="1110"/>
    <n v="20"/>
    <s v="RL"/>
    <n v="107"/>
    <n v="11362"/>
    <s v="Pave"/>
    <s v="NA"/>
    <s v="IR1"/>
    <s v="Lvl"/>
    <s v="AllPub"/>
    <s v="Inside"/>
    <s v="Gtl"/>
    <x v="10"/>
    <x v="0"/>
    <s v="Norm"/>
    <x v="0"/>
    <x v="1"/>
    <n v="8"/>
    <n v="5"/>
    <x v="6"/>
    <n v="2005"/>
    <s v="Gable"/>
    <s v="CompShg"/>
    <s v="MetalSd"/>
    <s v="MetalSd"/>
    <s v="Stone"/>
    <n v="42"/>
    <s v="Gd"/>
    <s v="TA"/>
    <s v="PConc"/>
    <s v="Ex"/>
    <s v="TA"/>
    <s v="Mn"/>
    <s v="GLQ"/>
    <n v="1039"/>
    <s v="Unf"/>
    <n v="0"/>
    <n v="797"/>
    <n v="1836"/>
    <s v="GasA"/>
    <s v="Ex"/>
    <s v="Y"/>
    <s v="SBrkr"/>
    <n v="1836"/>
    <n v="0"/>
    <n v="0"/>
    <x v="560"/>
    <n v="1"/>
    <n v="0"/>
    <n v="2"/>
    <n v="0"/>
    <n v="3"/>
    <n v="1"/>
    <s v="Gd"/>
    <n v="7"/>
    <s v="Typ"/>
    <n v="1"/>
    <s v="Gd"/>
    <s v="Attchd"/>
    <n v="2004"/>
    <s v="Fin"/>
    <n v="3"/>
    <n v="862"/>
    <s v="TA"/>
    <s v="TA"/>
    <s v="Y"/>
    <n v="125"/>
    <n v="185"/>
    <n v="0"/>
    <n v="0"/>
    <n v="0"/>
    <n v="0"/>
    <s v="NA"/>
    <s v="NA"/>
    <s v="NA"/>
    <n v="0"/>
    <n v="3"/>
    <n v="2009"/>
    <s v="WD"/>
    <s v="Normal"/>
    <n v="280000"/>
  </r>
  <r>
    <n v="1111"/>
    <n v="60"/>
    <s v="RL"/>
    <s v="NA"/>
    <n v="8000"/>
    <s v="Pave"/>
    <s v="NA"/>
    <s v="Reg"/>
    <s v="Lvl"/>
    <s v="AllPub"/>
    <s v="Inside"/>
    <s v="Gtl"/>
    <x v="17"/>
    <x v="0"/>
    <s v="Norm"/>
    <x v="0"/>
    <x v="0"/>
    <n v="6"/>
    <n v="5"/>
    <x v="49"/>
    <n v="1996"/>
    <s v="Gable"/>
    <s v="CompShg"/>
    <s v="HdBoard"/>
    <s v="HdBoard"/>
    <s v="None"/>
    <n v="0"/>
    <s v="TA"/>
    <s v="TA"/>
    <s v="PConc"/>
    <s v="Gd"/>
    <s v="TA"/>
    <s v="No"/>
    <s v="GLQ"/>
    <n v="219"/>
    <s v="Unf"/>
    <n v="0"/>
    <n v="554"/>
    <n v="773"/>
    <s v="GasA"/>
    <s v="Gd"/>
    <s v="Y"/>
    <s v="SBrkr"/>
    <n v="773"/>
    <n v="885"/>
    <n v="0"/>
    <x v="723"/>
    <n v="1"/>
    <n v="0"/>
    <n v="2"/>
    <n v="1"/>
    <n v="3"/>
    <n v="1"/>
    <s v="TA"/>
    <n v="8"/>
    <s v="Typ"/>
    <n v="1"/>
    <s v="TA"/>
    <s v="Attchd"/>
    <n v="1995"/>
    <s v="Fin"/>
    <n v="2"/>
    <n v="431"/>
    <s v="TA"/>
    <s v="TA"/>
    <s v="Y"/>
    <n v="224"/>
    <n v="84"/>
    <n v="0"/>
    <n v="0"/>
    <n v="0"/>
    <n v="0"/>
    <s v="NA"/>
    <s v="NA"/>
    <s v="NA"/>
    <n v="0"/>
    <n v="6"/>
    <n v="2008"/>
    <s v="WD"/>
    <s v="Normal"/>
    <n v="188000"/>
  </r>
  <r>
    <n v="1112"/>
    <n v="60"/>
    <s v="RL"/>
    <n v="80"/>
    <n v="10480"/>
    <s v="Pave"/>
    <s v="NA"/>
    <s v="Reg"/>
    <s v="Lvl"/>
    <s v="AllPub"/>
    <s v="Inside"/>
    <s v="Gtl"/>
    <x v="6"/>
    <x v="0"/>
    <s v="Norm"/>
    <x v="0"/>
    <x v="0"/>
    <n v="7"/>
    <n v="6"/>
    <x v="1"/>
    <n v="1976"/>
    <s v="Hip"/>
    <s v="CompShg"/>
    <s v="Plywood"/>
    <s v="Plywood"/>
    <s v="BrkFace"/>
    <n v="660"/>
    <s v="TA"/>
    <s v="TA"/>
    <s v="CBlock"/>
    <s v="TA"/>
    <s v="TA"/>
    <s v="No"/>
    <s v="ALQ"/>
    <n v="403"/>
    <s v="Unf"/>
    <n v="0"/>
    <n v="400"/>
    <n v="803"/>
    <s v="GasA"/>
    <s v="TA"/>
    <s v="Y"/>
    <s v="SBrkr"/>
    <n v="1098"/>
    <n v="866"/>
    <n v="0"/>
    <x v="724"/>
    <n v="0"/>
    <n v="0"/>
    <n v="2"/>
    <n v="1"/>
    <n v="4"/>
    <n v="1"/>
    <s v="TA"/>
    <n v="8"/>
    <s v="Typ"/>
    <n v="1"/>
    <s v="Gd"/>
    <s v="Attchd"/>
    <n v="1976"/>
    <s v="RFn"/>
    <n v="2"/>
    <n v="483"/>
    <s v="TA"/>
    <s v="TA"/>
    <s v="Y"/>
    <n v="0"/>
    <n v="69"/>
    <n v="0"/>
    <n v="0"/>
    <n v="0"/>
    <n v="0"/>
    <s v="NA"/>
    <s v="NA"/>
    <s v="NA"/>
    <n v="0"/>
    <n v="9"/>
    <n v="2008"/>
    <s v="WD"/>
    <s v="Normal"/>
    <n v="205000"/>
  </r>
  <r>
    <n v="1113"/>
    <n v="20"/>
    <s v="RL"/>
    <n v="73"/>
    <n v="7100"/>
    <s v="Pave"/>
    <s v="NA"/>
    <s v="IR1"/>
    <s v="Lvl"/>
    <s v="AllPub"/>
    <s v="Corner"/>
    <s v="Gtl"/>
    <x v="11"/>
    <x v="0"/>
    <s v="Norm"/>
    <x v="0"/>
    <x v="1"/>
    <n v="5"/>
    <n v="7"/>
    <x v="24"/>
    <n v="1957"/>
    <s v="Gable"/>
    <s v="CompShg"/>
    <s v="WdShing"/>
    <s v="Wd Shng"/>
    <s v="None"/>
    <n v="0"/>
    <s v="TA"/>
    <s v="TA"/>
    <s v="CBlock"/>
    <s v="TA"/>
    <s v="TA"/>
    <s v="No"/>
    <s v="GLQ"/>
    <n v="708"/>
    <s v="Unf"/>
    <n v="0"/>
    <n v="108"/>
    <n v="816"/>
    <s v="GasA"/>
    <s v="TA"/>
    <s v="Y"/>
    <s v="FuseA"/>
    <n v="816"/>
    <n v="0"/>
    <n v="0"/>
    <x v="50"/>
    <n v="1"/>
    <n v="0"/>
    <n v="1"/>
    <n v="0"/>
    <n v="2"/>
    <n v="1"/>
    <s v="TA"/>
    <n v="5"/>
    <s v="Typ"/>
    <n v="0"/>
    <s v="NA"/>
    <s v="Detchd"/>
    <n v="1957"/>
    <s v="Unf"/>
    <n v="1"/>
    <n v="308"/>
    <s v="TA"/>
    <s v="TA"/>
    <s v="Y"/>
    <n v="0"/>
    <n v="0"/>
    <n v="0"/>
    <n v="0"/>
    <n v="0"/>
    <n v="0"/>
    <s v="NA"/>
    <s v="NA"/>
    <s v="NA"/>
    <n v="0"/>
    <n v="7"/>
    <n v="2006"/>
    <s v="WD"/>
    <s v="Normal"/>
    <n v="129900"/>
  </r>
  <r>
    <n v="1114"/>
    <n v="20"/>
    <s v="RL"/>
    <n v="66"/>
    <n v="8923"/>
    <s v="Pave"/>
    <s v="NA"/>
    <s v="Reg"/>
    <s v="Lvl"/>
    <s v="AllPub"/>
    <s v="Inside"/>
    <s v="Gtl"/>
    <x v="11"/>
    <x v="0"/>
    <s v="Norm"/>
    <x v="0"/>
    <x v="1"/>
    <n v="5"/>
    <n v="7"/>
    <x v="31"/>
    <n v="2006"/>
    <s v="Gable"/>
    <s v="CompShg"/>
    <s v="Wd Sdng"/>
    <s v="Wd Sdng"/>
    <s v="None"/>
    <n v="0"/>
    <s v="TA"/>
    <s v="TA"/>
    <s v="CBlock"/>
    <s v="TA"/>
    <s v="TA"/>
    <s v="No"/>
    <s v="BLQ"/>
    <n v="643"/>
    <s v="Unf"/>
    <n v="0"/>
    <n v="365"/>
    <n v="1008"/>
    <s v="GasA"/>
    <s v="Gd"/>
    <s v="Y"/>
    <s v="SBrkr"/>
    <n v="1008"/>
    <n v="0"/>
    <n v="0"/>
    <x v="588"/>
    <n v="1"/>
    <n v="0"/>
    <n v="1"/>
    <n v="0"/>
    <n v="2"/>
    <n v="1"/>
    <s v="Gd"/>
    <n v="6"/>
    <s v="Typ"/>
    <n v="0"/>
    <s v="NA"/>
    <s v="Attchd"/>
    <n v="1953"/>
    <s v="Unf"/>
    <n v="1"/>
    <n v="240"/>
    <s v="TA"/>
    <s v="TA"/>
    <s v="Y"/>
    <n v="0"/>
    <n v="18"/>
    <n v="0"/>
    <n v="0"/>
    <n v="0"/>
    <n v="0"/>
    <s v="NA"/>
    <s v="NA"/>
    <s v="NA"/>
    <n v="0"/>
    <n v="5"/>
    <n v="2007"/>
    <s v="WD"/>
    <s v="Normal"/>
    <n v="134500"/>
  </r>
  <r>
    <n v="1115"/>
    <n v="20"/>
    <s v="RL"/>
    <n v="90"/>
    <n v="5400"/>
    <s v="Pave"/>
    <s v="NA"/>
    <s v="Reg"/>
    <s v="Lvl"/>
    <s v="AllPub"/>
    <s v="Inside"/>
    <s v="Gtl"/>
    <x v="7"/>
    <x v="0"/>
    <s v="Norm"/>
    <x v="0"/>
    <x v="1"/>
    <n v="5"/>
    <n v="7"/>
    <x v="30"/>
    <n v="2000"/>
    <s v="Gable"/>
    <s v="CompShg"/>
    <s v="MetalSd"/>
    <s v="MetalSd"/>
    <s v="None"/>
    <n v="0"/>
    <s v="TA"/>
    <s v="Gd"/>
    <s v="CBlock"/>
    <s v="TA"/>
    <s v="TA"/>
    <s v="No"/>
    <s v="Rec"/>
    <n v="415"/>
    <s v="Unf"/>
    <n v="0"/>
    <n v="418"/>
    <n v="833"/>
    <s v="GasA"/>
    <s v="Ex"/>
    <s v="Y"/>
    <s v="SBrkr"/>
    <n v="833"/>
    <n v="0"/>
    <n v="0"/>
    <x v="725"/>
    <n v="0"/>
    <n v="0"/>
    <n v="1"/>
    <n v="0"/>
    <n v="2"/>
    <n v="1"/>
    <s v="Gd"/>
    <n v="4"/>
    <s v="Typ"/>
    <n v="0"/>
    <s v="NA"/>
    <s v="Detchd"/>
    <n v="1955"/>
    <s v="Unf"/>
    <n v="1"/>
    <n v="326"/>
    <s v="TA"/>
    <s v="TA"/>
    <s v="Y"/>
    <n v="0"/>
    <n v="0"/>
    <n v="0"/>
    <n v="0"/>
    <n v="0"/>
    <n v="0"/>
    <s v="NA"/>
    <s v="MnPrv"/>
    <s v="NA"/>
    <n v="0"/>
    <n v="8"/>
    <n v="2006"/>
    <s v="WD"/>
    <s v="Normal"/>
    <n v="117000"/>
  </r>
  <r>
    <n v="1116"/>
    <n v="20"/>
    <s v="RL"/>
    <n v="93"/>
    <n v="12085"/>
    <s v="Pave"/>
    <s v="NA"/>
    <s v="Reg"/>
    <s v="Lvl"/>
    <s v="AllPub"/>
    <s v="Inside"/>
    <s v="Gtl"/>
    <x v="10"/>
    <x v="0"/>
    <s v="Norm"/>
    <x v="0"/>
    <x v="1"/>
    <n v="8"/>
    <n v="5"/>
    <x v="22"/>
    <n v="2007"/>
    <s v="Hip"/>
    <s v="CompShg"/>
    <s v="VinylSd"/>
    <s v="VinylSd"/>
    <s v="Stone"/>
    <n v="328"/>
    <s v="Gd"/>
    <s v="TA"/>
    <s v="PConc"/>
    <s v="Ex"/>
    <s v="TA"/>
    <s v="No"/>
    <s v="GLQ"/>
    <n v="1004"/>
    <s v="Unf"/>
    <n v="0"/>
    <n v="730"/>
    <n v="1734"/>
    <s v="GasA"/>
    <s v="Ex"/>
    <s v="Y"/>
    <s v="SBrkr"/>
    <n v="1734"/>
    <n v="0"/>
    <n v="0"/>
    <x v="133"/>
    <n v="1"/>
    <n v="0"/>
    <n v="2"/>
    <n v="0"/>
    <n v="3"/>
    <n v="1"/>
    <s v="Ex"/>
    <n v="7"/>
    <s v="Typ"/>
    <n v="1"/>
    <s v="Gd"/>
    <s v="Attchd"/>
    <n v="2007"/>
    <s v="RFn"/>
    <n v="3"/>
    <n v="928"/>
    <s v="TA"/>
    <s v="TA"/>
    <s v="Y"/>
    <n v="0"/>
    <n v="0"/>
    <n v="0"/>
    <n v="0"/>
    <n v="0"/>
    <n v="0"/>
    <s v="NA"/>
    <s v="NA"/>
    <s v="NA"/>
    <n v="0"/>
    <n v="11"/>
    <n v="2007"/>
    <s v="New"/>
    <s v="Partial"/>
    <n v="318000"/>
  </r>
  <r>
    <n v="1117"/>
    <n v="80"/>
    <s v="RL"/>
    <s v="NA"/>
    <n v="7750"/>
    <s v="Pave"/>
    <s v="NA"/>
    <s v="Reg"/>
    <s v="Lvl"/>
    <s v="AllPub"/>
    <s v="Inside"/>
    <s v="Gtl"/>
    <x v="17"/>
    <x v="0"/>
    <s v="Norm"/>
    <x v="0"/>
    <x v="5"/>
    <n v="8"/>
    <n v="5"/>
    <x v="20"/>
    <n v="2002"/>
    <s v="Hip"/>
    <s v="CompShg"/>
    <s v="VinylSd"/>
    <s v="VinylSd"/>
    <s v="None"/>
    <n v="0"/>
    <s v="Gd"/>
    <s v="TA"/>
    <s v="PConc"/>
    <s v="Gd"/>
    <s v="TA"/>
    <s v="No"/>
    <s v="GLQ"/>
    <n v="353"/>
    <s v="Unf"/>
    <n v="0"/>
    <n v="55"/>
    <n v="408"/>
    <s v="GasA"/>
    <s v="Ex"/>
    <s v="Y"/>
    <s v="SBrkr"/>
    <n v="779"/>
    <n v="640"/>
    <n v="0"/>
    <x v="522"/>
    <n v="1"/>
    <n v="0"/>
    <n v="2"/>
    <n v="1"/>
    <n v="3"/>
    <n v="1"/>
    <s v="Gd"/>
    <n v="7"/>
    <s v="Typ"/>
    <n v="1"/>
    <s v="TA"/>
    <s v="BuiltIn"/>
    <n v="2002"/>
    <s v="Fin"/>
    <n v="2"/>
    <n v="527"/>
    <s v="TA"/>
    <s v="TA"/>
    <s v="Y"/>
    <n v="120"/>
    <n v="0"/>
    <n v="0"/>
    <n v="0"/>
    <n v="0"/>
    <n v="0"/>
    <s v="NA"/>
    <s v="NA"/>
    <s v="NA"/>
    <n v="0"/>
    <n v="3"/>
    <n v="2009"/>
    <s v="WD"/>
    <s v="Normal"/>
    <n v="184100"/>
  </r>
  <r>
    <n v="1118"/>
    <n v="20"/>
    <s v="RL"/>
    <n v="57"/>
    <n v="9764"/>
    <s v="Pave"/>
    <s v="NA"/>
    <s v="IR1"/>
    <s v="Lvl"/>
    <s v="AllPub"/>
    <s v="FR2"/>
    <s v="Gtl"/>
    <x v="9"/>
    <x v="1"/>
    <s v="Norm"/>
    <x v="0"/>
    <x v="1"/>
    <n v="5"/>
    <n v="7"/>
    <x v="17"/>
    <n v="2003"/>
    <s v="Gable"/>
    <s v="CompShg"/>
    <s v="VinylSd"/>
    <s v="VinylSd"/>
    <s v="None"/>
    <n v="0"/>
    <s v="TA"/>
    <s v="TA"/>
    <s v="CBlock"/>
    <s v="TA"/>
    <s v="TA"/>
    <s v="No"/>
    <s v="BLQ"/>
    <n v="702"/>
    <s v="Unf"/>
    <n v="0"/>
    <n v="192"/>
    <n v="894"/>
    <s v="GasA"/>
    <s v="Ex"/>
    <s v="Y"/>
    <s v="SBrkr"/>
    <n v="894"/>
    <n v="0"/>
    <n v="0"/>
    <x v="204"/>
    <n v="1"/>
    <n v="0"/>
    <n v="1"/>
    <n v="0"/>
    <n v="3"/>
    <n v="1"/>
    <s v="Gd"/>
    <n v="5"/>
    <s v="Typ"/>
    <n v="0"/>
    <s v="NA"/>
    <s v="Attchd"/>
    <n v="1967"/>
    <s v="RFn"/>
    <n v="2"/>
    <n v="450"/>
    <s v="TA"/>
    <s v="TA"/>
    <s v="Y"/>
    <n v="0"/>
    <n v="0"/>
    <n v="0"/>
    <n v="0"/>
    <n v="0"/>
    <n v="0"/>
    <s v="NA"/>
    <s v="NA"/>
    <s v="NA"/>
    <n v="0"/>
    <n v="5"/>
    <n v="2008"/>
    <s v="WD"/>
    <s v="Normal"/>
    <n v="130000"/>
  </r>
  <r>
    <n v="1119"/>
    <n v="80"/>
    <s v="RL"/>
    <n v="85"/>
    <n v="13825"/>
    <s v="Pave"/>
    <s v="NA"/>
    <s v="Reg"/>
    <s v="Lvl"/>
    <s v="AllPub"/>
    <s v="Inside"/>
    <s v="Gtl"/>
    <x v="9"/>
    <x v="0"/>
    <s v="Norm"/>
    <x v="0"/>
    <x v="5"/>
    <n v="5"/>
    <n v="6"/>
    <x v="18"/>
    <n v="1987"/>
    <s v="Gable"/>
    <s v="CompShg"/>
    <s v="MetalSd"/>
    <s v="MetalSd"/>
    <s v="None"/>
    <n v="0"/>
    <s v="TA"/>
    <s v="Gd"/>
    <s v="CBlock"/>
    <s v="TA"/>
    <s v="TA"/>
    <s v="No"/>
    <s v="Unf"/>
    <n v="0"/>
    <s v="Unf"/>
    <n v="0"/>
    <n v="533"/>
    <n v="533"/>
    <s v="GasA"/>
    <s v="TA"/>
    <s v="Y"/>
    <s v="SBrkr"/>
    <n v="1021"/>
    <n v="580"/>
    <n v="0"/>
    <x v="426"/>
    <n v="0"/>
    <n v="1"/>
    <n v="1"/>
    <n v="0"/>
    <n v="3"/>
    <n v="1"/>
    <s v="TA"/>
    <n v="6"/>
    <s v="Min2"/>
    <n v="0"/>
    <s v="NA"/>
    <s v="BuiltIn"/>
    <n v="1958"/>
    <s v="RFn"/>
    <n v="1"/>
    <n v="300"/>
    <s v="TA"/>
    <s v="TA"/>
    <s v="Y"/>
    <n v="280"/>
    <n v="34"/>
    <n v="0"/>
    <n v="0"/>
    <n v="0"/>
    <n v="0"/>
    <s v="NA"/>
    <s v="NA"/>
    <s v="NA"/>
    <n v="0"/>
    <n v="12"/>
    <n v="2008"/>
    <s v="WD"/>
    <s v="Normal"/>
    <n v="140000"/>
  </r>
  <r>
    <n v="1120"/>
    <n v="20"/>
    <s v="RL"/>
    <n v="70"/>
    <n v="7560"/>
    <s v="Pave"/>
    <s v="NA"/>
    <s v="Reg"/>
    <s v="Lvl"/>
    <s v="AllPub"/>
    <s v="Inside"/>
    <s v="Gtl"/>
    <x v="11"/>
    <x v="0"/>
    <s v="Norm"/>
    <x v="0"/>
    <x v="1"/>
    <n v="5"/>
    <n v="5"/>
    <x v="28"/>
    <n v="1959"/>
    <s v="Gable"/>
    <s v="CompShg"/>
    <s v="BrkFace"/>
    <s v="Wd Sdng"/>
    <s v="None"/>
    <n v="0"/>
    <s v="TA"/>
    <s v="TA"/>
    <s v="CBlock"/>
    <s v="TA"/>
    <s v="TA"/>
    <s v="No"/>
    <s v="LwQ"/>
    <n v="369"/>
    <s v="Unf"/>
    <n v="0"/>
    <n v="671"/>
    <n v="1040"/>
    <s v="GasA"/>
    <s v="TA"/>
    <s v="Y"/>
    <s v="FuseA"/>
    <n v="1040"/>
    <n v="0"/>
    <n v="0"/>
    <x v="10"/>
    <n v="0"/>
    <n v="0"/>
    <n v="1"/>
    <n v="0"/>
    <n v="3"/>
    <n v="1"/>
    <s v="TA"/>
    <n v="6"/>
    <s v="Typ"/>
    <n v="0"/>
    <s v="NA"/>
    <s v="Attchd"/>
    <n v="1959"/>
    <s v="RFn"/>
    <n v="1"/>
    <n v="286"/>
    <s v="TA"/>
    <s v="TA"/>
    <s v="Y"/>
    <n v="140"/>
    <n v="0"/>
    <n v="252"/>
    <n v="0"/>
    <n v="0"/>
    <n v="0"/>
    <s v="NA"/>
    <s v="GdWo"/>
    <s v="NA"/>
    <n v="0"/>
    <n v="7"/>
    <n v="2006"/>
    <s v="WD"/>
    <s v="Normal"/>
    <n v="133700"/>
  </r>
  <r>
    <n v="1121"/>
    <n v="30"/>
    <s v="RM"/>
    <n v="59"/>
    <n v="8263"/>
    <s v="Pave"/>
    <s v="NA"/>
    <s v="Reg"/>
    <s v="Bnk"/>
    <s v="AllPub"/>
    <s v="Inside"/>
    <s v="Mod"/>
    <x v="13"/>
    <x v="0"/>
    <s v="Norm"/>
    <x v="0"/>
    <x v="1"/>
    <n v="6"/>
    <n v="5"/>
    <x v="26"/>
    <n v="1950"/>
    <s v="Gable"/>
    <s v="CompShg"/>
    <s v="BrkFace"/>
    <s v="BrkFace"/>
    <s v="None"/>
    <n v="0"/>
    <s v="TA"/>
    <s v="TA"/>
    <s v="BrkTil"/>
    <s v="TA"/>
    <s v="TA"/>
    <s v="No"/>
    <s v="Unf"/>
    <n v="0"/>
    <s v="Unf"/>
    <n v="0"/>
    <n v="1012"/>
    <n v="1012"/>
    <s v="GasA"/>
    <s v="TA"/>
    <s v="Y"/>
    <s v="FuseA"/>
    <n v="1012"/>
    <n v="0"/>
    <n v="0"/>
    <x v="726"/>
    <n v="0"/>
    <n v="0"/>
    <n v="1"/>
    <n v="0"/>
    <n v="2"/>
    <n v="1"/>
    <s v="TA"/>
    <n v="6"/>
    <s v="Typ"/>
    <n v="1"/>
    <s v="Gd"/>
    <s v="Detchd"/>
    <n v="1920"/>
    <s v="Unf"/>
    <n v="1"/>
    <n v="308"/>
    <s v="TA"/>
    <s v="TA"/>
    <s v="Y"/>
    <n v="0"/>
    <n v="22"/>
    <n v="112"/>
    <n v="0"/>
    <n v="0"/>
    <n v="0"/>
    <s v="NA"/>
    <s v="MnPrv"/>
    <s v="NA"/>
    <n v="0"/>
    <n v="5"/>
    <n v="2007"/>
    <s v="WD"/>
    <s v="Normal"/>
    <n v="118400"/>
  </r>
  <r>
    <n v="1122"/>
    <n v="20"/>
    <s v="RL"/>
    <n v="84"/>
    <n v="10084"/>
    <s v="Pave"/>
    <s v="NA"/>
    <s v="Reg"/>
    <s v="Lvl"/>
    <s v="AllPub"/>
    <s v="Inside"/>
    <s v="Gtl"/>
    <x v="0"/>
    <x v="0"/>
    <s v="Norm"/>
    <x v="0"/>
    <x v="1"/>
    <n v="7"/>
    <n v="5"/>
    <x v="11"/>
    <n v="2006"/>
    <s v="Gable"/>
    <s v="CompShg"/>
    <s v="VinylSd"/>
    <s v="VinylSd"/>
    <s v="BrkFace"/>
    <n v="196"/>
    <s v="Gd"/>
    <s v="TA"/>
    <s v="PConc"/>
    <s v="Gd"/>
    <s v="TA"/>
    <s v="Av"/>
    <s v="GLQ"/>
    <n v="24"/>
    <s v="Unf"/>
    <n v="0"/>
    <n v="1528"/>
    <n v="1552"/>
    <s v="GasA"/>
    <s v="Ex"/>
    <s v="Y"/>
    <s v="SBrkr"/>
    <n v="1552"/>
    <n v="0"/>
    <n v="0"/>
    <x v="196"/>
    <n v="0"/>
    <n v="0"/>
    <n v="2"/>
    <n v="0"/>
    <n v="3"/>
    <n v="1"/>
    <s v="Gd"/>
    <n v="7"/>
    <s v="Typ"/>
    <n v="0"/>
    <s v="NA"/>
    <s v="Attchd"/>
    <n v="2005"/>
    <s v="RFn"/>
    <n v="3"/>
    <n v="782"/>
    <s v="TA"/>
    <s v="TA"/>
    <s v="Y"/>
    <n v="144"/>
    <n v="20"/>
    <n v="0"/>
    <n v="0"/>
    <n v="0"/>
    <n v="0"/>
    <s v="NA"/>
    <s v="NA"/>
    <s v="NA"/>
    <n v="0"/>
    <n v="7"/>
    <n v="2006"/>
    <s v="New"/>
    <s v="Partial"/>
    <n v="212900"/>
  </r>
  <r>
    <n v="1123"/>
    <n v="20"/>
    <s v="RL"/>
    <s v="NA"/>
    <n v="8926"/>
    <s v="Pave"/>
    <s v="NA"/>
    <s v="IR1"/>
    <s v="Lvl"/>
    <s v="AllPub"/>
    <s v="Corner"/>
    <s v="Gtl"/>
    <x v="15"/>
    <x v="0"/>
    <s v="Norm"/>
    <x v="0"/>
    <x v="1"/>
    <n v="4"/>
    <n v="3"/>
    <x v="46"/>
    <n v="1956"/>
    <s v="Gable"/>
    <s v="CompShg"/>
    <s v="AsbShng"/>
    <s v="AsbShng"/>
    <s v="None"/>
    <n v="0"/>
    <s v="TA"/>
    <s v="TA"/>
    <s v="CBlock"/>
    <s v="TA"/>
    <s v="TA"/>
    <s v="No"/>
    <s v="Unf"/>
    <n v="0"/>
    <s v="Unf"/>
    <n v="0"/>
    <n v="672"/>
    <n v="672"/>
    <s v="GasA"/>
    <s v="Ex"/>
    <s v="Y"/>
    <s v="FuseA"/>
    <n v="960"/>
    <n v="0"/>
    <n v="0"/>
    <x v="91"/>
    <n v="0"/>
    <n v="0"/>
    <n v="1"/>
    <n v="0"/>
    <n v="3"/>
    <n v="1"/>
    <s v="TA"/>
    <n v="5"/>
    <s v="Typ"/>
    <n v="0"/>
    <s v="NA"/>
    <s v="Basment"/>
    <n v="1956"/>
    <s v="Unf"/>
    <n v="1"/>
    <n v="288"/>
    <s v="TA"/>
    <s v="TA"/>
    <s v="Y"/>
    <n v="64"/>
    <n v="0"/>
    <n v="0"/>
    <n v="0"/>
    <n v="160"/>
    <n v="0"/>
    <s v="NA"/>
    <s v="MnPrv"/>
    <s v="NA"/>
    <n v="0"/>
    <n v="10"/>
    <n v="2009"/>
    <s v="COD"/>
    <s v="Abnorml"/>
    <n v="112000"/>
  </r>
  <r>
    <n v="1124"/>
    <n v="20"/>
    <s v="RL"/>
    <n v="50"/>
    <n v="9405"/>
    <s v="Pave"/>
    <s v="NA"/>
    <s v="Reg"/>
    <s v="Lvl"/>
    <s v="AllPub"/>
    <s v="Inside"/>
    <s v="Gtl"/>
    <x v="15"/>
    <x v="0"/>
    <s v="Norm"/>
    <x v="0"/>
    <x v="1"/>
    <n v="5"/>
    <n v="9"/>
    <x v="81"/>
    <n v="2008"/>
    <s v="Hip"/>
    <s v="CompShg"/>
    <s v="VinylSd"/>
    <s v="VinylSd"/>
    <s v="None"/>
    <n v="0"/>
    <s v="TA"/>
    <s v="Ex"/>
    <s v="CBlock"/>
    <s v="TA"/>
    <s v="TA"/>
    <s v="No"/>
    <s v="Unf"/>
    <n v="0"/>
    <s v="Unf"/>
    <n v="0"/>
    <n v="698"/>
    <n v="698"/>
    <s v="GasA"/>
    <s v="Ex"/>
    <s v="Y"/>
    <s v="SBrkr"/>
    <n v="698"/>
    <n v="0"/>
    <n v="0"/>
    <x v="727"/>
    <n v="0"/>
    <n v="1"/>
    <n v="1"/>
    <n v="0"/>
    <n v="2"/>
    <n v="1"/>
    <s v="TA"/>
    <n v="4"/>
    <s v="Typ"/>
    <n v="0"/>
    <s v="NA"/>
    <s v="NA"/>
    <s v="NA"/>
    <s v="NA"/>
    <n v="0"/>
    <n v="0"/>
    <s v="NA"/>
    <s v="NA"/>
    <s v="Y"/>
    <n v="0"/>
    <n v="200"/>
    <n v="0"/>
    <n v="0"/>
    <n v="0"/>
    <n v="0"/>
    <s v="NA"/>
    <s v="NA"/>
    <s v="NA"/>
    <n v="0"/>
    <n v="6"/>
    <n v="2009"/>
    <s v="WD"/>
    <s v="Normal"/>
    <n v="118000"/>
  </r>
  <r>
    <n v="1125"/>
    <n v="80"/>
    <s v="RL"/>
    <s v="NA"/>
    <n v="9125"/>
    <s v="Pave"/>
    <s v="NA"/>
    <s v="IR1"/>
    <s v="Lvl"/>
    <s v="AllPub"/>
    <s v="Inside"/>
    <s v="Gtl"/>
    <x v="17"/>
    <x v="0"/>
    <s v="Norm"/>
    <x v="0"/>
    <x v="5"/>
    <n v="7"/>
    <n v="5"/>
    <x v="86"/>
    <n v="1992"/>
    <s v="Gable"/>
    <s v="CompShg"/>
    <s v="HdBoard"/>
    <s v="HdBoard"/>
    <s v="BrkFace"/>
    <n v="170"/>
    <s v="TA"/>
    <s v="TA"/>
    <s v="PConc"/>
    <s v="Gd"/>
    <s v="TA"/>
    <s v="No"/>
    <s v="Unf"/>
    <n v="0"/>
    <s v="Unf"/>
    <n v="0"/>
    <n v="384"/>
    <n v="384"/>
    <s v="GasA"/>
    <s v="Gd"/>
    <s v="Y"/>
    <s v="SBrkr"/>
    <n v="812"/>
    <n v="670"/>
    <n v="0"/>
    <x v="601"/>
    <n v="0"/>
    <n v="0"/>
    <n v="2"/>
    <n v="1"/>
    <n v="3"/>
    <n v="1"/>
    <s v="Gd"/>
    <n v="7"/>
    <s v="Typ"/>
    <n v="1"/>
    <s v="TA"/>
    <s v="Attchd"/>
    <n v="1992"/>
    <s v="Fin"/>
    <n v="2"/>
    <n v="392"/>
    <s v="TA"/>
    <s v="TA"/>
    <s v="Y"/>
    <n v="100"/>
    <n v="25"/>
    <n v="0"/>
    <n v="0"/>
    <n v="0"/>
    <n v="0"/>
    <s v="NA"/>
    <s v="NA"/>
    <s v="NA"/>
    <n v="0"/>
    <n v="7"/>
    <n v="2007"/>
    <s v="WD"/>
    <s v="Normal"/>
    <n v="163900"/>
  </r>
  <r>
    <n v="1126"/>
    <n v="20"/>
    <s v="RL"/>
    <n v="60"/>
    <n v="10434"/>
    <s v="Pave"/>
    <s v="NA"/>
    <s v="Reg"/>
    <s v="Lvl"/>
    <s v="AllPub"/>
    <s v="Inside"/>
    <s v="Gtl"/>
    <x v="11"/>
    <x v="0"/>
    <s v="Norm"/>
    <x v="0"/>
    <x v="1"/>
    <n v="4"/>
    <n v="5"/>
    <x v="32"/>
    <n v="1955"/>
    <s v="Gable"/>
    <s v="CompShg"/>
    <s v="Plywood"/>
    <s v="Plywood"/>
    <s v="None"/>
    <n v="0"/>
    <s v="TA"/>
    <s v="TA"/>
    <s v="CBlock"/>
    <s v="TA"/>
    <s v="TA"/>
    <s v="No"/>
    <s v="Unf"/>
    <n v="0"/>
    <s v="Unf"/>
    <n v="0"/>
    <n v="1005"/>
    <n v="1005"/>
    <s v="GasA"/>
    <s v="TA"/>
    <s v="Y"/>
    <s v="SBrkr"/>
    <n v="1005"/>
    <n v="0"/>
    <n v="0"/>
    <x v="728"/>
    <n v="0"/>
    <n v="0"/>
    <n v="1"/>
    <n v="0"/>
    <n v="2"/>
    <n v="1"/>
    <s v="Fa"/>
    <n v="5"/>
    <s v="Typ"/>
    <n v="1"/>
    <s v="TA"/>
    <s v="Detchd"/>
    <n v="1977"/>
    <s v="Unf"/>
    <n v="2"/>
    <n v="672"/>
    <s v="Fa"/>
    <s v="Fa"/>
    <s v="Y"/>
    <n v="0"/>
    <n v="0"/>
    <n v="0"/>
    <n v="0"/>
    <n v="0"/>
    <n v="0"/>
    <s v="NA"/>
    <s v="NA"/>
    <s v="NA"/>
    <n v="0"/>
    <n v="11"/>
    <n v="2009"/>
    <s v="WD"/>
    <s v="Normal"/>
    <n v="115000"/>
  </r>
  <r>
    <n v="1127"/>
    <n v="120"/>
    <s v="RL"/>
    <n v="53"/>
    <n v="3684"/>
    <s v="Pave"/>
    <s v="NA"/>
    <s v="Reg"/>
    <s v="Lvl"/>
    <s v="AllPub"/>
    <s v="Inside"/>
    <s v="Gtl"/>
    <x v="21"/>
    <x v="0"/>
    <s v="Norm"/>
    <x v="3"/>
    <x v="1"/>
    <n v="7"/>
    <n v="5"/>
    <x v="22"/>
    <n v="2007"/>
    <s v="Hip"/>
    <s v="CompShg"/>
    <s v="VinylSd"/>
    <s v="VinylSd"/>
    <s v="BrkFace"/>
    <n v="130"/>
    <s v="Gd"/>
    <s v="TA"/>
    <s v="PConc"/>
    <s v="Gd"/>
    <s v="TA"/>
    <s v="No"/>
    <s v="Unf"/>
    <n v="0"/>
    <s v="Unf"/>
    <n v="0"/>
    <n v="1373"/>
    <n v="1373"/>
    <s v="GasA"/>
    <s v="Ex"/>
    <s v="Y"/>
    <s v="SBrkr"/>
    <n v="1555"/>
    <n v="0"/>
    <n v="0"/>
    <x v="201"/>
    <n v="0"/>
    <n v="0"/>
    <n v="2"/>
    <n v="0"/>
    <n v="2"/>
    <n v="1"/>
    <s v="Gd"/>
    <n v="7"/>
    <s v="Typ"/>
    <n v="1"/>
    <s v="TA"/>
    <s v="Attchd"/>
    <n v="2007"/>
    <s v="Fin"/>
    <n v="3"/>
    <n v="660"/>
    <s v="TA"/>
    <s v="TA"/>
    <s v="Y"/>
    <n v="143"/>
    <n v="20"/>
    <n v="0"/>
    <n v="0"/>
    <n v="0"/>
    <n v="0"/>
    <s v="NA"/>
    <s v="NA"/>
    <s v="NA"/>
    <n v="0"/>
    <n v="6"/>
    <n v="2009"/>
    <s v="WD"/>
    <s v="Normal"/>
    <n v="174000"/>
  </r>
  <r>
    <n v="1128"/>
    <n v="20"/>
    <s v="RL"/>
    <n v="182"/>
    <n v="14572"/>
    <s v="Pave"/>
    <s v="NA"/>
    <s v="IR3"/>
    <s v="Lvl"/>
    <s v="AllPub"/>
    <s v="Corner"/>
    <s v="Gtl"/>
    <x v="17"/>
    <x v="0"/>
    <s v="Norm"/>
    <x v="0"/>
    <x v="1"/>
    <n v="7"/>
    <n v="5"/>
    <x v="6"/>
    <n v="2004"/>
    <s v="Hip"/>
    <s v="CompShg"/>
    <s v="VinylSd"/>
    <s v="VinylSd"/>
    <s v="None"/>
    <n v="0"/>
    <s v="Gd"/>
    <s v="TA"/>
    <s v="PConc"/>
    <s v="Gd"/>
    <s v="TA"/>
    <s v="Av"/>
    <s v="GLQ"/>
    <n v="1300"/>
    <s v="Unf"/>
    <n v="0"/>
    <n v="230"/>
    <n v="1530"/>
    <s v="GasA"/>
    <s v="Ex"/>
    <s v="Y"/>
    <s v="SBrkr"/>
    <n v="1530"/>
    <n v="0"/>
    <n v="0"/>
    <x v="729"/>
    <n v="1"/>
    <n v="0"/>
    <n v="2"/>
    <n v="0"/>
    <n v="3"/>
    <n v="1"/>
    <s v="Gd"/>
    <n v="7"/>
    <s v="Typ"/>
    <n v="1"/>
    <s v="Gd"/>
    <s v="Attchd"/>
    <n v="2004"/>
    <s v="Fin"/>
    <n v="3"/>
    <n v="630"/>
    <s v="TA"/>
    <s v="TA"/>
    <s v="Y"/>
    <n v="144"/>
    <n v="36"/>
    <n v="0"/>
    <n v="0"/>
    <n v="0"/>
    <n v="0"/>
    <s v="NA"/>
    <s v="NA"/>
    <s v="NA"/>
    <n v="0"/>
    <n v="11"/>
    <n v="2007"/>
    <s v="WD"/>
    <s v="Family"/>
    <n v="259000"/>
  </r>
  <r>
    <n v="1129"/>
    <n v="60"/>
    <s v="RL"/>
    <n v="59"/>
    <n v="11796"/>
    <s v="Pave"/>
    <s v="NA"/>
    <s v="IR1"/>
    <s v="Lvl"/>
    <s v="AllPub"/>
    <s v="Inside"/>
    <s v="Gtl"/>
    <x v="17"/>
    <x v="0"/>
    <s v="Norm"/>
    <x v="0"/>
    <x v="0"/>
    <n v="7"/>
    <n v="5"/>
    <x v="6"/>
    <n v="2005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847"/>
    <n v="847"/>
    <s v="GasA"/>
    <s v="Ex"/>
    <s v="Y"/>
    <s v="SBrkr"/>
    <n v="847"/>
    <n v="1112"/>
    <n v="0"/>
    <x v="129"/>
    <n v="0"/>
    <n v="0"/>
    <n v="2"/>
    <n v="1"/>
    <n v="4"/>
    <n v="1"/>
    <s v="Gd"/>
    <n v="8"/>
    <s v="Typ"/>
    <n v="1"/>
    <s v="Gd"/>
    <s v="BuiltIn"/>
    <n v="2004"/>
    <s v="Fin"/>
    <n v="2"/>
    <n v="434"/>
    <s v="TA"/>
    <s v="TA"/>
    <s v="Y"/>
    <n v="100"/>
    <n v="48"/>
    <n v="0"/>
    <n v="0"/>
    <n v="0"/>
    <n v="0"/>
    <s v="NA"/>
    <s v="NA"/>
    <s v="NA"/>
    <n v="0"/>
    <n v="7"/>
    <n v="2007"/>
    <s v="WD"/>
    <s v="Normal"/>
    <n v="215000"/>
  </r>
  <r>
    <n v="1130"/>
    <n v="90"/>
    <s v="RM"/>
    <n v="60"/>
    <n v="7200"/>
    <s v="Pave"/>
    <s v="Grvl"/>
    <s v="Reg"/>
    <s v="Lvl"/>
    <s v="AllPub"/>
    <s v="Inside"/>
    <s v="Gtl"/>
    <x v="7"/>
    <x v="0"/>
    <s v="Norm"/>
    <x v="2"/>
    <x v="4"/>
    <n v="5"/>
    <n v="5"/>
    <x v="84"/>
    <n v="1980"/>
    <s v="Gable"/>
    <s v="CompShg"/>
    <s v="MetalSd"/>
    <s v="MetalSd"/>
    <s v="BrkFace"/>
    <n v="180"/>
    <s v="TA"/>
    <s v="TA"/>
    <s v="CBlock"/>
    <s v="Gd"/>
    <s v="TA"/>
    <s v="Gd"/>
    <s v="GLQ"/>
    <n v="936"/>
    <s v="Unf"/>
    <n v="0"/>
    <n v="0"/>
    <n v="936"/>
    <s v="GasA"/>
    <s v="TA"/>
    <s v="Y"/>
    <s v="SBrkr"/>
    <n v="936"/>
    <n v="0"/>
    <n v="0"/>
    <x v="590"/>
    <n v="1"/>
    <n v="0"/>
    <n v="1"/>
    <n v="0"/>
    <n v="2"/>
    <n v="1"/>
    <s v="TA"/>
    <n v="4"/>
    <s v="Typ"/>
    <n v="0"/>
    <s v="NA"/>
    <s v="Detchd"/>
    <n v="1980"/>
    <s v="Unf"/>
    <n v="2"/>
    <n v="672"/>
    <s v="TA"/>
    <s v="TA"/>
    <s v="Y"/>
    <n v="49"/>
    <n v="0"/>
    <n v="0"/>
    <n v="0"/>
    <n v="0"/>
    <n v="0"/>
    <s v="NA"/>
    <s v="NA"/>
    <s v="NA"/>
    <n v="0"/>
    <n v="8"/>
    <n v="2007"/>
    <s v="WD"/>
    <s v="Normal"/>
    <n v="140000"/>
  </r>
  <r>
    <n v="1131"/>
    <n v="50"/>
    <s v="RL"/>
    <n v="65"/>
    <n v="7804"/>
    <s v="Pave"/>
    <s v="NA"/>
    <s v="Reg"/>
    <s v="Lvl"/>
    <s v="AllPub"/>
    <s v="Inside"/>
    <s v="Gtl"/>
    <x v="23"/>
    <x v="0"/>
    <s v="Norm"/>
    <x v="0"/>
    <x v="2"/>
    <n v="4"/>
    <n v="3"/>
    <x v="89"/>
    <n v="1950"/>
    <s v="Gable"/>
    <s v="CompShg"/>
    <s v="WdShing"/>
    <s v="Plywood"/>
    <s v="None"/>
    <n v="0"/>
    <s v="TA"/>
    <s v="TA"/>
    <s v="BrkTil"/>
    <s v="TA"/>
    <s v="TA"/>
    <s v="No"/>
    <s v="BLQ"/>
    <n v="622"/>
    <s v="Unf"/>
    <n v="0"/>
    <n v="500"/>
    <n v="1122"/>
    <s v="GasA"/>
    <s v="TA"/>
    <s v="Y"/>
    <s v="SBrkr"/>
    <n v="1328"/>
    <n v="653"/>
    <n v="0"/>
    <x v="730"/>
    <n v="1"/>
    <n v="0"/>
    <n v="2"/>
    <n v="0"/>
    <n v="4"/>
    <n v="1"/>
    <s v="Gd"/>
    <n v="7"/>
    <s v="Min2"/>
    <n v="2"/>
    <s v="TA"/>
    <s v="Detchd"/>
    <n v="1981"/>
    <s v="Unf"/>
    <n v="2"/>
    <n v="576"/>
    <s v="TA"/>
    <s v="TA"/>
    <s v="Y"/>
    <n v="431"/>
    <n v="44"/>
    <n v="0"/>
    <n v="0"/>
    <n v="0"/>
    <n v="0"/>
    <s v="NA"/>
    <s v="MnPrv"/>
    <s v="NA"/>
    <n v="0"/>
    <n v="12"/>
    <n v="2009"/>
    <s v="WD"/>
    <s v="Normal"/>
    <n v="135000"/>
  </r>
  <r>
    <n v="1132"/>
    <n v="20"/>
    <s v="RL"/>
    <n v="63"/>
    <n v="10712"/>
    <s v="Pave"/>
    <s v="NA"/>
    <s v="Reg"/>
    <s v="Lvl"/>
    <s v="AllPub"/>
    <s v="Inside"/>
    <s v="Gtl"/>
    <x v="4"/>
    <x v="0"/>
    <s v="Norm"/>
    <x v="0"/>
    <x v="1"/>
    <n v="5"/>
    <n v="5"/>
    <x v="50"/>
    <n v="1992"/>
    <s v="Gable"/>
    <s v="CompShg"/>
    <s v="HdBoard"/>
    <s v="HdBoard"/>
    <s v="None"/>
    <n v="0"/>
    <s v="TA"/>
    <s v="TA"/>
    <s v="PConc"/>
    <s v="Gd"/>
    <s v="TA"/>
    <s v="Mn"/>
    <s v="BLQ"/>
    <n v="212"/>
    <s v="Unf"/>
    <n v="0"/>
    <n v="762"/>
    <n v="974"/>
    <s v="GasA"/>
    <s v="TA"/>
    <s v="Y"/>
    <s v="SBrkr"/>
    <n v="974"/>
    <n v="0"/>
    <n v="0"/>
    <x v="731"/>
    <n v="0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28"/>
    <n v="0"/>
    <n v="0"/>
    <n v="0"/>
    <n v="0"/>
    <s v="NA"/>
    <s v="MnPrv"/>
    <s v="NA"/>
    <n v="0"/>
    <n v="9"/>
    <n v="2007"/>
    <s v="Oth"/>
    <s v="Abnorml"/>
    <n v="93500"/>
  </r>
  <r>
    <n v="1133"/>
    <n v="70"/>
    <s v="RM"/>
    <n v="90"/>
    <n v="9900"/>
    <s v="Pave"/>
    <s v="NA"/>
    <s v="Reg"/>
    <s v="Lvl"/>
    <s v="AllPub"/>
    <s v="Inside"/>
    <s v="Gtl"/>
    <x v="7"/>
    <x v="0"/>
    <s v="Norm"/>
    <x v="0"/>
    <x v="0"/>
    <n v="6"/>
    <n v="4"/>
    <x v="88"/>
    <n v="1950"/>
    <s v="Gable"/>
    <s v="CompShg"/>
    <s v="Wd Sdng"/>
    <s v="Wd Sdng"/>
    <s v="None"/>
    <n v="0"/>
    <s v="TA"/>
    <s v="TA"/>
    <s v="BrkTil"/>
    <s v="TA"/>
    <s v="TA"/>
    <s v="Mn"/>
    <s v="Unf"/>
    <n v="0"/>
    <s v="Unf"/>
    <n v="0"/>
    <n v="1008"/>
    <n v="1008"/>
    <s v="GasW"/>
    <s v="TA"/>
    <s v="Y"/>
    <s v="SBrkr"/>
    <n v="1178"/>
    <n v="1032"/>
    <n v="0"/>
    <x v="732"/>
    <n v="0"/>
    <n v="0"/>
    <n v="2"/>
    <n v="0"/>
    <n v="5"/>
    <n v="1"/>
    <s v="Fa"/>
    <n v="8"/>
    <s v="Typ"/>
    <n v="0"/>
    <s v="NA"/>
    <s v="Detchd"/>
    <n v="1930"/>
    <s v="Unf"/>
    <n v="1"/>
    <n v="205"/>
    <s v="Fa"/>
    <s v="TA"/>
    <s v="N"/>
    <n v="0"/>
    <n v="48"/>
    <n v="0"/>
    <n v="0"/>
    <n v="0"/>
    <n v="0"/>
    <s v="NA"/>
    <s v="NA"/>
    <s v="NA"/>
    <n v="0"/>
    <n v="5"/>
    <n v="2007"/>
    <s v="WD"/>
    <s v="Normal"/>
    <n v="117500"/>
  </r>
  <r>
    <n v="1134"/>
    <n v="60"/>
    <s v="RL"/>
    <n v="80"/>
    <n v="9828"/>
    <s v="Pave"/>
    <s v="NA"/>
    <s v="IR1"/>
    <s v="Lvl"/>
    <s v="AllPub"/>
    <s v="Inside"/>
    <s v="Gtl"/>
    <x v="12"/>
    <x v="0"/>
    <s v="Norm"/>
    <x v="0"/>
    <x v="0"/>
    <n v="8"/>
    <n v="5"/>
    <x v="49"/>
    <n v="1995"/>
    <s v="Gable"/>
    <s v="CompShg"/>
    <s v="VinylSd"/>
    <s v="VinylSd"/>
    <s v="None"/>
    <n v="0"/>
    <s v="Gd"/>
    <s v="TA"/>
    <s v="PConc"/>
    <s v="Gd"/>
    <s v="TA"/>
    <s v="No"/>
    <s v="GLQ"/>
    <n v="584"/>
    <s v="Unf"/>
    <n v="0"/>
    <n v="544"/>
    <n v="1128"/>
    <s v="GasA"/>
    <s v="Ex"/>
    <s v="Y"/>
    <s v="SBrkr"/>
    <n v="1142"/>
    <n v="878"/>
    <n v="0"/>
    <x v="406"/>
    <n v="0"/>
    <n v="0"/>
    <n v="2"/>
    <n v="1"/>
    <n v="3"/>
    <n v="1"/>
    <s v="Gd"/>
    <n v="8"/>
    <s v="Typ"/>
    <n v="1"/>
    <s v="TA"/>
    <s v="Attchd"/>
    <n v="1995"/>
    <s v="RFn"/>
    <n v="2"/>
    <n v="466"/>
    <s v="TA"/>
    <s v="TA"/>
    <s v="Y"/>
    <n v="0"/>
    <n v="155"/>
    <n v="0"/>
    <n v="0"/>
    <n v="0"/>
    <n v="0"/>
    <s v="NA"/>
    <s v="NA"/>
    <s v="NA"/>
    <n v="0"/>
    <n v="6"/>
    <n v="2009"/>
    <s v="WD"/>
    <s v="Normal"/>
    <n v="239500"/>
  </r>
  <r>
    <n v="1135"/>
    <n v="60"/>
    <s v="RL"/>
    <n v="57"/>
    <n v="8773"/>
    <s v="Pave"/>
    <s v="NA"/>
    <s v="IR1"/>
    <s v="HLS"/>
    <s v="AllPub"/>
    <s v="Inside"/>
    <s v="Gtl"/>
    <x v="17"/>
    <x v="0"/>
    <s v="Norm"/>
    <x v="0"/>
    <x v="0"/>
    <n v="6"/>
    <n v="5"/>
    <x v="35"/>
    <n v="1997"/>
    <s v="Gable"/>
    <s v="CompShg"/>
    <s v="VinylSd"/>
    <s v="VinylSd"/>
    <s v="None"/>
    <n v="0"/>
    <s v="TA"/>
    <s v="TA"/>
    <s v="PConc"/>
    <s v="Gd"/>
    <s v="TA"/>
    <s v="Av"/>
    <s v="Unf"/>
    <n v="0"/>
    <s v="Unf"/>
    <n v="0"/>
    <n v="916"/>
    <n v="916"/>
    <s v="GasA"/>
    <s v="Gd"/>
    <s v="Y"/>
    <s v="SBrkr"/>
    <n v="916"/>
    <n v="684"/>
    <n v="0"/>
    <x v="24"/>
    <n v="0"/>
    <n v="0"/>
    <n v="2"/>
    <n v="1"/>
    <n v="3"/>
    <n v="1"/>
    <s v="TA"/>
    <n v="7"/>
    <s v="Typ"/>
    <n v="1"/>
    <s v="TA"/>
    <s v="Attchd"/>
    <n v="1997"/>
    <s v="Fin"/>
    <n v="2"/>
    <n v="460"/>
    <s v="TA"/>
    <s v="TA"/>
    <s v="Y"/>
    <n v="100"/>
    <n v="38"/>
    <n v="0"/>
    <n v="0"/>
    <n v="0"/>
    <n v="0"/>
    <s v="NA"/>
    <s v="NA"/>
    <s v="NA"/>
    <n v="0"/>
    <n v="8"/>
    <n v="2007"/>
    <s v="WD"/>
    <s v="Normal"/>
    <n v="169000"/>
  </r>
  <r>
    <n v="1136"/>
    <n v="30"/>
    <s v="RM"/>
    <n v="60"/>
    <n v="6180"/>
    <s v="Pave"/>
    <s v="NA"/>
    <s v="Reg"/>
    <s v="Lvl"/>
    <s v="AllPub"/>
    <s v="Corner"/>
    <s v="Gtl"/>
    <x v="8"/>
    <x v="0"/>
    <s v="Norm"/>
    <x v="0"/>
    <x v="1"/>
    <n v="6"/>
    <n v="5"/>
    <x v="69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960"/>
    <n v="960"/>
    <s v="GasA"/>
    <s v="TA"/>
    <s v="N"/>
    <s v="SBrkr"/>
    <n v="986"/>
    <n v="0"/>
    <n v="0"/>
    <x v="733"/>
    <n v="0"/>
    <n v="0"/>
    <n v="1"/>
    <n v="0"/>
    <n v="2"/>
    <n v="1"/>
    <s v="TA"/>
    <n v="5"/>
    <s v="Typ"/>
    <n v="1"/>
    <s v="Gd"/>
    <s v="Detchd"/>
    <n v="1926"/>
    <s v="Unf"/>
    <n v="1"/>
    <n v="180"/>
    <s v="TA"/>
    <s v="TA"/>
    <s v="Y"/>
    <n v="0"/>
    <n v="128"/>
    <n v="0"/>
    <n v="0"/>
    <n v="0"/>
    <n v="0"/>
    <s v="NA"/>
    <s v="NA"/>
    <s v="NA"/>
    <n v="0"/>
    <n v="5"/>
    <n v="2007"/>
    <s v="WD"/>
    <s v="Normal"/>
    <n v="102000"/>
  </r>
  <r>
    <n v="1137"/>
    <n v="50"/>
    <s v="RL"/>
    <n v="80"/>
    <n v="9600"/>
    <s v="Pave"/>
    <s v="NA"/>
    <s v="Reg"/>
    <s v="Lvl"/>
    <s v="AllPub"/>
    <s v="Inside"/>
    <s v="Gtl"/>
    <x v="11"/>
    <x v="0"/>
    <s v="Norm"/>
    <x v="0"/>
    <x v="2"/>
    <n v="6"/>
    <n v="5"/>
    <x v="52"/>
    <n v="1950"/>
    <s v="Gable"/>
    <s v="CompShg"/>
    <s v="VinylSd"/>
    <s v="VinylSd"/>
    <s v="None"/>
    <n v="0"/>
    <s v="TA"/>
    <s v="TA"/>
    <s v="CBlock"/>
    <s v="TA"/>
    <s v="TA"/>
    <s v="No"/>
    <s v="BLQ"/>
    <n v="280"/>
    <s v="Unf"/>
    <n v="0"/>
    <n v="752"/>
    <n v="1032"/>
    <s v="GasA"/>
    <s v="TA"/>
    <s v="Y"/>
    <s v="FuseA"/>
    <n v="1032"/>
    <n v="220"/>
    <n v="0"/>
    <x v="143"/>
    <n v="0"/>
    <n v="0"/>
    <n v="1"/>
    <n v="0"/>
    <n v="3"/>
    <n v="1"/>
    <s v="TA"/>
    <n v="6"/>
    <s v="Typ"/>
    <n v="0"/>
    <s v="NA"/>
    <s v="Attchd"/>
    <n v="1950"/>
    <s v="Unf"/>
    <n v="1"/>
    <n v="288"/>
    <s v="TA"/>
    <s v="TA"/>
    <s v="Y"/>
    <n v="0"/>
    <n v="0"/>
    <n v="96"/>
    <n v="0"/>
    <n v="0"/>
    <n v="0"/>
    <s v="NA"/>
    <s v="NA"/>
    <s v="NA"/>
    <n v="0"/>
    <n v="4"/>
    <n v="2008"/>
    <s v="WD"/>
    <s v="Abnorml"/>
    <n v="119000"/>
  </r>
  <r>
    <n v="1138"/>
    <n v="50"/>
    <s v="RL"/>
    <n v="54"/>
    <n v="6342"/>
    <s v="Pave"/>
    <s v="NA"/>
    <s v="Reg"/>
    <s v="Lvl"/>
    <s v="AllPub"/>
    <s v="Inside"/>
    <s v="Gtl"/>
    <x v="9"/>
    <x v="1"/>
    <s v="Norm"/>
    <x v="0"/>
    <x v="2"/>
    <n v="5"/>
    <n v="8"/>
    <x v="107"/>
    <n v="1996"/>
    <s v="Gable"/>
    <s v="CompShg"/>
    <s v="VinylSd"/>
    <s v="VinylSd"/>
    <s v="None"/>
    <n v="0"/>
    <s v="TA"/>
    <s v="Gd"/>
    <s v="CBlock"/>
    <s v="TA"/>
    <s v="TA"/>
    <s v="No"/>
    <s v="Unf"/>
    <n v="0"/>
    <s v="Unf"/>
    <n v="0"/>
    <n v="780"/>
    <n v="780"/>
    <s v="GasA"/>
    <s v="Gd"/>
    <s v="N"/>
    <s v="SBrkr"/>
    <n v="780"/>
    <n v="240"/>
    <n v="0"/>
    <x v="734"/>
    <n v="0"/>
    <n v="0"/>
    <n v="1"/>
    <n v="0"/>
    <n v="2"/>
    <n v="1"/>
    <s v="TA"/>
    <n v="6"/>
    <s v="Typ"/>
    <n v="0"/>
    <s v="NA"/>
    <s v="NA"/>
    <s v="NA"/>
    <s v="NA"/>
    <n v="0"/>
    <n v="0"/>
    <s v="NA"/>
    <s v="NA"/>
    <s v="N"/>
    <n v="0"/>
    <n v="0"/>
    <n v="176"/>
    <n v="0"/>
    <n v="0"/>
    <n v="0"/>
    <s v="NA"/>
    <s v="NA"/>
    <s v="NA"/>
    <n v="0"/>
    <n v="5"/>
    <n v="2010"/>
    <s v="WD"/>
    <s v="Normal"/>
    <n v="94000"/>
  </r>
  <r>
    <n v="1139"/>
    <n v="20"/>
    <s v="RL"/>
    <s v="NA"/>
    <n v="9819"/>
    <s v="Pave"/>
    <s v="NA"/>
    <s v="IR1"/>
    <s v="Lvl"/>
    <s v="AllPub"/>
    <s v="Inside"/>
    <s v="Mod"/>
    <x v="4"/>
    <x v="0"/>
    <s v="Norm"/>
    <x v="0"/>
    <x v="1"/>
    <n v="6"/>
    <n v="5"/>
    <x v="54"/>
    <n v="1977"/>
    <s v="Gable"/>
    <s v="CompShg"/>
    <s v="Plywood"/>
    <s v="ImStucc"/>
    <s v="None"/>
    <n v="0"/>
    <s v="TA"/>
    <s v="TA"/>
    <s v="PConc"/>
    <s v="TA"/>
    <s v="TA"/>
    <s v="Gd"/>
    <s v="ALQ"/>
    <n v="1567"/>
    <s v="Unf"/>
    <n v="0"/>
    <n v="0"/>
    <n v="1567"/>
    <s v="GasA"/>
    <s v="TA"/>
    <s v="Y"/>
    <s v="SBrkr"/>
    <n v="1567"/>
    <n v="0"/>
    <n v="0"/>
    <x v="493"/>
    <n v="1"/>
    <n v="0"/>
    <n v="2"/>
    <n v="0"/>
    <n v="2"/>
    <n v="1"/>
    <s v="Gd"/>
    <n v="5"/>
    <s v="Typ"/>
    <n v="2"/>
    <s v="TA"/>
    <s v="Attchd"/>
    <n v="1977"/>
    <s v="RFn"/>
    <n v="2"/>
    <n v="714"/>
    <s v="TA"/>
    <s v="TA"/>
    <s v="Y"/>
    <n v="264"/>
    <n v="32"/>
    <n v="0"/>
    <n v="0"/>
    <n v="0"/>
    <n v="0"/>
    <s v="NA"/>
    <s v="NA"/>
    <s v="NA"/>
    <n v="0"/>
    <n v="5"/>
    <n v="2009"/>
    <s v="WD"/>
    <s v="Normal"/>
    <n v="196000"/>
  </r>
  <r>
    <n v="1140"/>
    <n v="30"/>
    <s v="RL"/>
    <n v="98"/>
    <n v="8731"/>
    <s v="Pave"/>
    <s v="NA"/>
    <s v="IR1"/>
    <s v="Lvl"/>
    <s v="AllPub"/>
    <s v="Inside"/>
    <s v="Gtl"/>
    <x v="8"/>
    <x v="0"/>
    <s v="Norm"/>
    <x v="0"/>
    <x v="1"/>
    <n v="5"/>
    <n v="5"/>
    <x v="26"/>
    <n v="1950"/>
    <s v="Gable"/>
    <s v="CompShg"/>
    <s v="Stucco"/>
    <s v="Stucco"/>
    <s v="None"/>
    <n v="0"/>
    <s v="TA"/>
    <s v="Fa"/>
    <s v="BrkTil"/>
    <s v="TA"/>
    <s v="TA"/>
    <s v="No"/>
    <s v="BLQ"/>
    <n v="645"/>
    <s v="Unf"/>
    <n v="0"/>
    <n v="270"/>
    <n v="915"/>
    <s v="GasA"/>
    <s v="TA"/>
    <s v="Y"/>
    <s v="SBrkr"/>
    <n v="1167"/>
    <n v="0"/>
    <n v="0"/>
    <x v="298"/>
    <n v="0"/>
    <n v="0"/>
    <n v="1"/>
    <n v="0"/>
    <n v="3"/>
    <n v="1"/>
    <s v="TA"/>
    <n v="6"/>
    <s v="Maj1"/>
    <n v="1"/>
    <s v="Gd"/>
    <s v="Detchd"/>
    <n v="1972"/>
    <s v="Unf"/>
    <n v="2"/>
    <n v="495"/>
    <s v="TA"/>
    <s v="TA"/>
    <s v="Y"/>
    <n v="0"/>
    <n v="0"/>
    <n v="216"/>
    <n v="0"/>
    <n v="126"/>
    <n v="0"/>
    <s v="NA"/>
    <s v="NA"/>
    <s v="NA"/>
    <n v="0"/>
    <n v="5"/>
    <n v="2007"/>
    <s v="WD"/>
    <s v="Normal"/>
    <n v="144000"/>
  </r>
  <r>
    <n v="1141"/>
    <n v="20"/>
    <s v="RL"/>
    <n v="60"/>
    <n v="7350"/>
    <s v="Pave"/>
    <s v="NA"/>
    <s v="Reg"/>
    <s v="Lvl"/>
    <s v="AllPub"/>
    <s v="Corner"/>
    <s v="Gtl"/>
    <x v="11"/>
    <x v="0"/>
    <s v="Norm"/>
    <x v="0"/>
    <x v="1"/>
    <n v="5"/>
    <n v="7"/>
    <x v="23"/>
    <n v="1951"/>
    <s v="Gable"/>
    <s v="CompShg"/>
    <s v="HdBoard"/>
    <s v="HdBoard"/>
    <s v="None"/>
    <n v="0"/>
    <s v="TA"/>
    <s v="TA"/>
    <s v="CBlock"/>
    <s v="TA"/>
    <s v="TA"/>
    <s v="Mn"/>
    <s v="ALQ"/>
    <n v="852"/>
    <s v="Unf"/>
    <n v="0"/>
    <n v="100"/>
    <n v="952"/>
    <s v="GasA"/>
    <s v="TA"/>
    <s v="Y"/>
    <s v="SBrkr"/>
    <n v="952"/>
    <n v="0"/>
    <n v="0"/>
    <x v="73"/>
    <n v="1"/>
    <n v="0"/>
    <n v="1"/>
    <n v="0"/>
    <n v="2"/>
    <n v="1"/>
    <s v="TA"/>
    <n v="4"/>
    <s v="Typ"/>
    <n v="0"/>
    <s v="NA"/>
    <s v="Detchd"/>
    <n v="1988"/>
    <s v="Unf"/>
    <n v="2"/>
    <n v="840"/>
    <s v="TA"/>
    <s v="TA"/>
    <s v="Y"/>
    <n v="0"/>
    <n v="0"/>
    <n v="0"/>
    <n v="0"/>
    <n v="0"/>
    <n v="0"/>
    <s v="NA"/>
    <s v="NA"/>
    <s v="NA"/>
    <n v="0"/>
    <n v="6"/>
    <n v="2008"/>
    <s v="COD"/>
    <s v="Abnorml"/>
    <n v="139000"/>
  </r>
  <r>
    <n v="1142"/>
    <n v="60"/>
    <s v="RL"/>
    <s v="NA"/>
    <n v="10304"/>
    <s v="Pave"/>
    <s v="NA"/>
    <s v="IR1"/>
    <s v="Lvl"/>
    <s v="AllPub"/>
    <s v="CulDSac"/>
    <s v="Gtl"/>
    <x v="6"/>
    <x v="2"/>
    <s v="Norm"/>
    <x v="0"/>
    <x v="0"/>
    <n v="5"/>
    <n v="7"/>
    <x v="1"/>
    <n v="1976"/>
    <s v="Gable"/>
    <s v="CompShg"/>
    <s v="Plywood"/>
    <s v="Plywood"/>
    <s v="BrkFace"/>
    <n v="44"/>
    <s v="TA"/>
    <s v="Gd"/>
    <s v="CBlock"/>
    <s v="TA"/>
    <s v="TA"/>
    <s v="No"/>
    <s v="ALQ"/>
    <n v="381"/>
    <s v="Unf"/>
    <n v="0"/>
    <n v="399"/>
    <n v="780"/>
    <s v="GasA"/>
    <s v="Ex"/>
    <s v="Y"/>
    <s v="SBrkr"/>
    <n v="1088"/>
    <n v="780"/>
    <n v="0"/>
    <x v="735"/>
    <n v="1"/>
    <n v="0"/>
    <n v="2"/>
    <n v="1"/>
    <n v="4"/>
    <n v="1"/>
    <s v="Gd"/>
    <n v="9"/>
    <s v="Typ"/>
    <n v="1"/>
    <s v="TA"/>
    <s v="Attchd"/>
    <n v="1976"/>
    <s v="Unf"/>
    <n v="2"/>
    <n v="484"/>
    <s v="TA"/>
    <s v="TA"/>
    <s v="Y"/>
    <n v="448"/>
    <n v="96"/>
    <n v="0"/>
    <n v="0"/>
    <n v="0"/>
    <n v="0"/>
    <s v="NA"/>
    <s v="NA"/>
    <s v="NA"/>
    <n v="0"/>
    <n v="10"/>
    <n v="2009"/>
    <s v="WD"/>
    <s v="Normal"/>
    <n v="197500"/>
  </r>
  <r>
    <n v="1143"/>
    <n v="60"/>
    <s v="RL"/>
    <n v="77"/>
    <n v="9965"/>
    <s v="Pave"/>
    <s v="NA"/>
    <s v="Reg"/>
    <s v="Lvl"/>
    <s v="AllPub"/>
    <s v="Inside"/>
    <s v="Gtl"/>
    <x v="0"/>
    <x v="0"/>
    <s v="Norm"/>
    <x v="0"/>
    <x v="0"/>
    <n v="8"/>
    <n v="5"/>
    <x v="13"/>
    <n v="2007"/>
    <s v="Hip"/>
    <s v="CompShg"/>
    <s v="VinylSd"/>
    <s v="VinylSd"/>
    <s v="Stone"/>
    <n v="340"/>
    <s v="Gd"/>
    <s v="TA"/>
    <s v="PConc"/>
    <s v="Ex"/>
    <s v="TA"/>
    <s v="Gd"/>
    <s v="GLQ"/>
    <n v="1150"/>
    <s v="Unf"/>
    <n v="0"/>
    <n v="316"/>
    <n v="1466"/>
    <s v="GasA"/>
    <s v="Ex"/>
    <s v="Y"/>
    <s v="SBrkr"/>
    <n v="1466"/>
    <n v="1362"/>
    <n v="0"/>
    <x v="736"/>
    <n v="1"/>
    <n v="0"/>
    <n v="3"/>
    <n v="0"/>
    <n v="4"/>
    <n v="1"/>
    <s v="Gd"/>
    <n v="11"/>
    <s v="Typ"/>
    <n v="1"/>
    <s v="TA"/>
    <s v="BuiltIn"/>
    <n v="2006"/>
    <s v="RFn"/>
    <n v="3"/>
    <n v="1052"/>
    <s v="TA"/>
    <s v="TA"/>
    <s v="Y"/>
    <n v="125"/>
    <n v="144"/>
    <n v="0"/>
    <n v="0"/>
    <n v="0"/>
    <n v="0"/>
    <s v="NA"/>
    <s v="NA"/>
    <s v="NA"/>
    <n v="0"/>
    <n v="4"/>
    <n v="2007"/>
    <s v="New"/>
    <s v="Partial"/>
    <n v="424870"/>
  </r>
  <r>
    <n v="1144"/>
    <n v="20"/>
    <s v="RL"/>
    <s v="NA"/>
    <n v="9000"/>
    <s v="Pave"/>
    <s v="NA"/>
    <s v="Reg"/>
    <s v="Lvl"/>
    <s v="AllPub"/>
    <s v="Inside"/>
    <s v="Gtl"/>
    <x v="9"/>
    <x v="0"/>
    <s v="Norm"/>
    <x v="0"/>
    <x v="1"/>
    <n v="5"/>
    <n v="3"/>
    <x v="28"/>
    <n v="1959"/>
    <s v="Gable"/>
    <s v="CompShg"/>
    <s v="Wd Sdng"/>
    <s v="Plywood"/>
    <s v="None"/>
    <n v="0"/>
    <s v="TA"/>
    <s v="TA"/>
    <s v="CBlock"/>
    <s v="TA"/>
    <s v="TA"/>
    <s v="No"/>
    <s v="GLQ"/>
    <n v="288"/>
    <s v="Unf"/>
    <n v="0"/>
    <n v="718"/>
    <n v="1006"/>
    <s v="GasA"/>
    <s v="TA"/>
    <s v="Y"/>
    <s v="SBrkr"/>
    <n v="1006"/>
    <n v="0"/>
    <n v="0"/>
    <x v="737"/>
    <n v="0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24"/>
    <n v="0"/>
    <n v="0"/>
    <n v="0"/>
    <n v="0"/>
    <s v="NA"/>
    <s v="NA"/>
    <s v="NA"/>
    <n v="0"/>
    <n v="7"/>
    <n v="2008"/>
    <s v="WD"/>
    <s v="Normal"/>
    <n v="80000"/>
  </r>
  <r>
    <n v="1145"/>
    <n v="190"/>
    <s v="RL"/>
    <n v="60"/>
    <n v="12180"/>
    <s v="Pave"/>
    <s v="NA"/>
    <s v="Reg"/>
    <s v="Lvl"/>
    <s v="AllPub"/>
    <s v="Inside"/>
    <s v="Gtl"/>
    <x v="15"/>
    <x v="0"/>
    <s v="Norm"/>
    <x v="1"/>
    <x v="2"/>
    <n v="4"/>
    <n v="4"/>
    <x v="71"/>
    <n v="1950"/>
    <s v="Gable"/>
    <s v="CompShg"/>
    <s v="MetalSd"/>
    <s v="MetalSd"/>
    <s v="None"/>
    <n v="0"/>
    <s v="TA"/>
    <s v="Fa"/>
    <s v="BrkTil"/>
    <s v="Gd"/>
    <s v="TA"/>
    <s v="No"/>
    <s v="BLQ"/>
    <n v="348"/>
    <s v="Unf"/>
    <n v="0"/>
    <n v="324"/>
    <n v="672"/>
    <s v="Grav"/>
    <s v="Fa"/>
    <s v="N"/>
    <s v="FuseA"/>
    <n v="672"/>
    <n v="252"/>
    <n v="0"/>
    <x v="463"/>
    <n v="1"/>
    <n v="0"/>
    <n v="1"/>
    <n v="0"/>
    <n v="2"/>
    <n v="1"/>
    <s v="Fa"/>
    <n v="5"/>
    <s v="Typ"/>
    <n v="0"/>
    <s v="NA"/>
    <s v="Detchd"/>
    <n v="1941"/>
    <s v="Unf"/>
    <n v="1"/>
    <n v="280"/>
    <s v="TA"/>
    <s v="TA"/>
    <s v="Y"/>
    <n v="0"/>
    <n v="0"/>
    <n v="0"/>
    <n v="0"/>
    <n v="0"/>
    <n v="0"/>
    <s v="NA"/>
    <s v="MnPrv"/>
    <s v="NA"/>
    <n v="0"/>
    <n v="7"/>
    <n v="2010"/>
    <s v="WD"/>
    <s v="Normal"/>
    <n v="80000"/>
  </r>
  <r>
    <n v="1146"/>
    <n v="50"/>
    <s v="RM"/>
    <n v="52"/>
    <n v="6240"/>
    <s v="Pave"/>
    <s v="NA"/>
    <s v="Reg"/>
    <s v="Lvl"/>
    <s v="AllPub"/>
    <s v="Inside"/>
    <s v="Gtl"/>
    <x v="8"/>
    <x v="0"/>
    <s v="Norm"/>
    <x v="0"/>
    <x v="2"/>
    <n v="5"/>
    <n v="6"/>
    <x v="89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1042"/>
    <n v="1042"/>
    <s v="GasA"/>
    <s v="Ex"/>
    <s v="Y"/>
    <s v="SBrkr"/>
    <n v="1042"/>
    <n v="534"/>
    <n v="0"/>
    <x v="584"/>
    <n v="0"/>
    <n v="0"/>
    <n v="1"/>
    <n v="0"/>
    <n v="3"/>
    <n v="1"/>
    <s v="TA"/>
    <n v="8"/>
    <s v="Typ"/>
    <n v="1"/>
    <s v="Gd"/>
    <s v="Detchd"/>
    <n v="1928"/>
    <s v="Unf"/>
    <n v="1"/>
    <n v="225"/>
    <s v="TA"/>
    <s v="TA"/>
    <s v="Y"/>
    <n v="0"/>
    <n v="0"/>
    <n v="0"/>
    <n v="0"/>
    <n v="0"/>
    <n v="0"/>
    <s v="NA"/>
    <s v="NA"/>
    <s v="NA"/>
    <n v="0"/>
    <n v="8"/>
    <n v="2006"/>
    <s v="WD"/>
    <s v="Family"/>
    <n v="149000"/>
  </r>
  <r>
    <n v="1147"/>
    <n v="20"/>
    <s v="RL"/>
    <s v="NA"/>
    <n v="11200"/>
    <s v="Pave"/>
    <s v="NA"/>
    <s v="Reg"/>
    <s v="Lvl"/>
    <s v="AllPub"/>
    <s v="Inside"/>
    <s v="Gtl"/>
    <x v="12"/>
    <x v="0"/>
    <s v="Norm"/>
    <x v="0"/>
    <x v="1"/>
    <n v="6"/>
    <n v="5"/>
    <x v="55"/>
    <n v="1985"/>
    <s v="Gable"/>
    <s v="CompShg"/>
    <s v="Wd Sdng"/>
    <s v="Wd Shng"/>
    <s v="BrkFace"/>
    <n v="85"/>
    <s v="Gd"/>
    <s v="TA"/>
    <s v="CBlock"/>
    <s v="Gd"/>
    <s v="TA"/>
    <s v="No"/>
    <s v="GLQ"/>
    <n v="1258"/>
    <s v="Unf"/>
    <n v="0"/>
    <n v="40"/>
    <n v="1298"/>
    <s v="GasA"/>
    <s v="TA"/>
    <s v="Y"/>
    <s v="SBrkr"/>
    <n v="1298"/>
    <n v="0"/>
    <n v="0"/>
    <x v="738"/>
    <n v="1"/>
    <n v="0"/>
    <n v="2"/>
    <n v="0"/>
    <n v="3"/>
    <n v="1"/>
    <s v="Gd"/>
    <n v="5"/>
    <s v="Typ"/>
    <n v="1"/>
    <s v="TA"/>
    <s v="Attchd"/>
    <n v="1985"/>
    <s v="Unf"/>
    <n v="2"/>
    <n v="403"/>
    <s v="TA"/>
    <s v="TA"/>
    <s v="Y"/>
    <n v="165"/>
    <n v="26"/>
    <n v="0"/>
    <n v="0"/>
    <n v="0"/>
    <n v="0"/>
    <s v="NA"/>
    <s v="NA"/>
    <s v="NA"/>
    <n v="0"/>
    <n v="5"/>
    <n v="2006"/>
    <s v="WD"/>
    <s v="Normal"/>
    <n v="180000"/>
  </r>
  <r>
    <n v="1148"/>
    <n v="70"/>
    <s v="RL"/>
    <n v="75"/>
    <n v="12000"/>
    <s v="Pave"/>
    <s v="NA"/>
    <s v="Reg"/>
    <s v="Bnk"/>
    <s v="AllPub"/>
    <s v="Inside"/>
    <s v="Gtl"/>
    <x v="2"/>
    <x v="0"/>
    <s v="Norm"/>
    <x v="0"/>
    <x v="0"/>
    <n v="7"/>
    <n v="7"/>
    <x v="71"/>
    <n v="1950"/>
    <s v="Gable"/>
    <s v="CompShg"/>
    <s v="MetalSd"/>
    <s v="MetalSd"/>
    <s v="None"/>
    <n v="0"/>
    <s v="TA"/>
    <s v="TA"/>
    <s v="CBlock"/>
    <s v="TA"/>
    <s v="TA"/>
    <s v="No"/>
    <s v="Rec"/>
    <n v="275"/>
    <s v="Unf"/>
    <n v="0"/>
    <n v="429"/>
    <n v="704"/>
    <s v="GasA"/>
    <s v="Ex"/>
    <s v="Y"/>
    <s v="SBrkr"/>
    <n v="860"/>
    <n v="704"/>
    <n v="0"/>
    <x v="577"/>
    <n v="0"/>
    <n v="0"/>
    <n v="1"/>
    <n v="1"/>
    <n v="3"/>
    <n v="1"/>
    <s v="Fa"/>
    <n v="7"/>
    <s v="Typ"/>
    <n v="1"/>
    <s v="Gd"/>
    <s v="Attchd"/>
    <n v="1941"/>
    <s v="Unf"/>
    <n v="1"/>
    <n v="234"/>
    <s v="TA"/>
    <s v="TA"/>
    <s v="Y"/>
    <n v="0"/>
    <n v="0"/>
    <n v="0"/>
    <n v="0"/>
    <n v="0"/>
    <n v="0"/>
    <s v="NA"/>
    <s v="NA"/>
    <s v="NA"/>
    <n v="0"/>
    <n v="7"/>
    <n v="2009"/>
    <s v="WD"/>
    <s v="Normal"/>
    <n v="174500"/>
  </r>
  <r>
    <n v="1149"/>
    <n v="50"/>
    <s v="RM"/>
    <s v="NA"/>
    <n v="5700"/>
    <s v="Pave"/>
    <s v="NA"/>
    <s v="Reg"/>
    <s v="Lvl"/>
    <s v="AllPub"/>
    <s v="Inside"/>
    <s v="Gtl"/>
    <x v="7"/>
    <x v="0"/>
    <s v="Norm"/>
    <x v="0"/>
    <x v="2"/>
    <n v="7"/>
    <n v="7"/>
    <x v="69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572"/>
    <n v="572"/>
    <s v="GasA"/>
    <s v="TA"/>
    <s v="Y"/>
    <s v="SBrkr"/>
    <n v="572"/>
    <n v="539"/>
    <n v="0"/>
    <x v="59"/>
    <n v="0"/>
    <n v="0"/>
    <n v="1"/>
    <n v="0"/>
    <n v="2"/>
    <n v="1"/>
    <s v="TA"/>
    <n v="5"/>
    <s v="Typ"/>
    <n v="1"/>
    <s v="Gd"/>
    <s v="Detchd"/>
    <n v="1982"/>
    <s v="Unf"/>
    <n v="1"/>
    <n v="288"/>
    <s v="TA"/>
    <s v="TA"/>
    <s v="Y"/>
    <n v="0"/>
    <n v="0"/>
    <n v="176"/>
    <n v="0"/>
    <n v="0"/>
    <n v="0"/>
    <s v="NA"/>
    <s v="NA"/>
    <s v="NA"/>
    <n v="0"/>
    <n v="8"/>
    <n v="2008"/>
    <s v="WD"/>
    <s v="Normal"/>
    <n v="116900"/>
  </r>
  <r>
    <n v="1150"/>
    <n v="70"/>
    <s v="RM"/>
    <n v="50"/>
    <n v="9000"/>
    <s v="Pave"/>
    <s v="NA"/>
    <s v="Reg"/>
    <s v="Lvl"/>
    <s v="AllPub"/>
    <s v="Inside"/>
    <s v="Gtl"/>
    <x v="7"/>
    <x v="3"/>
    <s v="Norm"/>
    <x v="0"/>
    <x v="0"/>
    <n v="7"/>
    <n v="9"/>
    <x v="26"/>
    <n v="1988"/>
    <s v="Hip"/>
    <s v="CompShg"/>
    <s v="VinylSd"/>
    <s v="VinylSd"/>
    <s v="None"/>
    <n v="0"/>
    <s v="TA"/>
    <s v="Gd"/>
    <s v="PConc"/>
    <s v="TA"/>
    <s v="TA"/>
    <s v="No"/>
    <s v="ALQ"/>
    <n v="624"/>
    <s v="Unf"/>
    <n v="0"/>
    <n v="26"/>
    <n v="650"/>
    <s v="GasA"/>
    <s v="Ex"/>
    <s v="Y"/>
    <s v="SBrkr"/>
    <n v="832"/>
    <n v="650"/>
    <n v="0"/>
    <x v="601"/>
    <n v="0"/>
    <n v="1"/>
    <n v="1"/>
    <n v="0"/>
    <n v="3"/>
    <n v="1"/>
    <s v="TA"/>
    <n v="7"/>
    <s v="Typ"/>
    <n v="0"/>
    <s v="NA"/>
    <s v="Detchd"/>
    <n v="1930"/>
    <s v="Unf"/>
    <n v="2"/>
    <n v="324"/>
    <s v="TA"/>
    <s v="TA"/>
    <s v="Y"/>
    <n v="0"/>
    <n v="0"/>
    <n v="0"/>
    <n v="0"/>
    <n v="0"/>
    <n v="0"/>
    <s v="NA"/>
    <s v="NA"/>
    <s v="NA"/>
    <n v="0"/>
    <n v="7"/>
    <n v="2009"/>
    <s v="WD"/>
    <s v="Normal"/>
    <n v="143000"/>
  </r>
  <r>
    <n v="1151"/>
    <n v="20"/>
    <s v="RL"/>
    <n v="57"/>
    <n v="8280"/>
    <s v="Pave"/>
    <s v="NA"/>
    <s v="IR1"/>
    <s v="Lvl"/>
    <s v="AllPub"/>
    <s v="Inside"/>
    <s v="Gtl"/>
    <x v="11"/>
    <x v="0"/>
    <s v="Norm"/>
    <x v="0"/>
    <x v="1"/>
    <n v="6"/>
    <n v="5"/>
    <x v="52"/>
    <n v="1950"/>
    <s v="Gable"/>
    <s v="CompShg"/>
    <s v="BrkFace"/>
    <s v="BrkFace"/>
    <s v="None"/>
    <n v="0"/>
    <s v="TA"/>
    <s v="TA"/>
    <s v="CBlock"/>
    <s v="TA"/>
    <s v="TA"/>
    <s v="No"/>
    <s v="Unf"/>
    <n v="0"/>
    <s v="Unf"/>
    <n v="0"/>
    <n v="932"/>
    <n v="932"/>
    <s v="GasA"/>
    <s v="Ex"/>
    <s v="Y"/>
    <s v="FuseA"/>
    <n v="932"/>
    <n v="0"/>
    <n v="0"/>
    <x v="739"/>
    <n v="0"/>
    <n v="0"/>
    <n v="1"/>
    <n v="0"/>
    <n v="2"/>
    <n v="1"/>
    <s v="Gd"/>
    <n v="4"/>
    <s v="Typ"/>
    <n v="1"/>
    <s v="Gd"/>
    <s v="Attchd"/>
    <n v="1950"/>
    <s v="Unf"/>
    <n v="1"/>
    <n v="306"/>
    <s v="TA"/>
    <s v="TA"/>
    <s v="Y"/>
    <n v="0"/>
    <n v="0"/>
    <n v="214"/>
    <n v="0"/>
    <n v="0"/>
    <n v="0"/>
    <s v="NA"/>
    <s v="GdPrv"/>
    <s v="NA"/>
    <n v="0"/>
    <n v="11"/>
    <n v="2007"/>
    <s v="WD"/>
    <s v="Normal"/>
    <n v="124000"/>
  </r>
  <r>
    <n v="1152"/>
    <n v="20"/>
    <s v="RL"/>
    <n v="134"/>
    <n v="17755"/>
    <s v="Pave"/>
    <s v="NA"/>
    <s v="Reg"/>
    <s v="Lvl"/>
    <s v="AllPub"/>
    <s v="Inside"/>
    <s v="Gtl"/>
    <x v="15"/>
    <x v="0"/>
    <s v="Norm"/>
    <x v="0"/>
    <x v="1"/>
    <n v="5"/>
    <n v="4"/>
    <x v="28"/>
    <n v="1959"/>
    <s v="Gable"/>
    <s v="CompShg"/>
    <s v="HdBoard"/>
    <s v="Plywood"/>
    <s v="BrkFace"/>
    <n v="132"/>
    <s v="TA"/>
    <s v="TA"/>
    <s v="CBlock"/>
    <s v="TA"/>
    <s v="TA"/>
    <s v="No"/>
    <s v="BLQ"/>
    <n v="176"/>
    <s v="Unf"/>
    <n v="0"/>
    <n v="1290"/>
    <n v="1466"/>
    <s v="GasA"/>
    <s v="TA"/>
    <s v="Y"/>
    <s v="SBrkr"/>
    <n v="1466"/>
    <n v="0"/>
    <n v="0"/>
    <x v="650"/>
    <n v="0"/>
    <n v="0"/>
    <n v="1"/>
    <n v="1"/>
    <n v="3"/>
    <n v="1"/>
    <s v="Fa"/>
    <n v="6"/>
    <s v="Typ"/>
    <n v="2"/>
    <s v="Gd"/>
    <s v="Attchd"/>
    <n v="1959"/>
    <s v="Fin"/>
    <n v="2"/>
    <n v="528"/>
    <s v="TA"/>
    <s v="TA"/>
    <s v="Y"/>
    <n v="0"/>
    <n v="140"/>
    <n v="0"/>
    <n v="0"/>
    <n v="100"/>
    <n v="0"/>
    <s v="NA"/>
    <s v="NA"/>
    <s v="NA"/>
    <n v="0"/>
    <n v="11"/>
    <n v="2006"/>
    <s v="WD"/>
    <s v="Normal"/>
    <n v="149900"/>
  </r>
  <r>
    <n v="1153"/>
    <n v="20"/>
    <s v="RL"/>
    <n v="90"/>
    <n v="14115"/>
    <s v="Pave"/>
    <s v="NA"/>
    <s v="IR1"/>
    <s v="Lvl"/>
    <s v="AllPub"/>
    <s v="Inside"/>
    <s v="Gtl"/>
    <x v="2"/>
    <x v="0"/>
    <s v="Norm"/>
    <x v="0"/>
    <x v="1"/>
    <n v="6"/>
    <n v="7"/>
    <x v="46"/>
    <n v="2004"/>
    <s v="Gable"/>
    <s v="CompShg"/>
    <s v="Stone"/>
    <s v="Stone"/>
    <s v="None"/>
    <n v="0"/>
    <s v="TA"/>
    <s v="TA"/>
    <s v="PConc"/>
    <s v="TA"/>
    <s v="TA"/>
    <s v="No"/>
    <s v="ALQ"/>
    <n v="296"/>
    <s v="GLQ"/>
    <n v="547"/>
    <n v="230"/>
    <n v="1073"/>
    <s v="GasA"/>
    <s v="Ex"/>
    <s v="Y"/>
    <s v="SBrkr"/>
    <n v="1811"/>
    <n v="0"/>
    <n v="0"/>
    <x v="740"/>
    <n v="0"/>
    <n v="0"/>
    <n v="1"/>
    <n v="0"/>
    <n v="2"/>
    <n v="1"/>
    <s v="Ex"/>
    <n v="6"/>
    <s v="Typ"/>
    <n v="1"/>
    <s v="Gd"/>
    <s v="Attchd"/>
    <n v="1956"/>
    <s v="Fin"/>
    <n v="2"/>
    <n v="470"/>
    <s v="TA"/>
    <s v="TA"/>
    <s v="Y"/>
    <n v="0"/>
    <n v="0"/>
    <n v="280"/>
    <n v="0"/>
    <n v="0"/>
    <n v="0"/>
    <s v="NA"/>
    <s v="NA"/>
    <s v="NA"/>
    <n v="0"/>
    <n v="7"/>
    <n v="2006"/>
    <s v="WD"/>
    <s v="Abnorml"/>
    <n v="230000"/>
  </r>
  <r>
    <n v="1154"/>
    <n v="30"/>
    <s v="RM"/>
    <s v="NA"/>
    <n v="5890"/>
    <s v="Pave"/>
    <s v="NA"/>
    <s v="Reg"/>
    <s v="Lvl"/>
    <s v="AllPub"/>
    <s v="Corner"/>
    <s v="Gtl"/>
    <x v="13"/>
    <x v="0"/>
    <s v="Norm"/>
    <x v="0"/>
    <x v="1"/>
    <n v="6"/>
    <n v="8"/>
    <x v="19"/>
    <n v="2007"/>
    <s v="Gable"/>
    <s v="CompShg"/>
    <s v="Wd Sdng"/>
    <s v="Wd Sdng"/>
    <s v="None"/>
    <n v="0"/>
    <s v="Gd"/>
    <s v="Gd"/>
    <s v="BrkTil"/>
    <s v="TA"/>
    <s v="TA"/>
    <s v="Av"/>
    <s v="ALQ"/>
    <n v="538"/>
    <s v="Unf"/>
    <n v="0"/>
    <n v="278"/>
    <n v="816"/>
    <s v="GasA"/>
    <s v="Ex"/>
    <s v="Y"/>
    <s v="SBrkr"/>
    <n v="816"/>
    <n v="0"/>
    <n v="0"/>
    <x v="50"/>
    <n v="0"/>
    <n v="0"/>
    <n v="1"/>
    <n v="0"/>
    <n v="2"/>
    <n v="1"/>
    <s v="TA"/>
    <n v="5"/>
    <s v="Typ"/>
    <n v="0"/>
    <s v="NA"/>
    <s v="Detchd"/>
    <n v="2002"/>
    <s v="Unf"/>
    <n v="1"/>
    <n v="432"/>
    <s v="TA"/>
    <s v="TA"/>
    <s v="Y"/>
    <n v="0"/>
    <n v="0"/>
    <n v="96"/>
    <n v="0"/>
    <n v="0"/>
    <n v="0"/>
    <s v="NA"/>
    <s v="NA"/>
    <s v="NA"/>
    <n v="0"/>
    <n v="6"/>
    <n v="2008"/>
    <s v="WD"/>
    <s v="Normal"/>
    <n v="120500"/>
  </r>
  <r>
    <n v="1155"/>
    <n v="60"/>
    <s v="RL"/>
    <s v="NA"/>
    <n v="13700"/>
    <s v="Pave"/>
    <s v="NA"/>
    <s v="IR1"/>
    <s v="Lvl"/>
    <s v="AllPub"/>
    <s v="Inside"/>
    <s v="Gtl"/>
    <x v="11"/>
    <x v="0"/>
    <s v="Norm"/>
    <x v="0"/>
    <x v="0"/>
    <n v="7"/>
    <n v="6"/>
    <x v="10"/>
    <n v="1988"/>
    <s v="Gable"/>
    <s v="CompShg"/>
    <s v="VinylSd"/>
    <s v="VinylSd"/>
    <s v="Stone"/>
    <n v="288"/>
    <s v="TA"/>
    <s v="TA"/>
    <s v="CBlock"/>
    <s v="TA"/>
    <s v="TA"/>
    <s v="Gd"/>
    <s v="ALQ"/>
    <n v="454"/>
    <s v="Unf"/>
    <n v="0"/>
    <n v="410"/>
    <n v="864"/>
    <s v="GasA"/>
    <s v="TA"/>
    <s v="Y"/>
    <s v="SBrkr"/>
    <n v="902"/>
    <n v="918"/>
    <n v="0"/>
    <x v="397"/>
    <n v="0"/>
    <n v="0"/>
    <n v="1"/>
    <n v="2"/>
    <n v="4"/>
    <n v="1"/>
    <s v="Gd"/>
    <n v="8"/>
    <s v="Typ"/>
    <n v="2"/>
    <s v="Gd"/>
    <s v="Attchd"/>
    <n v="1965"/>
    <s v="Unf"/>
    <n v="2"/>
    <n v="492"/>
    <s v="TA"/>
    <s v="TA"/>
    <s v="Y"/>
    <n v="60"/>
    <n v="84"/>
    <n v="0"/>
    <n v="0"/>
    <n v="273"/>
    <n v="0"/>
    <s v="NA"/>
    <s v="GdPrv"/>
    <s v="NA"/>
    <n v="0"/>
    <n v="5"/>
    <n v="2008"/>
    <s v="WD"/>
    <s v="Normal"/>
    <n v="201800"/>
  </r>
  <r>
    <n v="1156"/>
    <n v="20"/>
    <s v="RL"/>
    <n v="90"/>
    <n v="10768"/>
    <s v="Pave"/>
    <s v="NA"/>
    <s v="IR1"/>
    <s v="Lvl"/>
    <s v="AllPub"/>
    <s v="Corner"/>
    <s v="Gtl"/>
    <x v="1"/>
    <x v="0"/>
    <s v="Norm"/>
    <x v="0"/>
    <x v="1"/>
    <n v="5"/>
    <n v="8"/>
    <x v="1"/>
    <n v="2004"/>
    <s v="Gable"/>
    <s v="CompShg"/>
    <s v="Plywood"/>
    <s v="Plywood"/>
    <s v="None"/>
    <n v="0"/>
    <s v="Gd"/>
    <s v="Gd"/>
    <s v="CBlock"/>
    <s v="Gd"/>
    <s v="TA"/>
    <s v="Gd"/>
    <s v="ALQ"/>
    <n v="1157"/>
    <s v="Unf"/>
    <n v="0"/>
    <n v="280"/>
    <n v="1437"/>
    <s v="GasA"/>
    <s v="TA"/>
    <s v="Y"/>
    <s v="SBrkr"/>
    <n v="1437"/>
    <n v="0"/>
    <n v="0"/>
    <x v="511"/>
    <n v="1"/>
    <n v="0"/>
    <n v="2"/>
    <n v="0"/>
    <n v="3"/>
    <n v="1"/>
    <s v="Gd"/>
    <n v="6"/>
    <s v="Typ"/>
    <n v="1"/>
    <s v="Fa"/>
    <s v="Attchd"/>
    <n v="1976"/>
    <s v="RFn"/>
    <n v="2"/>
    <n v="528"/>
    <s v="TA"/>
    <s v="TA"/>
    <s v="Y"/>
    <n v="0"/>
    <n v="21"/>
    <n v="0"/>
    <n v="0"/>
    <n v="180"/>
    <n v="0"/>
    <s v="NA"/>
    <s v="NA"/>
    <s v="NA"/>
    <n v="0"/>
    <n v="7"/>
    <n v="2007"/>
    <s v="WD"/>
    <s v="Normal"/>
    <n v="218000"/>
  </r>
  <r>
    <n v="1157"/>
    <n v="80"/>
    <s v="RL"/>
    <n v="85"/>
    <n v="9350"/>
    <s v="Pave"/>
    <s v="NA"/>
    <s v="Reg"/>
    <s v="Lvl"/>
    <s v="AllPub"/>
    <s v="Inside"/>
    <s v="Gtl"/>
    <x v="11"/>
    <x v="0"/>
    <s v="Norm"/>
    <x v="0"/>
    <x v="5"/>
    <n v="5"/>
    <n v="8"/>
    <x v="10"/>
    <n v="1999"/>
    <s v="Gable"/>
    <s v="CompShg"/>
    <s v="BrkFace"/>
    <s v="BrkFace"/>
    <s v="None"/>
    <n v="0"/>
    <s v="TA"/>
    <s v="Gd"/>
    <s v="PConc"/>
    <s v="TA"/>
    <s v="TA"/>
    <s v="Gd"/>
    <s v="ALQ"/>
    <n v="633"/>
    <s v="Unf"/>
    <n v="0"/>
    <n v="586"/>
    <n v="1219"/>
    <s v="GasA"/>
    <s v="Gd"/>
    <s v="Y"/>
    <s v="SBrkr"/>
    <n v="1265"/>
    <n v="0"/>
    <n v="0"/>
    <x v="741"/>
    <n v="0"/>
    <n v="1"/>
    <n v="2"/>
    <n v="0"/>
    <n v="3"/>
    <n v="1"/>
    <s v="Gd"/>
    <n v="6"/>
    <s v="Typ"/>
    <n v="1"/>
    <s v="Gd"/>
    <s v="Attchd"/>
    <n v="1965"/>
    <s v="RFn"/>
    <n v="2"/>
    <n v="502"/>
    <s v="TA"/>
    <s v="TA"/>
    <s v="Y"/>
    <n v="0"/>
    <n v="92"/>
    <n v="0"/>
    <n v="96"/>
    <n v="0"/>
    <n v="0"/>
    <s v="NA"/>
    <s v="MnPrv"/>
    <s v="NA"/>
    <n v="0"/>
    <n v="10"/>
    <n v="2008"/>
    <s v="WD"/>
    <s v="Normal"/>
    <n v="179900"/>
  </r>
  <r>
    <n v="1158"/>
    <n v="120"/>
    <s v="RL"/>
    <n v="34"/>
    <n v="5001"/>
    <s v="Pave"/>
    <s v="NA"/>
    <s v="IR1"/>
    <s v="Lvl"/>
    <s v="AllPub"/>
    <s v="Inside"/>
    <s v="Gtl"/>
    <x v="10"/>
    <x v="0"/>
    <s v="Norm"/>
    <x v="4"/>
    <x v="1"/>
    <n v="7"/>
    <n v="5"/>
    <x v="22"/>
    <n v="2008"/>
    <s v="Gable"/>
    <s v="CompShg"/>
    <s v="VinylSd"/>
    <s v="VinylSd"/>
    <s v="Stone"/>
    <n v="166"/>
    <s v="Gd"/>
    <s v="TA"/>
    <s v="PConc"/>
    <s v="Gd"/>
    <s v="TA"/>
    <s v="No"/>
    <s v="GLQ"/>
    <n v="904"/>
    <s v="Unf"/>
    <n v="0"/>
    <n v="410"/>
    <n v="1314"/>
    <s v="GasA"/>
    <s v="Ex"/>
    <s v="Y"/>
    <s v="SBrkr"/>
    <n v="1314"/>
    <n v="0"/>
    <n v="0"/>
    <x v="221"/>
    <n v="1"/>
    <n v="0"/>
    <n v="2"/>
    <n v="0"/>
    <n v="2"/>
    <n v="1"/>
    <s v="Gd"/>
    <n v="6"/>
    <s v="Typ"/>
    <n v="1"/>
    <s v="Gd"/>
    <s v="Attchd"/>
    <n v="2008"/>
    <s v="RFn"/>
    <n v="2"/>
    <n v="626"/>
    <s v="TA"/>
    <s v="TA"/>
    <s v="Y"/>
    <n v="172"/>
    <n v="62"/>
    <n v="0"/>
    <n v="0"/>
    <n v="0"/>
    <n v="0"/>
    <s v="NA"/>
    <s v="NA"/>
    <s v="NA"/>
    <n v="0"/>
    <n v="7"/>
    <n v="2009"/>
    <s v="WD"/>
    <s v="Normal"/>
    <n v="230000"/>
  </r>
  <r>
    <n v="1159"/>
    <n v="20"/>
    <s v="RL"/>
    <n v="92"/>
    <n v="11932"/>
    <s v="Pave"/>
    <s v="NA"/>
    <s v="Reg"/>
    <s v="Lvl"/>
    <s v="AllPub"/>
    <s v="FR2"/>
    <s v="Gtl"/>
    <x v="5"/>
    <x v="1"/>
    <s v="Norm"/>
    <x v="0"/>
    <x v="1"/>
    <n v="8"/>
    <n v="5"/>
    <x v="22"/>
    <n v="2008"/>
    <s v="Gable"/>
    <s v="CompShg"/>
    <s v="VinylSd"/>
    <s v="VinylSd"/>
    <s v="Stone"/>
    <n v="186"/>
    <s v="Gd"/>
    <s v="TA"/>
    <s v="PConc"/>
    <s v="Gd"/>
    <s v="TA"/>
    <s v="No"/>
    <s v="Unf"/>
    <n v="0"/>
    <s v="Unf"/>
    <n v="0"/>
    <n v="1580"/>
    <n v="1580"/>
    <s v="GasA"/>
    <s v="Ex"/>
    <s v="Y"/>
    <s v="SBrkr"/>
    <n v="1580"/>
    <n v="0"/>
    <n v="0"/>
    <x v="742"/>
    <n v="0"/>
    <n v="0"/>
    <n v="2"/>
    <n v="0"/>
    <n v="3"/>
    <n v="1"/>
    <s v="Gd"/>
    <n v="7"/>
    <s v="Typ"/>
    <n v="0"/>
    <s v="NA"/>
    <s v="Attchd"/>
    <n v="2008"/>
    <s v="RFn"/>
    <n v="3"/>
    <n v="830"/>
    <s v="TA"/>
    <s v="TA"/>
    <s v="Y"/>
    <n v="0"/>
    <n v="24"/>
    <n v="0"/>
    <n v="0"/>
    <n v="0"/>
    <n v="0"/>
    <s v="NA"/>
    <s v="NA"/>
    <s v="NA"/>
    <n v="0"/>
    <n v="6"/>
    <n v="2008"/>
    <s v="ConLD"/>
    <s v="Partial"/>
    <n v="235128"/>
  </r>
  <r>
    <n v="1160"/>
    <n v="60"/>
    <s v="RL"/>
    <n v="76"/>
    <n v="9120"/>
    <s v="Pave"/>
    <s v="NA"/>
    <s v="Reg"/>
    <s v="Lvl"/>
    <s v="AllPub"/>
    <s v="Inside"/>
    <s v="Gtl"/>
    <x v="6"/>
    <x v="0"/>
    <s v="Norm"/>
    <x v="0"/>
    <x v="0"/>
    <n v="6"/>
    <n v="6"/>
    <x v="99"/>
    <n v="1974"/>
    <s v="Hip"/>
    <s v="CompShg"/>
    <s v="HdBoard"/>
    <s v="HdBoard"/>
    <s v="BrkFace"/>
    <n v="270"/>
    <s v="Gd"/>
    <s v="TA"/>
    <s v="CBlock"/>
    <s v="TA"/>
    <s v="TA"/>
    <s v="No"/>
    <s v="ALQ"/>
    <n v="442"/>
    <s v="Unf"/>
    <n v="0"/>
    <n v="459"/>
    <n v="901"/>
    <s v="GasA"/>
    <s v="TA"/>
    <s v="Y"/>
    <s v="SBrkr"/>
    <n v="943"/>
    <n v="933"/>
    <n v="0"/>
    <x v="743"/>
    <n v="0"/>
    <n v="0"/>
    <n v="2"/>
    <n v="1"/>
    <n v="4"/>
    <n v="1"/>
    <s v="Gd"/>
    <n v="8"/>
    <s v="Typ"/>
    <n v="1"/>
    <s v="TA"/>
    <s v="Attchd"/>
    <n v="1974"/>
    <s v="RFn"/>
    <n v="2"/>
    <n v="540"/>
    <s v="Gd"/>
    <s v="TA"/>
    <s v="Y"/>
    <n v="0"/>
    <n v="69"/>
    <n v="0"/>
    <n v="0"/>
    <n v="0"/>
    <n v="0"/>
    <s v="NA"/>
    <s v="NA"/>
    <s v="NA"/>
    <n v="0"/>
    <n v="7"/>
    <n v="2008"/>
    <s v="WD"/>
    <s v="Normal"/>
    <n v="185000"/>
  </r>
  <r>
    <n v="1161"/>
    <n v="160"/>
    <s v="RL"/>
    <n v="24"/>
    <n v="2280"/>
    <s v="Pave"/>
    <s v="NA"/>
    <s v="Reg"/>
    <s v="Lvl"/>
    <s v="AllPub"/>
    <s v="Inside"/>
    <s v="Gtl"/>
    <x v="20"/>
    <x v="0"/>
    <s v="Norm"/>
    <x v="4"/>
    <x v="0"/>
    <n v="6"/>
    <n v="5"/>
    <x v="90"/>
    <n v="1978"/>
    <s v="Gable"/>
    <s v="CompShg"/>
    <s v="Plywood"/>
    <s v="Brk Cmn"/>
    <s v="None"/>
    <n v="0"/>
    <s v="TA"/>
    <s v="TA"/>
    <s v="CBlock"/>
    <s v="Gd"/>
    <s v="TA"/>
    <s v="No"/>
    <s v="ALQ"/>
    <n v="311"/>
    <s v="Unf"/>
    <n v="0"/>
    <n v="544"/>
    <n v="855"/>
    <s v="GasA"/>
    <s v="Fa"/>
    <s v="Y"/>
    <s v="SBrkr"/>
    <n v="855"/>
    <n v="601"/>
    <n v="0"/>
    <x v="113"/>
    <n v="0"/>
    <n v="0"/>
    <n v="2"/>
    <n v="1"/>
    <n v="3"/>
    <n v="1"/>
    <s v="TA"/>
    <n v="7"/>
    <s v="Typ"/>
    <n v="1"/>
    <s v="TA"/>
    <s v="Attchd"/>
    <n v="1978"/>
    <s v="Unf"/>
    <n v="2"/>
    <n v="440"/>
    <s v="TA"/>
    <s v="TA"/>
    <s v="Y"/>
    <n v="26"/>
    <n v="0"/>
    <n v="0"/>
    <n v="0"/>
    <n v="0"/>
    <n v="0"/>
    <s v="NA"/>
    <s v="NA"/>
    <s v="NA"/>
    <n v="0"/>
    <n v="7"/>
    <n v="2010"/>
    <s v="WD"/>
    <s v="Normal"/>
    <n v="146000"/>
  </r>
  <r>
    <n v="1162"/>
    <n v="20"/>
    <s v="RL"/>
    <s v="NA"/>
    <n v="14778"/>
    <s v="Pave"/>
    <s v="NA"/>
    <s v="IR1"/>
    <s v="Low"/>
    <s v="AllPub"/>
    <s v="CulDSac"/>
    <s v="Gtl"/>
    <x v="2"/>
    <x v="2"/>
    <s v="Norm"/>
    <x v="0"/>
    <x v="1"/>
    <n v="6"/>
    <n v="7"/>
    <x v="30"/>
    <n v="2006"/>
    <s v="Hip"/>
    <s v="CompShg"/>
    <s v="HdBoard"/>
    <s v="HdBoard"/>
    <s v="BrkFace"/>
    <n v="72"/>
    <s v="Gd"/>
    <s v="TA"/>
    <s v="CBlock"/>
    <s v="TA"/>
    <s v="TA"/>
    <s v="No"/>
    <s v="BLQ"/>
    <n v="728"/>
    <s v="Unf"/>
    <n v="0"/>
    <n v="568"/>
    <n v="1296"/>
    <s v="GasA"/>
    <s v="Ex"/>
    <s v="Y"/>
    <s v="SBrkr"/>
    <n v="1640"/>
    <n v="0"/>
    <n v="0"/>
    <x v="220"/>
    <n v="1"/>
    <n v="0"/>
    <n v="1"/>
    <n v="0"/>
    <n v="3"/>
    <n v="1"/>
    <s v="Gd"/>
    <n v="7"/>
    <s v="Typ"/>
    <n v="1"/>
    <s v="Gd"/>
    <s v="Detchd"/>
    <n v="1993"/>
    <s v="Unf"/>
    <n v="2"/>
    <n v="924"/>
    <s v="TA"/>
    <s v="TA"/>
    <s v="Y"/>
    <n v="108"/>
    <n v="0"/>
    <n v="0"/>
    <n v="216"/>
    <n v="0"/>
    <n v="0"/>
    <s v="NA"/>
    <s v="NA"/>
    <s v="NA"/>
    <n v="0"/>
    <n v="11"/>
    <n v="2008"/>
    <s v="WD"/>
    <s v="Normal"/>
    <n v="224000"/>
  </r>
  <r>
    <n v="1163"/>
    <n v="20"/>
    <s v="RL"/>
    <n v="109"/>
    <n v="8724"/>
    <s v="Pave"/>
    <s v="NA"/>
    <s v="Reg"/>
    <s v="Lvl"/>
    <s v="AllPub"/>
    <s v="Inside"/>
    <s v="Gtl"/>
    <x v="9"/>
    <x v="0"/>
    <s v="Norm"/>
    <x v="0"/>
    <x v="1"/>
    <n v="5"/>
    <n v="5"/>
    <x v="21"/>
    <n v="1968"/>
    <s v="Gable"/>
    <s v="CompShg"/>
    <s v="VinylSd"/>
    <s v="VinylSd"/>
    <s v="None"/>
    <n v="0"/>
    <s v="TA"/>
    <s v="TA"/>
    <s v="CBlock"/>
    <s v="Gd"/>
    <s v="TA"/>
    <s v="No"/>
    <s v="BLQ"/>
    <n v="492"/>
    <s v="Unf"/>
    <n v="0"/>
    <n v="402"/>
    <n v="894"/>
    <s v="GasA"/>
    <s v="Gd"/>
    <s v="Y"/>
    <s v="SBrkr"/>
    <n v="894"/>
    <n v="0"/>
    <n v="0"/>
    <x v="204"/>
    <n v="0"/>
    <n v="0"/>
    <n v="1"/>
    <n v="0"/>
    <n v="3"/>
    <n v="1"/>
    <s v="TA"/>
    <n v="5"/>
    <s v="Typ"/>
    <n v="1"/>
    <s v="Po"/>
    <s v="Attchd"/>
    <n v="1968"/>
    <s v="Fin"/>
    <n v="2"/>
    <n v="450"/>
    <s v="TA"/>
    <s v="TA"/>
    <s v="Y"/>
    <n v="0"/>
    <n v="0"/>
    <n v="0"/>
    <n v="0"/>
    <n v="0"/>
    <n v="0"/>
    <s v="NA"/>
    <s v="NA"/>
    <s v="NA"/>
    <n v="0"/>
    <n v="5"/>
    <n v="2007"/>
    <s v="WD"/>
    <s v="Normal"/>
    <n v="129000"/>
  </r>
  <r>
    <n v="1164"/>
    <n v="90"/>
    <s v="RL"/>
    <n v="60"/>
    <n v="12900"/>
    <s v="Pave"/>
    <s v="NA"/>
    <s v="Reg"/>
    <s v="Lvl"/>
    <s v="AllPub"/>
    <s v="Inside"/>
    <s v="Gtl"/>
    <x v="9"/>
    <x v="1"/>
    <s v="Norm"/>
    <x v="2"/>
    <x v="4"/>
    <n v="4"/>
    <n v="4"/>
    <x v="60"/>
    <n v="1969"/>
    <s v="Gable"/>
    <s v="CompShg"/>
    <s v="Plywood"/>
    <s v="Plywood"/>
    <s v="None"/>
    <n v="0"/>
    <s v="TA"/>
    <s v="TA"/>
    <s v="CBlock"/>
    <s v="Gd"/>
    <s v="TA"/>
    <s v="Av"/>
    <s v="GLQ"/>
    <n v="1198"/>
    <s v="Unf"/>
    <n v="0"/>
    <n v="0"/>
    <n v="1198"/>
    <s v="GasA"/>
    <s v="TA"/>
    <s v="Y"/>
    <s v="SBrkr"/>
    <n v="1258"/>
    <n v="0"/>
    <n v="0"/>
    <x v="358"/>
    <n v="2"/>
    <n v="0"/>
    <n v="0"/>
    <n v="2"/>
    <n v="0"/>
    <n v="2"/>
    <s v="TA"/>
    <n v="6"/>
    <s v="Typ"/>
    <n v="0"/>
    <s v="NA"/>
    <s v="CarPort"/>
    <n v="1969"/>
    <s v="Unf"/>
    <n v="2"/>
    <n v="400"/>
    <s v="Fa"/>
    <s v="TA"/>
    <s v="Y"/>
    <n v="120"/>
    <n v="0"/>
    <n v="0"/>
    <n v="0"/>
    <n v="0"/>
    <n v="0"/>
    <s v="NA"/>
    <s v="NA"/>
    <s v="NA"/>
    <n v="0"/>
    <n v="1"/>
    <n v="2008"/>
    <s v="WD"/>
    <s v="Alloca"/>
    <n v="108959"/>
  </r>
  <r>
    <n v="1165"/>
    <n v="80"/>
    <s v="RL"/>
    <s v="NA"/>
    <n v="16157"/>
    <s v="Pave"/>
    <s v="NA"/>
    <s v="IR1"/>
    <s v="Lvl"/>
    <s v="AllPub"/>
    <s v="FR2"/>
    <s v="Gtl"/>
    <x v="1"/>
    <x v="1"/>
    <s v="Norm"/>
    <x v="0"/>
    <x v="5"/>
    <n v="5"/>
    <n v="7"/>
    <x v="90"/>
    <n v="1978"/>
    <s v="Gable"/>
    <s v="CompShg"/>
    <s v="Plywood"/>
    <s v="Plywood"/>
    <s v="None"/>
    <n v="0"/>
    <s v="TA"/>
    <s v="TA"/>
    <s v="PConc"/>
    <s v="Gd"/>
    <s v="TA"/>
    <s v="Gd"/>
    <s v="ALQ"/>
    <n v="680"/>
    <s v="Rec"/>
    <n v="391"/>
    <n v="289"/>
    <n v="1360"/>
    <s v="GasA"/>
    <s v="Ex"/>
    <s v="Y"/>
    <s v="SBrkr"/>
    <n v="1432"/>
    <n v="0"/>
    <n v="0"/>
    <x v="264"/>
    <n v="1"/>
    <n v="0"/>
    <n v="1"/>
    <n v="1"/>
    <n v="2"/>
    <n v="1"/>
    <s v="Gd"/>
    <n v="5"/>
    <s v="Typ"/>
    <n v="1"/>
    <s v="TA"/>
    <s v="Attchd"/>
    <n v="1978"/>
    <s v="Unf"/>
    <n v="2"/>
    <n v="588"/>
    <s v="TA"/>
    <s v="TA"/>
    <s v="Y"/>
    <n v="168"/>
    <n v="180"/>
    <n v="0"/>
    <n v="0"/>
    <n v="0"/>
    <n v="0"/>
    <s v="NA"/>
    <s v="NA"/>
    <s v="NA"/>
    <n v="0"/>
    <n v="6"/>
    <n v="2007"/>
    <s v="WD"/>
    <s v="Normal"/>
    <n v="194000"/>
  </r>
  <r>
    <n v="1166"/>
    <n v="20"/>
    <s v="RL"/>
    <n v="79"/>
    <n v="9541"/>
    <s v="Pave"/>
    <s v="NA"/>
    <s v="IR1"/>
    <s v="Lvl"/>
    <s v="AllPub"/>
    <s v="Inside"/>
    <s v="Gtl"/>
    <x v="10"/>
    <x v="0"/>
    <s v="Norm"/>
    <x v="0"/>
    <x v="1"/>
    <n v="7"/>
    <n v="5"/>
    <x v="51"/>
    <n v="2009"/>
    <s v="Gable"/>
    <s v="CompShg"/>
    <s v="VinylSd"/>
    <s v="VinylSd"/>
    <s v="Stone"/>
    <n v="268"/>
    <s v="Gd"/>
    <s v="TA"/>
    <s v="PConc"/>
    <s v="Gd"/>
    <s v="TA"/>
    <s v="No"/>
    <s v="Unf"/>
    <n v="0"/>
    <s v="Unf"/>
    <n v="0"/>
    <n v="1502"/>
    <n v="1502"/>
    <s v="GasA"/>
    <s v="Ex"/>
    <s v="Y"/>
    <s v="SBrkr"/>
    <n v="1502"/>
    <n v="0"/>
    <n v="0"/>
    <x v="377"/>
    <n v="0"/>
    <n v="0"/>
    <n v="2"/>
    <n v="0"/>
    <n v="3"/>
    <n v="1"/>
    <s v="Gd"/>
    <n v="7"/>
    <s v="Typ"/>
    <n v="0"/>
    <s v="NA"/>
    <s v="Attchd"/>
    <n v="2009"/>
    <s v="RFn"/>
    <n v="2"/>
    <n v="644"/>
    <s v="TA"/>
    <s v="TA"/>
    <s v="Y"/>
    <n v="0"/>
    <n v="114"/>
    <n v="0"/>
    <n v="0"/>
    <n v="0"/>
    <n v="0"/>
    <s v="NA"/>
    <s v="NA"/>
    <s v="NA"/>
    <n v="0"/>
    <n v="9"/>
    <n v="2009"/>
    <s v="New"/>
    <s v="Partial"/>
    <n v="233170"/>
  </r>
  <r>
    <n v="1167"/>
    <n v="20"/>
    <s v="RL"/>
    <n v="64"/>
    <n v="10475"/>
    <s v="Pave"/>
    <s v="NA"/>
    <s v="IR1"/>
    <s v="Lvl"/>
    <s v="AllPub"/>
    <s v="Corner"/>
    <s v="Gtl"/>
    <x v="0"/>
    <x v="0"/>
    <s v="Norm"/>
    <x v="0"/>
    <x v="1"/>
    <n v="8"/>
    <n v="5"/>
    <x v="74"/>
    <n v="2008"/>
    <s v="Gable"/>
    <s v="CompShg"/>
    <s v="VinylSd"/>
    <s v="VinylSd"/>
    <s v="Stone"/>
    <n v="72"/>
    <s v="Gd"/>
    <s v="TA"/>
    <s v="PConc"/>
    <s v="Gd"/>
    <s v="TA"/>
    <s v="Av"/>
    <s v="Unf"/>
    <n v="0"/>
    <s v="Unf"/>
    <n v="0"/>
    <n v="1694"/>
    <n v="1694"/>
    <s v="GasA"/>
    <s v="Ex"/>
    <s v="Y"/>
    <s v="SBrkr"/>
    <n v="1694"/>
    <n v="0"/>
    <n v="0"/>
    <x v="6"/>
    <n v="0"/>
    <n v="0"/>
    <n v="2"/>
    <n v="0"/>
    <n v="3"/>
    <n v="1"/>
    <s v="Gd"/>
    <n v="7"/>
    <s v="Typ"/>
    <n v="0"/>
    <s v="NA"/>
    <s v="Attchd"/>
    <n v="2008"/>
    <s v="RFn"/>
    <n v="3"/>
    <n v="776"/>
    <s v="TA"/>
    <s v="TA"/>
    <s v="Y"/>
    <n v="160"/>
    <n v="33"/>
    <n v="0"/>
    <n v="0"/>
    <n v="0"/>
    <n v="0"/>
    <s v="NA"/>
    <s v="NA"/>
    <s v="NA"/>
    <n v="0"/>
    <n v="2"/>
    <n v="2010"/>
    <s v="WD"/>
    <s v="Normal"/>
    <n v="245350"/>
  </r>
  <r>
    <n v="1168"/>
    <n v="60"/>
    <s v="RL"/>
    <n v="58"/>
    <n v="10852"/>
    <s v="Pave"/>
    <s v="NA"/>
    <s v="IR1"/>
    <s v="Lvl"/>
    <s v="AllPub"/>
    <s v="Inside"/>
    <s v="Gtl"/>
    <x v="17"/>
    <x v="6"/>
    <s v="Norm"/>
    <x v="0"/>
    <x v="0"/>
    <n v="6"/>
    <n v="5"/>
    <x v="4"/>
    <n v="2000"/>
    <s v="Gable"/>
    <s v="CompShg"/>
    <s v="VinylSd"/>
    <s v="VinylSd"/>
    <s v="None"/>
    <n v="0"/>
    <s v="TA"/>
    <s v="TA"/>
    <s v="PConc"/>
    <s v="Gd"/>
    <s v="TA"/>
    <s v="No"/>
    <s v="GLQ"/>
    <n v="786"/>
    <s v="Unf"/>
    <n v="0"/>
    <n v="173"/>
    <n v="959"/>
    <s v="GasA"/>
    <s v="Ex"/>
    <s v="Y"/>
    <s v="SBrkr"/>
    <n v="959"/>
    <n v="712"/>
    <n v="0"/>
    <x v="744"/>
    <n v="1"/>
    <n v="0"/>
    <n v="2"/>
    <n v="1"/>
    <n v="3"/>
    <n v="1"/>
    <s v="TA"/>
    <n v="7"/>
    <s v="Typ"/>
    <n v="1"/>
    <s v="TA"/>
    <s v="Attchd"/>
    <n v="2000"/>
    <s v="Fin"/>
    <n v="2"/>
    <n v="472"/>
    <s v="TA"/>
    <s v="TA"/>
    <s v="Y"/>
    <n v="0"/>
    <n v="38"/>
    <n v="0"/>
    <n v="0"/>
    <n v="0"/>
    <n v="0"/>
    <s v="NA"/>
    <s v="NA"/>
    <s v="NA"/>
    <n v="0"/>
    <n v="2"/>
    <n v="2006"/>
    <s v="WD"/>
    <s v="Normal"/>
    <n v="173000"/>
  </r>
  <r>
    <n v="1169"/>
    <n v="70"/>
    <s v="RL"/>
    <n v="120"/>
    <n v="13728"/>
    <s v="Pave"/>
    <s v="NA"/>
    <s v="Reg"/>
    <s v="Lvl"/>
    <s v="AllPub"/>
    <s v="Corner"/>
    <s v="Gtl"/>
    <x v="15"/>
    <x v="0"/>
    <s v="Norm"/>
    <x v="0"/>
    <x v="0"/>
    <n v="6"/>
    <n v="7"/>
    <x v="61"/>
    <n v="1986"/>
    <s v="Hip"/>
    <s v="CompShg"/>
    <s v="Stucco"/>
    <s v="Stucco"/>
    <s v="None"/>
    <n v="0"/>
    <s v="TA"/>
    <s v="TA"/>
    <s v="CBlock"/>
    <s v="TA"/>
    <s v="TA"/>
    <s v="No"/>
    <s v="Rec"/>
    <n v="626"/>
    <s v="Unf"/>
    <n v="0"/>
    <n v="501"/>
    <n v="1127"/>
    <s v="GasA"/>
    <s v="Ex"/>
    <s v="Y"/>
    <s v="SBrkr"/>
    <n v="1236"/>
    <n v="872"/>
    <n v="0"/>
    <x v="745"/>
    <n v="0"/>
    <n v="0"/>
    <n v="2"/>
    <n v="0"/>
    <n v="4"/>
    <n v="1"/>
    <s v="Gd"/>
    <n v="7"/>
    <s v="Typ"/>
    <n v="2"/>
    <s v="TA"/>
    <s v="Basment"/>
    <n v="1935"/>
    <s v="Unf"/>
    <n v="2"/>
    <n v="540"/>
    <s v="TA"/>
    <s v="TA"/>
    <s v="Y"/>
    <n v="0"/>
    <n v="0"/>
    <n v="0"/>
    <n v="0"/>
    <n v="90"/>
    <n v="0"/>
    <s v="NA"/>
    <s v="NA"/>
    <s v="NA"/>
    <n v="0"/>
    <n v="7"/>
    <n v="2008"/>
    <s v="WD"/>
    <s v="Normal"/>
    <n v="235000"/>
  </r>
  <r>
    <n v="1170"/>
    <n v="60"/>
    <s v="RL"/>
    <n v="118"/>
    <n v="35760"/>
    <s v="Pave"/>
    <s v="NA"/>
    <s v="IR1"/>
    <s v="Lvl"/>
    <s v="AllPub"/>
    <s v="CulDSac"/>
    <s v="Gtl"/>
    <x v="3"/>
    <x v="0"/>
    <s v="Norm"/>
    <x v="0"/>
    <x v="0"/>
    <n v="10"/>
    <n v="5"/>
    <x v="49"/>
    <n v="1996"/>
    <s v="Hip"/>
    <s v="CompShg"/>
    <s v="HdBoard"/>
    <s v="HdBoard"/>
    <s v="BrkFace"/>
    <n v="1378"/>
    <s v="Gd"/>
    <s v="Gd"/>
    <s v="PConc"/>
    <s v="Ex"/>
    <s v="TA"/>
    <s v="Gd"/>
    <s v="GLQ"/>
    <n v="1387"/>
    <s v="Unf"/>
    <n v="0"/>
    <n v="543"/>
    <n v="1930"/>
    <s v="GasA"/>
    <s v="Ex"/>
    <s v="Y"/>
    <s v="SBrkr"/>
    <n v="1831"/>
    <n v="1796"/>
    <n v="0"/>
    <x v="746"/>
    <n v="1"/>
    <n v="0"/>
    <n v="3"/>
    <n v="1"/>
    <n v="4"/>
    <n v="1"/>
    <s v="Gd"/>
    <n v="10"/>
    <s v="Typ"/>
    <n v="1"/>
    <s v="TA"/>
    <s v="Attchd"/>
    <n v="1995"/>
    <s v="Fin"/>
    <n v="3"/>
    <n v="807"/>
    <s v="TA"/>
    <s v="TA"/>
    <s v="Y"/>
    <n v="361"/>
    <n v="76"/>
    <n v="0"/>
    <n v="0"/>
    <n v="0"/>
    <n v="0"/>
    <s v="NA"/>
    <s v="NA"/>
    <s v="NA"/>
    <n v="0"/>
    <n v="7"/>
    <n v="2006"/>
    <s v="WD"/>
    <s v="Normal"/>
    <n v="625000"/>
  </r>
  <r>
    <n v="1171"/>
    <n v="80"/>
    <s v="RL"/>
    <n v="76"/>
    <n v="9880"/>
    <s v="Pave"/>
    <s v="NA"/>
    <s v="Reg"/>
    <s v="Lvl"/>
    <s v="AllPub"/>
    <s v="Inside"/>
    <s v="Gtl"/>
    <x v="4"/>
    <x v="0"/>
    <s v="Norm"/>
    <x v="0"/>
    <x v="5"/>
    <n v="6"/>
    <n v="6"/>
    <x v="54"/>
    <n v="1977"/>
    <s v="Gable"/>
    <s v="CompShg"/>
    <s v="Plywood"/>
    <s v="Plywood"/>
    <s v="None"/>
    <n v="0"/>
    <s v="TA"/>
    <s v="TA"/>
    <s v="CBlock"/>
    <s v="TA"/>
    <s v="TA"/>
    <s v="Av"/>
    <s v="ALQ"/>
    <n v="522"/>
    <s v="Unf"/>
    <n v="0"/>
    <n v="574"/>
    <n v="1096"/>
    <s v="GasA"/>
    <s v="TA"/>
    <s v="Y"/>
    <s v="SBrkr"/>
    <n v="1118"/>
    <n v="0"/>
    <n v="0"/>
    <x v="261"/>
    <n v="1"/>
    <n v="0"/>
    <n v="1"/>
    <n v="0"/>
    <n v="3"/>
    <n v="1"/>
    <s v="TA"/>
    <n v="6"/>
    <s v="Typ"/>
    <n v="1"/>
    <s v="Po"/>
    <s v="Attchd"/>
    <n v="1977"/>
    <s v="Fin"/>
    <n v="1"/>
    <n v="358"/>
    <s v="TA"/>
    <s v="TA"/>
    <s v="Y"/>
    <n v="203"/>
    <n v="0"/>
    <n v="0"/>
    <n v="0"/>
    <n v="0"/>
    <n v="576"/>
    <s v="Gd"/>
    <s v="GdPrv"/>
    <s v="NA"/>
    <n v="0"/>
    <n v="7"/>
    <n v="2008"/>
    <s v="WD"/>
    <s v="Normal"/>
    <n v="171000"/>
  </r>
  <r>
    <n v="1172"/>
    <n v="20"/>
    <s v="RL"/>
    <n v="76"/>
    <n v="9120"/>
    <s v="Pave"/>
    <s v="NA"/>
    <s v="Reg"/>
    <s v="Lvl"/>
    <s v="AllPub"/>
    <s v="Inside"/>
    <s v="Gtl"/>
    <x v="11"/>
    <x v="0"/>
    <s v="Norm"/>
    <x v="0"/>
    <x v="1"/>
    <n v="6"/>
    <n v="6"/>
    <x v="18"/>
    <n v="1958"/>
    <s v="Hip"/>
    <s v="CompShg"/>
    <s v="MetalSd"/>
    <s v="MetalSd"/>
    <s v="None"/>
    <n v="0"/>
    <s v="TA"/>
    <s v="TA"/>
    <s v="CBlock"/>
    <s v="TA"/>
    <s v="TA"/>
    <s v="No"/>
    <s v="ALQ"/>
    <n v="662"/>
    <s v="Unf"/>
    <n v="0"/>
    <n v="599"/>
    <n v="1261"/>
    <s v="GasA"/>
    <s v="Ex"/>
    <s v="Y"/>
    <s v="SBrkr"/>
    <n v="1261"/>
    <n v="0"/>
    <n v="0"/>
    <x v="747"/>
    <n v="1"/>
    <n v="0"/>
    <n v="1"/>
    <n v="0"/>
    <n v="3"/>
    <n v="1"/>
    <s v="TA"/>
    <n v="6"/>
    <s v="Typ"/>
    <n v="1"/>
    <s v="TA"/>
    <s v="Attchd"/>
    <n v="1958"/>
    <s v="RFn"/>
    <n v="2"/>
    <n v="433"/>
    <s v="TA"/>
    <s v="TA"/>
    <s v="Y"/>
    <n v="0"/>
    <n v="0"/>
    <n v="0"/>
    <n v="0"/>
    <n v="288"/>
    <n v="0"/>
    <s v="NA"/>
    <s v="NA"/>
    <s v="Shed"/>
    <n v="1400"/>
    <n v="11"/>
    <n v="2008"/>
    <s v="WD"/>
    <s v="Normal"/>
    <n v="163000"/>
  </r>
  <r>
    <n v="1173"/>
    <n v="160"/>
    <s v="FV"/>
    <n v="35"/>
    <n v="4017"/>
    <s v="Pave"/>
    <s v="Pave"/>
    <s v="IR1"/>
    <s v="Lvl"/>
    <s v="AllPub"/>
    <s v="Inside"/>
    <s v="Gtl"/>
    <x v="5"/>
    <x v="0"/>
    <s v="Norm"/>
    <x v="3"/>
    <x v="0"/>
    <n v="7"/>
    <n v="5"/>
    <x v="13"/>
    <n v="2007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25"/>
    <n v="625"/>
    <s v="GasA"/>
    <s v="Ex"/>
    <s v="Y"/>
    <s v="SBrkr"/>
    <n v="625"/>
    <n v="625"/>
    <n v="0"/>
    <x v="242"/>
    <n v="0"/>
    <n v="0"/>
    <n v="2"/>
    <n v="1"/>
    <n v="2"/>
    <n v="1"/>
    <s v="Gd"/>
    <n v="5"/>
    <s v="Typ"/>
    <n v="0"/>
    <s v="NA"/>
    <s v="Detchd"/>
    <n v="2006"/>
    <s v="Fin"/>
    <n v="2"/>
    <n v="625"/>
    <s v="TA"/>
    <s v="TA"/>
    <s v="Y"/>
    <n v="0"/>
    <n v="54"/>
    <n v="0"/>
    <n v="0"/>
    <n v="0"/>
    <n v="0"/>
    <s v="NA"/>
    <s v="NA"/>
    <s v="NA"/>
    <n v="0"/>
    <n v="3"/>
    <n v="2008"/>
    <s v="WD"/>
    <s v="Normal"/>
    <n v="171900"/>
  </r>
  <r>
    <n v="1174"/>
    <n v="50"/>
    <s v="RL"/>
    <n v="138"/>
    <n v="18030"/>
    <s v="Pave"/>
    <s v="NA"/>
    <s v="IR1"/>
    <s v="Bnk"/>
    <s v="AllPub"/>
    <s v="Inside"/>
    <s v="Gtl"/>
    <x v="19"/>
    <x v="0"/>
    <s v="Norm"/>
    <x v="0"/>
    <x v="2"/>
    <n v="5"/>
    <n v="6"/>
    <x v="94"/>
    <n v="1994"/>
    <s v="Gable"/>
    <s v="CompShg"/>
    <s v="MetalSd"/>
    <s v="MetalSd"/>
    <s v="None"/>
    <n v="0"/>
    <s v="TA"/>
    <s v="TA"/>
    <s v="CBlock"/>
    <s v="TA"/>
    <s v="TA"/>
    <s v="No"/>
    <s v="Rec"/>
    <n v="152"/>
    <s v="BLQ"/>
    <n v="469"/>
    <n v="977"/>
    <n v="1598"/>
    <s v="GasA"/>
    <s v="TA"/>
    <s v="Y"/>
    <s v="SBrkr"/>
    <n v="1636"/>
    <n v="971"/>
    <n v="479"/>
    <x v="748"/>
    <n v="0"/>
    <n v="0"/>
    <n v="3"/>
    <n v="0"/>
    <n v="3"/>
    <n v="1"/>
    <s v="Ex"/>
    <n v="12"/>
    <s v="Maj1"/>
    <n v="1"/>
    <s v="Gd"/>
    <s v="NA"/>
    <s v="NA"/>
    <s v="NA"/>
    <n v="0"/>
    <n v="0"/>
    <s v="NA"/>
    <s v="NA"/>
    <s v="Y"/>
    <n v="122"/>
    <n v="0"/>
    <n v="0"/>
    <n v="0"/>
    <n v="0"/>
    <n v="0"/>
    <s v="NA"/>
    <s v="MnPrv"/>
    <s v="NA"/>
    <n v="0"/>
    <n v="3"/>
    <n v="2007"/>
    <s v="WD"/>
    <s v="Normal"/>
    <n v="200500"/>
  </r>
  <r>
    <n v="1175"/>
    <n v="70"/>
    <s v="RL"/>
    <n v="80"/>
    <n v="16560"/>
    <s v="Pave"/>
    <s v="NA"/>
    <s v="IR1"/>
    <s v="Lvl"/>
    <s v="AllPub"/>
    <s v="Inside"/>
    <s v="Gtl"/>
    <x v="2"/>
    <x v="0"/>
    <s v="Norm"/>
    <x v="0"/>
    <x v="0"/>
    <n v="6"/>
    <n v="8"/>
    <x v="78"/>
    <n v="1950"/>
    <s v="Gable"/>
    <s v="CompShg"/>
    <s v="Wd Sdng"/>
    <s v="Wd Sdng"/>
    <s v="None"/>
    <n v="0"/>
    <s v="TA"/>
    <s v="TA"/>
    <s v="BrkTil"/>
    <s v="Gd"/>
    <s v="TA"/>
    <s v="No"/>
    <s v="Rec"/>
    <n v="503"/>
    <s v="Unf"/>
    <n v="0"/>
    <n v="449"/>
    <n v="952"/>
    <s v="GasA"/>
    <s v="TA"/>
    <s v="Y"/>
    <s v="SBrkr"/>
    <n v="1170"/>
    <n v="1175"/>
    <n v="0"/>
    <x v="749"/>
    <n v="0"/>
    <n v="0"/>
    <n v="2"/>
    <n v="1"/>
    <n v="4"/>
    <n v="1"/>
    <s v="TA"/>
    <n v="9"/>
    <s v="Typ"/>
    <n v="1"/>
    <s v="Gd"/>
    <s v="Detchd"/>
    <n v="1932"/>
    <s v="Unf"/>
    <n v="2"/>
    <n v="360"/>
    <s v="TA"/>
    <s v="TA"/>
    <s v="Y"/>
    <n v="0"/>
    <n v="0"/>
    <n v="0"/>
    <n v="0"/>
    <n v="0"/>
    <n v="0"/>
    <s v="NA"/>
    <s v="NA"/>
    <s v="NA"/>
    <n v="0"/>
    <n v="7"/>
    <n v="2006"/>
    <s v="WD"/>
    <s v="Normal"/>
    <n v="239000"/>
  </r>
  <r>
    <n v="1176"/>
    <n v="50"/>
    <s v="RL"/>
    <n v="85"/>
    <n v="10678"/>
    <s v="Pave"/>
    <s v="NA"/>
    <s v="Reg"/>
    <s v="Lvl"/>
    <s v="AllPub"/>
    <s v="Inside"/>
    <s v="Gtl"/>
    <x v="3"/>
    <x v="0"/>
    <s v="Norm"/>
    <x v="0"/>
    <x v="2"/>
    <n v="8"/>
    <n v="5"/>
    <x v="86"/>
    <n v="2000"/>
    <s v="Hip"/>
    <s v="CompShg"/>
    <s v="HdBoard"/>
    <s v="HdBoard"/>
    <s v="BrkFace"/>
    <n v="337"/>
    <s v="Gd"/>
    <s v="TA"/>
    <s v="PConc"/>
    <s v="Gd"/>
    <s v="TA"/>
    <s v="No"/>
    <s v="GLQ"/>
    <n v="700"/>
    <s v="Unf"/>
    <n v="0"/>
    <n v="983"/>
    <n v="1683"/>
    <s v="GasA"/>
    <s v="Ex"/>
    <s v="Y"/>
    <s v="SBrkr"/>
    <n v="2129"/>
    <n v="743"/>
    <n v="0"/>
    <x v="661"/>
    <n v="0"/>
    <n v="0"/>
    <n v="2"/>
    <n v="1"/>
    <n v="4"/>
    <n v="1"/>
    <s v="Gd"/>
    <n v="9"/>
    <s v="Typ"/>
    <n v="1"/>
    <s v="TA"/>
    <s v="Attchd"/>
    <n v="1992"/>
    <s v="Fin"/>
    <n v="2"/>
    <n v="541"/>
    <s v="TA"/>
    <s v="TA"/>
    <s v="Y"/>
    <n v="0"/>
    <n v="33"/>
    <n v="0"/>
    <n v="0"/>
    <n v="0"/>
    <n v="0"/>
    <s v="NA"/>
    <s v="NA"/>
    <s v="NA"/>
    <n v="0"/>
    <n v="4"/>
    <n v="2007"/>
    <s v="WD"/>
    <s v="Normal"/>
    <n v="285000"/>
  </r>
  <r>
    <n v="1177"/>
    <n v="20"/>
    <s v="RL"/>
    <n v="37"/>
    <n v="6951"/>
    <s v="Pave"/>
    <s v="NA"/>
    <s v="IR1"/>
    <s v="Lvl"/>
    <s v="AllPub"/>
    <s v="CulDSac"/>
    <s v="Gtl"/>
    <x v="4"/>
    <x v="0"/>
    <s v="Norm"/>
    <x v="0"/>
    <x v="1"/>
    <n v="5"/>
    <n v="5"/>
    <x v="68"/>
    <n v="1985"/>
    <s v="Gable"/>
    <s v="CompShg"/>
    <s v="HdBoard"/>
    <s v="Plywood"/>
    <s v="None"/>
    <n v="0"/>
    <s v="TA"/>
    <s v="TA"/>
    <s v="CBlock"/>
    <s v="TA"/>
    <s v="TA"/>
    <s v="No"/>
    <s v="ALQ"/>
    <n v="658"/>
    <s v="Unf"/>
    <n v="0"/>
    <n v="218"/>
    <n v="876"/>
    <s v="GasA"/>
    <s v="TA"/>
    <s v="Y"/>
    <s v="SBrkr"/>
    <n v="923"/>
    <n v="0"/>
    <n v="0"/>
    <x v="518"/>
    <n v="1"/>
    <n v="0"/>
    <n v="1"/>
    <n v="0"/>
    <n v="3"/>
    <n v="1"/>
    <s v="TA"/>
    <n v="5"/>
    <s v="Typ"/>
    <n v="0"/>
    <s v="NA"/>
    <s v="Attchd"/>
    <n v="1984"/>
    <s v="Unf"/>
    <n v="1"/>
    <n v="264"/>
    <s v="TA"/>
    <s v="TA"/>
    <s v="Y"/>
    <n v="362"/>
    <n v="0"/>
    <n v="0"/>
    <n v="0"/>
    <n v="0"/>
    <n v="0"/>
    <s v="NA"/>
    <s v="MnPrv"/>
    <s v="NA"/>
    <n v="0"/>
    <n v="10"/>
    <n v="2008"/>
    <s v="WD"/>
    <s v="Normal"/>
    <n v="119500"/>
  </r>
  <r>
    <n v="1178"/>
    <n v="50"/>
    <s v="RM"/>
    <s v="NA"/>
    <n v="3950"/>
    <s v="Pave"/>
    <s v="Grvl"/>
    <s v="Reg"/>
    <s v="Bnk"/>
    <s v="AllPub"/>
    <s v="Inside"/>
    <s v="Gtl"/>
    <x v="7"/>
    <x v="3"/>
    <s v="Norm"/>
    <x v="0"/>
    <x v="2"/>
    <n v="6"/>
    <n v="8"/>
    <x v="69"/>
    <n v="2004"/>
    <s v="Gable"/>
    <s v="CompShg"/>
    <s v="MetalSd"/>
    <s v="MetalSd"/>
    <s v="None"/>
    <n v="0"/>
    <s v="TA"/>
    <s v="TA"/>
    <s v="CBlock"/>
    <s v="TA"/>
    <s v="TA"/>
    <s v="No"/>
    <s v="Rec"/>
    <n v="468"/>
    <s v="Unf"/>
    <n v="0"/>
    <n v="350"/>
    <n v="818"/>
    <s v="GasA"/>
    <s v="TA"/>
    <s v="Y"/>
    <s v="SBrkr"/>
    <n v="818"/>
    <n v="406"/>
    <n v="0"/>
    <x v="84"/>
    <n v="0"/>
    <n v="0"/>
    <n v="1"/>
    <n v="0"/>
    <n v="3"/>
    <n v="1"/>
    <s v="TA"/>
    <n v="5"/>
    <s v="Typ"/>
    <n v="0"/>
    <s v="NA"/>
    <s v="Detchd"/>
    <n v="1926"/>
    <s v="Unf"/>
    <n v="1"/>
    <n v="210"/>
    <s v="TA"/>
    <s v="TA"/>
    <s v="N"/>
    <n v="0"/>
    <n v="0"/>
    <n v="116"/>
    <n v="0"/>
    <n v="0"/>
    <n v="0"/>
    <s v="NA"/>
    <s v="NA"/>
    <s v="NA"/>
    <n v="0"/>
    <n v="12"/>
    <n v="2009"/>
    <s v="WD"/>
    <s v="Normal"/>
    <n v="115000"/>
  </r>
  <r>
    <n v="1179"/>
    <n v="50"/>
    <s v="RL"/>
    <n v="54"/>
    <n v="7681"/>
    <s v="Pave"/>
    <s v="NA"/>
    <s v="IR1"/>
    <s v="Lvl"/>
    <s v="AllPub"/>
    <s v="FR2"/>
    <s v="Gtl"/>
    <x v="2"/>
    <x v="0"/>
    <s v="Norm"/>
    <x v="0"/>
    <x v="2"/>
    <n v="5"/>
    <n v="6"/>
    <x v="42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731"/>
    <n v="731"/>
    <s v="GasA"/>
    <s v="Ex"/>
    <s v="Y"/>
    <s v="SBrkr"/>
    <n v="820"/>
    <n v="523"/>
    <n v="0"/>
    <x v="750"/>
    <n v="0"/>
    <n v="0"/>
    <n v="1"/>
    <n v="1"/>
    <n v="3"/>
    <n v="1"/>
    <s v="TA"/>
    <n v="7"/>
    <s v="Typ"/>
    <n v="1"/>
    <s v="Gd"/>
    <s v="Detchd"/>
    <n v="1921"/>
    <s v="Unf"/>
    <n v="1"/>
    <n v="186"/>
    <s v="Fa"/>
    <s v="TA"/>
    <s v="Y"/>
    <n v="192"/>
    <n v="0"/>
    <n v="102"/>
    <n v="0"/>
    <n v="0"/>
    <n v="0"/>
    <s v="NA"/>
    <s v="NA"/>
    <s v="NA"/>
    <n v="0"/>
    <n v="7"/>
    <n v="2009"/>
    <s v="WD"/>
    <s v="Normal"/>
    <n v="154900"/>
  </r>
  <r>
    <n v="1180"/>
    <n v="20"/>
    <s v="RL"/>
    <n v="77"/>
    <n v="8335"/>
    <s v="Pave"/>
    <s v="NA"/>
    <s v="Reg"/>
    <s v="Lvl"/>
    <s v="AllPub"/>
    <s v="Corner"/>
    <s v="Gtl"/>
    <x v="15"/>
    <x v="0"/>
    <s v="Norm"/>
    <x v="0"/>
    <x v="1"/>
    <n v="5"/>
    <n v="5"/>
    <x v="30"/>
    <n v="1954"/>
    <s v="Gable"/>
    <s v="CompShg"/>
    <s v="Wd Sdng"/>
    <s v="Wd Sdng"/>
    <s v="None"/>
    <n v="0"/>
    <s v="TA"/>
    <s v="TA"/>
    <s v="Slab"/>
    <s v="NA"/>
    <s v="NA"/>
    <s v="NA"/>
    <s v="NA"/>
    <n v="0"/>
    <s v="NA"/>
    <n v="0"/>
    <n v="0"/>
    <n v="0"/>
    <s v="GasA"/>
    <s v="Gd"/>
    <s v="Y"/>
    <s v="SBrkr"/>
    <n v="1124"/>
    <n v="0"/>
    <n v="0"/>
    <x v="751"/>
    <n v="0"/>
    <n v="0"/>
    <n v="1"/>
    <n v="0"/>
    <n v="3"/>
    <n v="1"/>
    <s v="TA"/>
    <n v="5"/>
    <s v="Min2"/>
    <n v="1"/>
    <s v="Gd"/>
    <s v="NA"/>
    <s v="NA"/>
    <s v="NA"/>
    <n v="0"/>
    <n v="0"/>
    <s v="NA"/>
    <s v="NA"/>
    <s v="N"/>
    <n v="0"/>
    <n v="36"/>
    <n v="190"/>
    <n v="0"/>
    <n v="0"/>
    <n v="0"/>
    <s v="NA"/>
    <s v="NA"/>
    <s v="NA"/>
    <n v="0"/>
    <n v="4"/>
    <n v="2006"/>
    <s v="WD"/>
    <s v="Normal"/>
    <n v="93000"/>
  </r>
  <r>
    <n v="1181"/>
    <n v="60"/>
    <s v="RL"/>
    <s v="NA"/>
    <n v="11170"/>
    <s v="Pave"/>
    <s v="NA"/>
    <s v="IR2"/>
    <s v="Lvl"/>
    <s v="AllPub"/>
    <s v="Corner"/>
    <s v="Gtl"/>
    <x v="16"/>
    <x v="0"/>
    <s v="Norm"/>
    <x v="0"/>
    <x v="0"/>
    <n v="7"/>
    <n v="5"/>
    <x v="59"/>
    <n v="1991"/>
    <s v="Gable"/>
    <s v="CompShg"/>
    <s v="MetalSd"/>
    <s v="MetalSd"/>
    <s v="None"/>
    <n v="0"/>
    <s v="TA"/>
    <s v="TA"/>
    <s v="Wood"/>
    <s v="Gd"/>
    <s v="TA"/>
    <s v="No"/>
    <s v="LwQ"/>
    <n v="1216"/>
    <s v="Unf"/>
    <n v="0"/>
    <n v="0"/>
    <n v="1216"/>
    <s v="GasA"/>
    <s v="Ex"/>
    <s v="Y"/>
    <s v="SBrkr"/>
    <n v="1298"/>
    <n v="1216"/>
    <n v="0"/>
    <x v="752"/>
    <n v="0"/>
    <n v="0"/>
    <n v="2"/>
    <n v="1"/>
    <n v="4"/>
    <n v="1"/>
    <s v="TA"/>
    <n v="8"/>
    <s v="Typ"/>
    <n v="0"/>
    <s v="NA"/>
    <s v="Attchd"/>
    <n v="1990"/>
    <s v="Fin"/>
    <n v="2"/>
    <n v="693"/>
    <s v="TA"/>
    <s v="TA"/>
    <s v="Y"/>
    <n v="0"/>
    <n v="0"/>
    <n v="0"/>
    <n v="0"/>
    <n v="0"/>
    <n v="0"/>
    <s v="NA"/>
    <s v="GdPrv"/>
    <s v="NA"/>
    <n v="0"/>
    <n v="4"/>
    <n v="2006"/>
    <s v="WD"/>
    <s v="Normal"/>
    <n v="250000"/>
  </r>
  <r>
    <n v="1182"/>
    <n v="120"/>
    <s v="RM"/>
    <n v="64"/>
    <n v="5587"/>
    <s v="Pave"/>
    <s v="NA"/>
    <s v="IR1"/>
    <s v="HLS"/>
    <s v="AllPub"/>
    <s v="Inside"/>
    <s v="Mod"/>
    <x v="2"/>
    <x v="0"/>
    <s v="Norm"/>
    <x v="3"/>
    <x v="1"/>
    <n v="8"/>
    <n v="5"/>
    <x v="74"/>
    <n v="2008"/>
    <s v="Hip"/>
    <s v="CompShg"/>
    <s v="CemntBd"/>
    <s v="CmentBd"/>
    <s v="Stone"/>
    <n v="186"/>
    <s v="Ex"/>
    <s v="TA"/>
    <s v="PConc"/>
    <s v="Ex"/>
    <s v="TA"/>
    <s v="Gd"/>
    <s v="GLQ"/>
    <n v="1480"/>
    <s v="Unf"/>
    <n v="0"/>
    <n v="120"/>
    <n v="1600"/>
    <s v="GasA"/>
    <s v="Ex"/>
    <s v="Y"/>
    <s v="SBrkr"/>
    <n v="1652"/>
    <n v="0"/>
    <n v="0"/>
    <x v="381"/>
    <n v="1"/>
    <n v="1"/>
    <n v="2"/>
    <n v="0"/>
    <n v="2"/>
    <n v="1"/>
    <s v="Gd"/>
    <n v="5"/>
    <s v="Typ"/>
    <n v="1"/>
    <s v="Gd"/>
    <s v="Attchd"/>
    <n v="2008"/>
    <s v="Fin"/>
    <n v="2"/>
    <n v="482"/>
    <s v="TA"/>
    <s v="TA"/>
    <s v="Y"/>
    <n v="162"/>
    <n v="53"/>
    <n v="0"/>
    <n v="153"/>
    <n v="0"/>
    <n v="0"/>
    <s v="NA"/>
    <s v="NA"/>
    <s v="NA"/>
    <n v="0"/>
    <n v="11"/>
    <n v="2008"/>
    <s v="New"/>
    <s v="Partial"/>
    <n v="392500"/>
  </r>
  <r>
    <n v="1183"/>
    <n v="60"/>
    <s v="RL"/>
    <n v="160"/>
    <n v="15623"/>
    <s v="Pave"/>
    <s v="NA"/>
    <s v="IR1"/>
    <s v="Lvl"/>
    <s v="AllPub"/>
    <s v="Corner"/>
    <s v="Gtl"/>
    <x v="3"/>
    <x v="0"/>
    <s v="Norm"/>
    <x v="0"/>
    <x v="0"/>
    <n v="10"/>
    <n v="5"/>
    <x v="92"/>
    <n v="1996"/>
    <s v="Hip"/>
    <s v="CompShg"/>
    <s v="Wd Sdng"/>
    <s v="ImStucc"/>
    <s v="None"/>
    <n v="0"/>
    <s v="Gd"/>
    <s v="TA"/>
    <s v="PConc"/>
    <s v="Ex"/>
    <s v="TA"/>
    <s v="Av"/>
    <s v="GLQ"/>
    <n v="2096"/>
    <s v="Unf"/>
    <n v="0"/>
    <n v="300"/>
    <n v="2396"/>
    <s v="GasA"/>
    <s v="Ex"/>
    <s v="Y"/>
    <s v="SBrkr"/>
    <n v="2411"/>
    <n v="2065"/>
    <n v="0"/>
    <x v="753"/>
    <n v="1"/>
    <n v="0"/>
    <n v="3"/>
    <n v="1"/>
    <n v="4"/>
    <n v="1"/>
    <s v="Ex"/>
    <n v="10"/>
    <s v="Typ"/>
    <n v="2"/>
    <s v="TA"/>
    <s v="Attchd"/>
    <n v="1996"/>
    <s v="Fin"/>
    <n v="3"/>
    <n v="813"/>
    <s v="TA"/>
    <s v="TA"/>
    <s v="Y"/>
    <n v="171"/>
    <n v="78"/>
    <n v="0"/>
    <n v="0"/>
    <n v="0"/>
    <n v="555"/>
    <s v="Ex"/>
    <s v="MnPrv"/>
    <s v="NA"/>
    <n v="0"/>
    <n v="7"/>
    <n v="2007"/>
    <s v="WD"/>
    <s v="Abnorml"/>
    <n v="745000"/>
  </r>
  <r>
    <n v="1184"/>
    <n v="30"/>
    <s v="RL"/>
    <n v="60"/>
    <n v="10800"/>
    <s v="Pave"/>
    <s v="Grvl"/>
    <s v="Reg"/>
    <s v="Lvl"/>
    <s v="AllPub"/>
    <s v="Inside"/>
    <s v="Gtl"/>
    <x v="7"/>
    <x v="0"/>
    <s v="Norm"/>
    <x v="0"/>
    <x v="1"/>
    <n v="5"/>
    <n v="6"/>
    <x v="26"/>
    <n v="1950"/>
    <s v="Hip"/>
    <s v="CompShg"/>
    <s v="Stucco"/>
    <s v="Stucco"/>
    <s v="None"/>
    <n v="0"/>
    <s v="TA"/>
    <s v="TA"/>
    <s v="BrkTil"/>
    <s v="TA"/>
    <s v="TA"/>
    <s v="No"/>
    <s v="Rec"/>
    <n v="821"/>
    <s v="Unf"/>
    <n v="0"/>
    <n v="299"/>
    <n v="1120"/>
    <s v="GasA"/>
    <s v="Ex"/>
    <s v="Y"/>
    <s v="SBrkr"/>
    <n v="1130"/>
    <n v="0"/>
    <n v="0"/>
    <x v="754"/>
    <n v="1"/>
    <n v="0"/>
    <n v="1"/>
    <n v="0"/>
    <n v="2"/>
    <n v="1"/>
    <s v="TA"/>
    <n v="5"/>
    <s v="Typ"/>
    <n v="1"/>
    <s v="Gd"/>
    <s v="Detchd"/>
    <n v="1970"/>
    <s v="Unf"/>
    <n v="2"/>
    <n v="720"/>
    <s v="TA"/>
    <s v="TA"/>
    <s v="Y"/>
    <n v="229"/>
    <n v="0"/>
    <n v="0"/>
    <n v="0"/>
    <n v="0"/>
    <n v="0"/>
    <s v="NA"/>
    <s v="NA"/>
    <s v="NA"/>
    <n v="0"/>
    <n v="6"/>
    <n v="2006"/>
    <s v="WD"/>
    <s v="Normal"/>
    <n v="120000"/>
  </r>
  <r>
    <n v="1185"/>
    <n v="20"/>
    <s v="RL"/>
    <n v="50"/>
    <n v="35133"/>
    <s v="Grvl"/>
    <s v="NA"/>
    <s v="Reg"/>
    <s v="Lvl"/>
    <s v="AllPub"/>
    <s v="Inside"/>
    <s v="Mod"/>
    <x v="16"/>
    <x v="0"/>
    <s v="Norm"/>
    <x v="0"/>
    <x v="1"/>
    <n v="5"/>
    <n v="4"/>
    <x v="37"/>
    <n v="1963"/>
    <s v="Hip"/>
    <s v="CompShg"/>
    <s v="MetalSd"/>
    <s v="MetalSd"/>
    <s v="BrkFace"/>
    <n v="226"/>
    <s v="TA"/>
    <s v="TA"/>
    <s v="CBlock"/>
    <s v="TA"/>
    <s v="TA"/>
    <s v="Gd"/>
    <s v="Rec"/>
    <n v="1159"/>
    <s v="Unf"/>
    <n v="0"/>
    <n v="413"/>
    <n v="1572"/>
    <s v="GasA"/>
    <s v="Gd"/>
    <s v="Y"/>
    <s v="SBrkr"/>
    <n v="1572"/>
    <n v="0"/>
    <n v="0"/>
    <x v="332"/>
    <n v="1"/>
    <n v="0"/>
    <n v="1"/>
    <n v="1"/>
    <n v="3"/>
    <n v="1"/>
    <s v="TA"/>
    <n v="5"/>
    <s v="Typ"/>
    <n v="2"/>
    <s v="TA"/>
    <s v="2Types"/>
    <n v="1963"/>
    <s v="RFn"/>
    <n v="3"/>
    <n v="995"/>
    <s v="TA"/>
    <s v="TA"/>
    <s v="Y"/>
    <n v="0"/>
    <n v="263"/>
    <n v="0"/>
    <n v="0"/>
    <n v="263"/>
    <n v="0"/>
    <s v="NA"/>
    <s v="NA"/>
    <s v="NA"/>
    <n v="0"/>
    <n v="5"/>
    <n v="2007"/>
    <s v="WD"/>
    <s v="Normal"/>
    <n v="186700"/>
  </r>
  <r>
    <n v="1186"/>
    <n v="50"/>
    <s v="RL"/>
    <n v="60"/>
    <n v="9738"/>
    <s v="Pave"/>
    <s v="NA"/>
    <s v="Reg"/>
    <s v="Lvl"/>
    <s v="AllPub"/>
    <s v="Inside"/>
    <s v="Gtl"/>
    <x v="15"/>
    <x v="0"/>
    <s v="Norm"/>
    <x v="0"/>
    <x v="2"/>
    <n v="5"/>
    <n v="7"/>
    <x v="67"/>
    <n v="1950"/>
    <s v="Gable"/>
    <s v="CompShg"/>
    <s v="AsbShng"/>
    <s v="AsbShng"/>
    <s v="None"/>
    <n v="0"/>
    <s v="TA"/>
    <s v="Gd"/>
    <s v="BrkTil"/>
    <s v="TA"/>
    <s v="TA"/>
    <s v="No"/>
    <s v="BLQ"/>
    <n v="392"/>
    <s v="Unf"/>
    <n v="0"/>
    <n v="392"/>
    <n v="784"/>
    <s v="GasA"/>
    <s v="Gd"/>
    <s v="Y"/>
    <s v="SBrkr"/>
    <n v="949"/>
    <n v="272"/>
    <n v="0"/>
    <x v="755"/>
    <n v="1"/>
    <n v="0"/>
    <n v="1"/>
    <n v="0"/>
    <n v="4"/>
    <n v="1"/>
    <s v="TA"/>
    <n v="7"/>
    <s v="Typ"/>
    <n v="0"/>
    <s v="NA"/>
    <s v="Attchd"/>
    <n v="1965"/>
    <s v="Unf"/>
    <n v="1"/>
    <n v="392"/>
    <s v="TA"/>
    <s v="TA"/>
    <s v="Y"/>
    <n v="0"/>
    <n v="0"/>
    <n v="236"/>
    <n v="0"/>
    <n v="0"/>
    <n v="0"/>
    <s v="NA"/>
    <s v="NA"/>
    <s v="NA"/>
    <n v="0"/>
    <n v="3"/>
    <n v="2006"/>
    <s v="WD"/>
    <s v="Normal"/>
    <n v="104900"/>
  </r>
  <r>
    <n v="1187"/>
    <n v="190"/>
    <s v="RL"/>
    <n v="107"/>
    <n v="10615"/>
    <s v="Pave"/>
    <s v="NA"/>
    <s v="IR1"/>
    <s v="Bnk"/>
    <s v="AllPub"/>
    <s v="Corner"/>
    <s v="Mod"/>
    <x v="7"/>
    <x v="3"/>
    <s v="Artery"/>
    <x v="1"/>
    <x v="0"/>
    <n v="3"/>
    <n v="5"/>
    <x v="83"/>
    <n v="1970"/>
    <s v="Gable"/>
    <s v="CompShg"/>
    <s v="HdBoard"/>
    <s v="HdBoard"/>
    <s v="None"/>
    <n v="0"/>
    <s v="TA"/>
    <s v="TA"/>
    <s v="CBlock"/>
    <s v="Fa"/>
    <s v="TA"/>
    <s v="Mn"/>
    <s v="BLQ"/>
    <n v="440"/>
    <s v="Unf"/>
    <n v="0"/>
    <n v="538"/>
    <n v="978"/>
    <s v="GasA"/>
    <s v="TA"/>
    <s v="Y"/>
    <s v="SBrkr"/>
    <n v="1014"/>
    <n v="685"/>
    <n v="0"/>
    <x v="756"/>
    <n v="1"/>
    <n v="0"/>
    <n v="2"/>
    <n v="0"/>
    <n v="3"/>
    <n v="2"/>
    <s v="TA"/>
    <n v="7"/>
    <s v="Typ"/>
    <n v="0"/>
    <s v="NA"/>
    <s v="CarPort"/>
    <n v="1920"/>
    <s v="Unf"/>
    <n v="2"/>
    <n v="420"/>
    <s v="Fa"/>
    <s v="Fa"/>
    <s v="Y"/>
    <n v="0"/>
    <n v="74"/>
    <n v="0"/>
    <n v="0"/>
    <n v="0"/>
    <n v="0"/>
    <s v="NA"/>
    <s v="NA"/>
    <s v="NA"/>
    <n v="0"/>
    <n v="8"/>
    <n v="2009"/>
    <s v="WD"/>
    <s v="Abnorml"/>
    <n v="95000"/>
  </r>
  <r>
    <n v="1188"/>
    <n v="20"/>
    <s v="RL"/>
    <n v="89"/>
    <n v="12461"/>
    <s v="Pave"/>
    <s v="NA"/>
    <s v="Reg"/>
    <s v="Lvl"/>
    <s v="AllPub"/>
    <s v="Corner"/>
    <s v="Gtl"/>
    <x v="3"/>
    <x v="0"/>
    <s v="Norm"/>
    <x v="0"/>
    <x v="1"/>
    <n v="8"/>
    <n v="5"/>
    <x v="29"/>
    <n v="1995"/>
    <s v="Gable"/>
    <s v="CompShg"/>
    <s v="ImStucc"/>
    <s v="ImStucc"/>
    <s v="None"/>
    <n v="0"/>
    <s v="Gd"/>
    <s v="TA"/>
    <s v="PConc"/>
    <s v="Gd"/>
    <s v="TA"/>
    <s v="No"/>
    <s v="GLQ"/>
    <n v="1456"/>
    <s v="Unf"/>
    <n v="0"/>
    <n v="168"/>
    <n v="1624"/>
    <s v="GasA"/>
    <s v="Ex"/>
    <s v="Y"/>
    <s v="SBrkr"/>
    <n v="1624"/>
    <n v="0"/>
    <n v="0"/>
    <x v="757"/>
    <n v="1"/>
    <n v="0"/>
    <n v="2"/>
    <n v="0"/>
    <n v="2"/>
    <n v="1"/>
    <s v="Gd"/>
    <n v="5"/>
    <s v="Typ"/>
    <n v="1"/>
    <s v="Fa"/>
    <s v="Attchd"/>
    <n v="1994"/>
    <s v="RFn"/>
    <n v="3"/>
    <n v="757"/>
    <s v="TA"/>
    <s v="TA"/>
    <s v="Y"/>
    <n v="0"/>
    <n v="114"/>
    <n v="192"/>
    <n v="0"/>
    <n v="0"/>
    <n v="0"/>
    <s v="NA"/>
    <s v="GdPrv"/>
    <s v="NA"/>
    <n v="0"/>
    <n v="7"/>
    <n v="2006"/>
    <s v="WD"/>
    <s v="Normal"/>
    <n v="262000"/>
  </r>
  <r>
    <n v="1189"/>
    <n v="60"/>
    <s v="RL"/>
    <n v="68"/>
    <n v="8935"/>
    <s v="Pave"/>
    <s v="NA"/>
    <s v="IR1"/>
    <s v="Lvl"/>
    <s v="AllPub"/>
    <s v="Inside"/>
    <s v="Gtl"/>
    <x v="0"/>
    <x v="0"/>
    <s v="Norm"/>
    <x v="0"/>
    <x v="0"/>
    <n v="7"/>
    <n v="5"/>
    <x v="20"/>
    <n v="2002"/>
    <s v="Gable"/>
    <s v="CompShg"/>
    <s v="VinylSd"/>
    <s v="VinylSd"/>
    <s v="BrkFace"/>
    <n v="95"/>
    <s v="Gd"/>
    <s v="TA"/>
    <s v="PConc"/>
    <s v="Gd"/>
    <s v="TA"/>
    <s v="No"/>
    <s v="Unf"/>
    <n v="0"/>
    <s v="Unf"/>
    <n v="0"/>
    <n v="831"/>
    <n v="831"/>
    <s v="GasA"/>
    <s v="Ex"/>
    <s v="Y"/>
    <s v="SBrkr"/>
    <n v="831"/>
    <n v="829"/>
    <n v="0"/>
    <x v="374"/>
    <n v="0"/>
    <n v="0"/>
    <n v="2"/>
    <n v="1"/>
    <n v="3"/>
    <n v="1"/>
    <s v="Gd"/>
    <n v="7"/>
    <s v="Typ"/>
    <n v="0"/>
    <s v="NA"/>
    <s v="Attchd"/>
    <n v="2002"/>
    <s v="RFn"/>
    <n v="2"/>
    <n v="493"/>
    <s v="TA"/>
    <s v="TA"/>
    <s v="Y"/>
    <n v="144"/>
    <n v="68"/>
    <n v="0"/>
    <n v="0"/>
    <n v="0"/>
    <n v="0"/>
    <s v="NA"/>
    <s v="NA"/>
    <s v="NA"/>
    <n v="0"/>
    <n v="7"/>
    <n v="2009"/>
    <s v="WD"/>
    <s v="Normal"/>
    <n v="195000"/>
  </r>
  <r>
    <n v="1190"/>
    <n v="60"/>
    <s v="RL"/>
    <n v="60"/>
    <n v="7500"/>
    <s v="Pave"/>
    <s v="NA"/>
    <s v="Reg"/>
    <s v="Lvl"/>
    <s v="AllPub"/>
    <s v="Inside"/>
    <s v="Gtl"/>
    <x v="17"/>
    <x v="0"/>
    <s v="Norm"/>
    <x v="0"/>
    <x v="0"/>
    <n v="7"/>
    <n v="5"/>
    <x v="40"/>
    <n v="1999"/>
    <s v="Gable"/>
    <s v="CompShg"/>
    <s v="VinylSd"/>
    <s v="VinylSd"/>
    <s v="None"/>
    <n v="0"/>
    <s v="TA"/>
    <s v="TA"/>
    <s v="PConc"/>
    <s v="TA"/>
    <s v="TA"/>
    <s v="No"/>
    <s v="Unf"/>
    <n v="0"/>
    <s v="Unf"/>
    <n v="0"/>
    <n v="994"/>
    <n v="994"/>
    <s v="GasA"/>
    <s v="Gd"/>
    <s v="Y"/>
    <s v="SBrkr"/>
    <n v="1028"/>
    <n v="776"/>
    <n v="0"/>
    <x v="758"/>
    <n v="0"/>
    <n v="0"/>
    <n v="2"/>
    <n v="1"/>
    <n v="3"/>
    <n v="1"/>
    <s v="Gd"/>
    <n v="7"/>
    <s v="Typ"/>
    <n v="1"/>
    <s v="TA"/>
    <s v="Attchd"/>
    <n v="1999"/>
    <s v="Fin"/>
    <n v="2"/>
    <n v="442"/>
    <s v="TA"/>
    <s v="TA"/>
    <s v="Y"/>
    <n v="140"/>
    <n v="60"/>
    <n v="0"/>
    <n v="0"/>
    <n v="0"/>
    <n v="0"/>
    <s v="NA"/>
    <s v="NA"/>
    <s v="NA"/>
    <n v="0"/>
    <n v="6"/>
    <n v="2010"/>
    <s v="WD"/>
    <s v="Normal"/>
    <n v="189000"/>
  </r>
  <r>
    <n v="1191"/>
    <n v="190"/>
    <s v="RL"/>
    <s v="NA"/>
    <n v="32463"/>
    <s v="Pave"/>
    <s v="NA"/>
    <s v="Reg"/>
    <s v="Low"/>
    <s v="AllPub"/>
    <s v="Inside"/>
    <s v="Mod"/>
    <x v="4"/>
    <x v="0"/>
    <s v="Norm"/>
    <x v="1"/>
    <x v="1"/>
    <n v="4"/>
    <n v="4"/>
    <x v="53"/>
    <n v="1975"/>
    <s v="Gable"/>
    <s v="CompShg"/>
    <s v="MetalSd"/>
    <s v="MetalSd"/>
    <s v="Stone"/>
    <n v="149"/>
    <s v="TA"/>
    <s v="Gd"/>
    <s v="CBlock"/>
    <s v="TA"/>
    <s v="TA"/>
    <s v="Av"/>
    <s v="BLQ"/>
    <n v="1159"/>
    <s v="Unf"/>
    <n v="0"/>
    <n v="90"/>
    <n v="1249"/>
    <s v="GasA"/>
    <s v="Ex"/>
    <s v="Y"/>
    <s v="SBrkr"/>
    <n v="1622"/>
    <n v="0"/>
    <n v="0"/>
    <x v="759"/>
    <n v="1"/>
    <n v="0"/>
    <n v="1"/>
    <n v="0"/>
    <n v="3"/>
    <n v="1"/>
    <s v="TA"/>
    <n v="7"/>
    <s v="Typ"/>
    <n v="1"/>
    <s v="TA"/>
    <s v="2Types"/>
    <n v="1975"/>
    <s v="Fin"/>
    <n v="4"/>
    <n v="1356"/>
    <s v="TA"/>
    <s v="TA"/>
    <s v="Y"/>
    <n v="439"/>
    <n v="0"/>
    <n v="0"/>
    <n v="0"/>
    <n v="0"/>
    <n v="0"/>
    <s v="NA"/>
    <s v="NA"/>
    <s v="NA"/>
    <n v="0"/>
    <n v="3"/>
    <n v="2007"/>
    <s v="WD"/>
    <s v="Normal"/>
    <n v="168000"/>
  </r>
  <r>
    <n v="1192"/>
    <n v="160"/>
    <s v="FV"/>
    <n v="24"/>
    <n v="2645"/>
    <s v="Pave"/>
    <s v="Pave"/>
    <s v="Reg"/>
    <s v="Lvl"/>
    <s v="AllPub"/>
    <s v="Inside"/>
    <s v="Gtl"/>
    <x v="5"/>
    <x v="0"/>
    <s v="Norm"/>
    <x v="4"/>
    <x v="0"/>
    <n v="8"/>
    <n v="5"/>
    <x v="40"/>
    <n v="2000"/>
    <s v="Gable"/>
    <s v="CompShg"/>
    <s v="MetalSd"/>
    <s v="MetalSd"/>
    <s v="BrkFace"/>
    <n v="456"/>
    <s v="Gd"/>
    <s v="TA"/>
    <s v="PConc"/>
    <s v="Gd"/>
    <s v="TA"/>
    <s v="No"/>
    <s v="Unf"/>
    <n v="0"/>
    <s v="Unf"/>
    <n v="0"/>
    <n v="776"/>
    <n v="776"/>
    <s v="GasA"/>
    <s v="Ex"/>
    <s v="Y"/>
    <s v="SBrkr"/>
    <n v="764"/>
    <n v="677"/>
    <n v="0"/>
    <x v="516"/>
    <n v="0"/>
    <n v="0"/>
    <n v="2"/>
    <n v="1"/>
    <n v="2"/>
    <n v="1"/>
    <s v="Gd"/>
    <n v="5"/>
    <s v="Typ"/>
    <n v="0"/>
    <s v="NA"/>
    <s v="Detchd"/>
    <n v="1999"/>
    <s v="Unf"/>
    <n v="2"/>
    <n v="492"/>
    <s v="TA"/>
    <s v="TA"/>
    <s v="Y"/>
    <n v="206"/>
    <n v="0"/>
    <n v="0"/>
    <n v="0"/>
    <n v="0"/>
    <n v="0"/>
    <s v="NA"/>
    <s v="NA"/>
    <s v="NA"/>
    <n v="0"/>
    <n v="11"/>
    <n v="2007"/>
    <s v="WD"/>
    <s v="Normal"/>
    <n v="174000"/>
  </r>
  <r>
    <n v="1193"/>
    <n v="50"/>
    <s v="RM"/>
    <n v="60"/>
    <n v="9600"/>
    <s v="Pave"/>
    <s v="Grvl"/>
    <s v="Reg"/>
    <s v="Lvl"/>
    <s v="AllPub"/>
    <s v="Inside"/>
    <s v="Gtl"/>
    <x v="7"/>
    <x v="0"/>
    <s v="Norm"/>
    <x v="0"/>
    <x v="2"/>
    <n v="5"/>
    <n v="8"/>
    <x v="82"/>
    <n v="1994"/>
    <s v="Gambrel"/>
    <s v="CompShg"/>
    <s v="VinylSd"/>
    <s v="VinylSd"/>
    <s v="None"/>
    <n v="0"/>
    <s v="TA"/>
    <s v="TA"/>
    <s v="PConc"/>
    <s v="TA"/>
    <s v="TA"/>
    <s v="Mn"/>
    <s v="Unf"/>
    <n v="0"/>
    <s v="Unf"/>
    <n v="0"/>
    <n v="702"/>
    <n v="702"/>
    <s v="GasA"/>
    <s v="Gd"/>
    <s v="Y"/>
    <s v="SBrkr"/>
    <n v="842"/>
    <n v="630"/>
    <n v="0"/>
    <x v="267"/>
    <n v="0"/>
    <n v="0"/>
    <n v="1"/>
    <n v="0"/>
    <n v="3"/>
    <n v="1"/>
    <s v="Gd"/>
    <n v="6"/>
    <s v="Typ"/>
    <n v="0"/>
    <s v="NA"/>
    <s v="Detchd"/>
    <n v="1925"/>
    <s v="Unf"/>
    <n v="1"/>
    <n v="250"/>
    <s v="TA"/>
    <s v="Fa"/>
    <s v="P"/>
    <n v="0"/>
    <n v="0"/>
    <n v="84"/>
    <n v="0"/>
    <n v="0"/>
    <n v="0"/>
    <s v="NA"/>
    <s v="GdWo"/>
    <s v="NA"/>
    <n v="0"/>
    <n v="7"/>
    <n v="2007"/>
    <s v="WD"/>
    <s v="Normal"/>
    <n v="125000"/>
  </r>
  <r>
    <n v="1194"/>
    <n v="120"/>
    <s v="RM"/>
    <s v="NA"/>
    <n v="4500"/>
    <s v="Pave"/>
    <s v="NA"/>
    <s v="Reg"/>
    <s v="Lvl"/>
    <s v="AllPub"/>
    <s v="FR2"/>
    <s v="Gtl"/>
    <x v="4"/>
    <x v="0"/>
    <s v="Norm"/>
    <x v="3"/>
    <x v="1"/>
    <n v="6"/>
    <n v="5"/>
    <x v="40"/>
    <n v="1999"/>
    <s v="Hip"/>
    <s v="CompShg"/>
    <s v="VinylSd"/>
    <s v="VinylSd"/>
    <s v="BrkFace"/>
    <n v="425"/>
    <s v="TA"/>
    <s v="TA"/>
    <s v="PConc"/>
    <s v="Ex"/>
    <s v="TA"/>
    <s v="No"/>
    <s v="GLQ"/>
    <n v="883"/>
    <s v="Unf"/>
    <n v="0"/>
    <n v="341"/>
    <n v="1224"/>
    <s v="GasA"/>
    <s v="Ex"/>
    <s v="Y"/>
    <s v="SBrkr"/>
    <n v="1224"/>
    <n v="0"/>
    <n v="0"/>
    <x v="84"/>
    <n v="1"/>
    <n v="0"/>
    <n v="2"/>
    <n v="0"/>
    <n v="2"/>
    <n v="1"/>
    <s v="TA"/>
    <n v="5"/>
    <s v="Typ"/>
    <n v="0"/>
    <s v="NA"/>
    <s v="Attchd"/>
    <n v="1999"/>
    <s v="Fin"/>
    <n v="2"/>
    <n v="402"/>
    <s v="TA"/>
    <s v="TA"/>
    <s v="Y"/>
    <n v="0"/>
    <n v="304"/>
    <n v="0"/>
    <n v="0"/>
    <n v="0"/>
    <n v="0"/>
    <s v="NA"/>
    <s v="NA"/>
    <s v="NA"/>
    <n v="0"/>
    <n v="6"/>
    <n v="2009"/>
    <s v="WD"/>
    <s v="Normal"/>
    <n v="165000"/>
  </r>
  <r>
    <n v="1195"/>
    <n v="60"/>
    <s v="RL"/>
    <n v="80"/>
    <n v="9364"/>
    <s v="Pave"/>
    <s v="NA"/>
    <s v="Reg"/>
    <s v="Lvl"/>
    <s v="AllPub"/>
    <s v="Corner"/>
    <s v="Gtl"/>
    <x v="9"/>
    <x v="0"/>
    <s v="Norm"/>
    <x v="0"/>
    <x v="0"/>
    <n v="6"/>
    <n v="7"/>
    <x v="60"/>
    <n v="1969"/>
    <s v="Gable"/>
    <s v="CompShg"/>
    <s v="HdBoard"/>
    <s v="HdBoard"/>
    <s v="Stone"/>
    <n v="143"/>
    <s v="TA"/>
    <s v="TA"/>
    <s v="CBlock"/>
    <s v="TA"/>
    <s v="TA"/>
    <s v="No"/>
    <s v="ALQ"/>
    <n v="371"/>
    <s v="Unf"/>
    <n v="0"/>
    <n v="292"/>
    <n v="663"/>
    <s v="GasA"/>
    <s v="TA"/>
    <s v="Y"/>
    <s v="SBrkr"/>
    <n v="663"/>
    <n v="689"/>
    <n v="0"/>
    <x v="300"/>
    <n v="0"/>
    <n v="0"/>
    <n v="1"/>
    <n v="1"/>
    <n v="4"/>
    <n v="1"/>
    <s v="TA"/>
    <n v="7"/>
    <s v="Typ"/>
    <n v="0"/>
    <s v="NA"/>
    <s v="Attchd"/>
    <n v="1969"/>
    <s v="Fin"/>
    <n v="1"/>
    <n v="299"/>
    <s v="TA"/>
    <s v="TA"/>
    <s v="Y"/>
    <n v="379"/>
    <n v="36"/>
    <n v="0"/>
    <n v="0"/>
    <n v="0"/>
    <n v="0"/>
    <s v="NA"/>
    <s v="MnPrv"/>
    <s v="NA"/>
    <n v="0"/>
    <n v="3"/>
    <n v="2010"/>
    <s v="WD"/>
    <s v="Normal"/>
    <n v="158000"/>
  </r>
  <r>
    <n v="1196"/>
    <n v="60"/>
    <s v="RL"/>
    <n v="51"/>
    <n v="8029"/>
    <s v="Pave"/>
    <s v="NA"/>
    <s v="IR1"/>
    <s v="Lvl"/>
    <s v="AllPub"/>
    <s v="Inside"/>
    <s v="Gtl"/>
    <x v="17"/>
    <x v="0"/>
    <s v="Norm"/>
    <x v="0"/>
    <x v="0"/>
    <n v="6"/>
    <n v="5"/>
    <x v="11"/>
    <n v="2005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728"/>
    <n v="728"/>
    <s v="GasA"/>
    <s v="Ex"/>
    <s v="Y"/>
    <s v="SBrkr"/>
    <n v="728"/>
    <n v="728"/>
    <n v="0"/>
    <x v="113"/>
    <n v="0"/>
    <n v="0"/>
    <n v="2"/>
    <n v="1"/>
    <n v="3"/>
    <n v="1"/>
    <s v="Gd"/>
    <n v="8"/>
    <s v="Typ"/>
    <n v="0"/>
    <s v="NA"/>
    <s v="Attchd"/>
    <n v="2005"/>
    <s v="Fin"/>
    <n v="2"/>
    <n v="400"/>
    <s v="TA"/>
    <s v="TA"/>
    <s v="Y"/>
    <n v="100"/>
    <n v="24"/>
    <n v="0"/>
    <n v="0"/>
    <n v="0"/>
    <n v="0"/>
    <s v="NA"/>
    <s v="NA"/>
    <s v="NA"/>
    <n v="0"/>
    <n v="7"/>
    <n v="2008"/>
    <s v="WD"/>
    <s v="Normal"/>
    <n v="176000"/>
  </r>
  <r>
    <n v="1197"/>
    <n v="60"/>
    <s v="RL"/>
    <n v="58"/>
    <n v="14054"/>
    <s v="Pave"/>
    <s v="NA"/>
    <s v="IR1"/>
    <s v="Lvl"/>
    <s v="AllPub"/>
    <s v="Inside"/>
    <s v="Gtl"/>
    <x v="17"/>
    <x v="0"/>
    <s v="Norm"/>
    <x v="0"/>
    <x v="0"/>
    <n v="7"/>
    <n v="5"/>
    <x v="13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879"/>
    <n v="879"/>
    <s v="GasA"/>
    <s v="Ex"/>
    <s v="Y"/>
    <s v="SBrkr"/>
    <n v="879"/>
    <n v="984"/>
    <n v="0"/>
    <x v="760"/>
    <n v="0"/>
    <n v="0"/>
    <n v="2"/>
    <n v="1"/>
    <n v="4"/>
    <n v="1"/>
    <s v="Gd"/>
    <n v="9"/>
    <s v="Typ"/>
    <n v="1"/>
    <s v="Gd"/>
    <s v="BuiltIn"/>
    <n v="2006"/>
    <s v="Fin"/>
    <n v="3"/>
    <n v="660"/>
    <s v="TA"/>
    <s v="TA"/>
    <s v="Y"/>
    <n v="100"/>
    <n v="17"/>
    <n v="0"/>
    <n v="0"/>
    <n v="0"/>
    <n v="0"/>
    <s v="NA"/>
    <s v="NA"/>
    <s v="NA"/>
    <n v="0"/>
    <n v="11"/>
    <n v="2006"/>
    <s v="New"/>
    <s v="Partial"/>
    <n v="219210"/>
  </r>
  <r>
    <n v="1198"/>
    <n v="75"/>
    <s v="RM"/>
    <n v="65"/>
    <n v="8850"/>
    <s v="Pave"/>
    <s v="NA"/>
    <s v="IR1"/>
    <s v="Bnk"/>
    <s v="AllPub"/>
    <s v="Corner"/>
    <s v="Gtl"/>
    <x v="7"/>
    <x v="0"/>
    <s v="Norm"/>
    <x v="0"/>
    <x v="6"/>
    <n v="7"/>
    <n v="6"/>
    <x v="77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815"/>
    <n v="815"/>
    <s v="GasA"/>
    <s v="Ex"/>
    <s v="Y"/>
    <s v="SBrkr"/>
    <n v="815"/>
    <n v="875"/>
    <n v="0"/>
    <x v="722"/>
    <n v="0"/>
    <n v="0"/>
    <n v="1"/>
    <n v="0"/>
    <n v="3"/>
    <n v="1"/>
    <s v="TA"/>
    <n v="7"/>
    <s v="Typ"/>
    <n v="1"/>
    <s v="Gd"/>
    <s v="Detchd"/>
    <n v="1916"/>
    <s v="Unf"/>
    <n v="1"/>
    <n v="225"/>
    <s v="TA"/>
    <s v="TA"/>
    <s v="Y"/>
    <n v="0"/>
    <n v="0"/>
    <n v="330"/>
    <n v="0"/>
    <n v="0"/>
    <n v="0"/>
    <s v="NA"/>
    <s v="NA"/>
    <s v="NA"/>
    <n v="0"/>
    <n v="7"/>
    <n v="2006"/>
    <s v="ConLw"/>
    <s v="Normal"/>
    <n v="144000"/>
  </r>
  <r>
    <n v="1199"/>
    <n v="20"/>
    <s v="RL"/>
    <n v="70"/>
    <n v="9100"/>
    <s v="Pave"/>
    <s v="NA"/>
    <s v="Reg"/>
    <s v="Lvl"/>
    <s v="AllPub"/>
    <s v="Inside"/>
    <s v="Gtl"/>
    <x v="0"/>
    <x v="0"/>
    <s v="Norm"/>
    <x v="0"/>
    <x v="1"/>
    <n v="7"/>
    <n v="5"/>
    <x v="2"/>
    <n v="2001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212"/>
    <n v="1212"/>
    <s v="GasA"/>
    <s v="Ex"/>
    <s v="Y"/>
    <s v="SBrkr"/>
    <n v="1212"/>
    <n v="0"/>
    <n v="0"/>
    <x v="188"/>
    <n v="0"/>
    <n v="0"/>
    <n v="2"/>
    <n v="0"/>
    <n v="3"/>
    <n v="1"/>
    <s v="Gd"/>
    <n v="6"/>
    <s v="Typ"/>
    <n v="0"/>
    <s v="NA"/>
    <s v="Attchd"/>
    <n v="2001"/>
    <s v="RFn"/>
    <n v="2"/>
    <n v="573"/>
    <s v="TA"/>
    <s v="TA"/>
    <s v="Y"/>
    <n v="356"/>
    <n v="0"/>
    <n v="0"/>
    <n v="0"/>
    <n v="0"/>
    <n v="0"/>
    <s v="NA"/>
    <s v="NA"/>
    <s v="NA"/>
    <n v="0"/>
    <n v="6"/>
    <n v="2009"/>
    <s v="WD"/>
    <s v="Normal"/>
    <n v="178000"/>
  </r>
  <r>
    <n v="1200"/>
    <n v="20"/>
    <s v="RL"/>
    <n v="75"/>
    <n v="11235"/>
    <s v="Pave"/>
    <s v="NA"/>
    <s v="Reg"/>
    <s v="Lvl"/>
    <s v="AllPub"/>
    <s v="Inside"/>
    <s v="Gtl"/>
    <x v="9"/>
    <x v="0"/>
    <s v="Norm"/>
    <x v="0"/>
    <x v="1"/>
    <n v="4"/>
    <n v="5"/>
    <x v="37"/>
    <n v="1979"/>
    <s v="Gable"/>
    <s v="CompShg"/>
    <s v="HdBoard"/>
    <s v="HdBoard"/>
    <s v="BrkFace"/>
    <n v="51"/>
    <s v="TA"/>
    <s v="TA"/>
    <s v="CBlock"/>
    <s v="TA"/>
    <s v="TA"/>
    <s v="No"/>
    <s v="Rec"/>
    <n v="547"/>
    <s v="Unf"/>
    <n v="0"/>
    <n v="504"/>
    <n v="1051"/>
    <s v="GasA"/>
    <s v="Gd"/>
    <s v="Y"/>
    <s v="SBrkr"/>
    <n v="1382"/>
    <n v="0"/>
    <n v="0"/>
    <x v="158"/>
    <n v="0"/>
    <n v="0"/>
    <n v="1"/>
    <n v="1"/>
    <n v="3"/>
    <n v="1"/>
    <s v="TA"/>
    <n v="6"/>
    <s v="Typ"/>
    <n v="1"/>
    <s v="Po"/>
    <s v="Attchd"/>
    <n v="1974"/>
    <s v="Unf"/>
    <n v="2"/>
    <n v="459"/>
    <s v="TA"/>
    <s v="TA"/>
    <s v="Y"/>
    <n v="0"/>
    <n v="82"/>
    <n v="0"/>
    <n v="0"/>
    <n v="0"/>
    <n v="0"/>
    <s v="NA"/>
    <s v="NA"/>
    <s v="NA"/>
    <n v="0"/>
    <n v="10"/>
    <n v="2006"/>
    <s v="WD"/>
    <s v="Normal"/>
    <n v="148000"/>
  </r>
  <r>
    <n v="1201"/>
    <n v="20"/>
    <s v="RL"/>
    <n v="71"/>
    <n v="9353"/>
    <s v="Pave"/>
    <s v="NA"/>
    <s v="Reg"/>
    <s v="Lvl"/>
    <s v="AllPub"/>
    <s v="Inside"/>
    <s v="Gtl"/>
    <x v="11"/>
    <x v="0"/>
    <s v="Norm"/>
    <x v="0"/>
    <x v="1"/>
    <n v="4"/>
    <n v="5"/>
    <x v="16"/>
    <n v="197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64"/>
    <n v="864"/>
    <s v="GasA"/>
    <s v="Gd"/>
    <s v="Y"/>
    <s v="SBrkr"/>
    <n v="864"/>
    <n v="0"/>
    <n v="0"/>
    <x v="132"/>
    <n v="0"/>
    <n v="0"/>
    <n v="1"/>
    <n v="0"/>
    <n v="3"/>
    <n v="1"/>
    <s v="TA"/>
    <n v="5"/>
    <s v="Typ"/>
    <n v="0"/>
    <s v="NA"/>
    <s v="Attchd"/>
    <n v="1972"/>
    <s v="Unf"/>
    <n v="1"/>
    <n v="280"/>
    <s v="TA"/>
    <s v="TA"/>
    <s v="Y"/>
    <n v="0"/>
    <n v="0"/>
    <n v="0"/>
    <n v="0"/>
    <n v="0"/>
    <n v="0"/>
    <s v="NA"/>
    <s v="NA"/>
    <s v="Shed"/>
    <n v="0"/>
    <n v="7"/>
    <n v="2006"/>
    <s v="Oth"/>
    <s v="Abnorml"/>
    <n v="116050"/>
  </r>
  <r>
    <n v="1202"/>
    <n v="60"/>
    <s v="RL"/>
    <n v="80"/>
    <n v="10400"/>
    <s v="Pave"/>
    <s v="NA"/>
    <s v="Reg"/>
    <s v="Lvl"/>
    <s v="AllPub"/>
    <s v="Corner"/>
    <s v="Gtl"/>
    <x v="0"/>
    <x v="0"/>
    <s v="Norm"/>
    <x v="0"/>
    <x v="0"/>
    <n v="7"/>
    <n v="5"/>
    <x v="45"/>
    <n v="1998"/>
    <s v="Gable"/>
    <s v="CompShg"/>
    <s v="VinylSd"/>
    <s v="VinylSd"/>
    <s v="None"/>
    <n v="0"/>
    <s v="TA"/>
    <s v="TA"/>
    <s v="PConc"/>
    <s v="Gd"/>
    <s v="TA"/>
    <s v="Av"/>
    <s v="Unf"/>
    <n v="0"/>
    <s v="Unf"/>
    <n v="0"/>
    <n v="866"/>
    <n v="866"/>
    <s v="GasA"/>
    <s v="Ex"/>
    <s v="Y"/>
    <s v="SBrkr"/>
    <n v="866"/>
    <n v="913"/>
    <n v="0"/>
    <x v="609"/>
    <n v="0"/>
    <n v="0"/>
    <n v="2"/>
    <n v="1"/>
    <n v="3"/>
    <n v="1"/>
    <s v="Gd"/>
    <n v="6"/>
    <s v="Typ"/>
    <n v="0"/>
    <s v="NA"/>
    <s v="Attchd"/>
    <n v="1998"/>
    <s v="RFn"/>
    <n v="2"/>
    <n v="546"/>
    <s v="TA"/>
    <s v="TA"/>
    <s v="Y"/>
    <n v="198"/>
    <n v="36"/>
    <n v="0"/>
    <n v="0"/>
    <n v="0"/>
    <n v="0"/>
    <s v="NA"/>
    <s v="NA"/>
    <s v="NA"/>
    <n v="0"/>
    <n v="3"/>
    <n v="2009"/>
    <s v="WD"/>
    <s v="Normal"/>
    <n v="197900"/>
  </r>
  <r>
    <n v="1203"/>
    <n v="50"/>
    <s v="RM"/>
    <n v="50"/>
    <n v="6000"/>
    <s v="Pave"/>
    <s v="NA"/>
    <s v="Reg"/>
    <s v="Lvl"/>
    <s v="AllPub"/>
    <s v="Corner"/>
    <s v="Gtl"/>
    <x v="8"/>
    <x v="0"/>
    <s v="Norm"/>
    <x v="0"/>
    <x v="2"/>
    <n v="5"/>
    <n v="8"/>
    <x v="82"/>
    <n v="1997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884"/>
    <n v="884"/>
    <s v="GasA"/>
    <s v="Ex"/>
    <s v="Y"/>
    <s v="SBrkr"/>
    <n v="884"/>
    <n v="464"/>
    <n v="0"/>
    <x v="121"/>
    <n v="1"/>
    <n v="0"/>
    <n v="1"/>
    <n v="0"/>
    <n v="3"/>
    <n v="1"/>
    <s v="TA"/>
    <n v="5"/>
    <s v="Typ"/>
    <n v="1"/>
    <s v="Fa"/>
    <s v="Detchd"/>
    <n v="1960"/>
    <s v="Unf"/>
    <n v="1"/>
    <n v="216"/>
    <s v="TA"/>
    <s v="TA"/>
    <s v="N"/>
    <n v="0"/>
    <n v="0"/>
    <n v="208"/>
    <n v="0"/>
    <n v="0"/>
    <n v="0"/>
    <s v="NA"/>
    <s v="NA"/>
    <s v="NA"/>
    <n v="0"/>
    <n v="5"/>
    <n v="2009"/>
    <s v="WD"/>
    <s v="Normal"/>
    <n v="117000"/>
  </r>
  <r>
    <n v="1204"/>
    <n v="20"/>
    <s v="RL"/>
    <n v="75"/>
    <n v="9750"/>
    <s v="Pave"/>
    <s v="NA"/>
    <s v="Reg"/>
    <s v="Lvl"/>
    <s v="AllPub"/>
    <s v="Inside"/>
    <s v="Gtl"/>
    <x v="0"/>
    <x v="0"/>
    <s v="Norm"/>
    <x v="0"/>
    <x v="1"/>
    <n v="7"/>
    <n v="5"/>
    <x v="4"/>
    <n v="2001"/>
    <s v="Gable"/>
    <s v="CompShg"/>
    <s v="VinylSd"/>
    <s v="VinylSd"/>
    <s v="BrkFace"/>
    <n v="171"/>
    <s v="Gd"/>
    <s v="TA"/>
    <s v="PConc"/>
    <s v="Gd"/>
    <s v="TA"/>
    <s v="No"/>
    <s v="Unf"/>
    <n v="0"/>
    <s v="Unf"/>
    <n v="0"/>
    <n v="1630"/>
    <n v="1630"/>
    <s v="GasA"/>
    <s v="Ex"/>
    <s v="Y"/>
    <s v="SBrkr"/>
    <n v="1630"/>
    <n v="0"/>
    <n v="0"/>
    <x v="761"/>
    <n v="0"/>
    <n v="0"/>
    <n v="2"/>
    <n v="0"/>
    <n v="3"/>
    <n v="1"/>
    <s v="Gd"/>
    <n v="6"/>
    <s v="Typ"/>
    <n v="1"/>
    <s v="TA"/>
    <s v="Attchd"/>
    <n v="2000"/>
    <s v="Unf"/>
    <n v="2"/>
    <n v="451"/>
    <s v="TA"/>
    <s v="TA"/>
    <s v="Y"/>
    <n v="74"/>
    <n v="234"/>
    <n v="0"/>
    <n v="0"/>
    <n v="0"/>
    <n v="0"/>
    <s v="NA"/>
    <s v="NA"/>
    <s v="NA"/>
    <n v="0"/>
    <n v="10"/>
    <n v="2009"/>
    <s v="WD"/>
    <s v="Normal"/>
    <n v="213000"/>
  </r>
  <r>
    <n v="1205"/>
    <n v="20"/>
    <s v="RL"/>
    <n v="78"/>
    <n v="10140"/>
    <s v="Pave"/>
    <s v="NA"/>
    <s v="Reg"/>
    <s v="Lvl"/>
    <s v="AllPub"/>
    <s v="Inside"/>
    <s v="Gtl"/>
    <x v="6"/>
    <x v="0"/>
    <s v="Norm"/>
    <x v="0"/>
    <x v="1"/>
    <n v="5"/>
    <n v="6"/>
    <x v="34"/>
    <n v="1975"/>
    <s v="Gable"/>
    <s v="CompShg"/>
    <s v="HdBoard"/>
    <s v="HdBoard"/>
    <s v="None"/>
    <n v="0"/>
    <s v="TA"/>
    <s v="TA"/>
    <s v="CBlock"/>
    <s v="Gd"/>
    <s v="TA"/>
    <s v="No"/>
    <s v="ALQ"/>
    <n v="788"/>
    <s v="Unf"/>
    <n v="0"/>
    <n v="268"/>
    <n v="1056"/>
    <s v="GasA"/>
    <s v="Ex"/>
    <s v="Y"/>
    <s v="SBrkr"/>
    <n v="1074"/>
    <n v="0"/>
    <n v="0"/>
    <x v="762"/>
    <n v="1"/>
    <n v="0"/>
    <n v="1"/>
    <n v="1"/>
    <n v="3"/>
    <n v="1"/>
    <s v="TA"/>
    <n v="6"/>
    <s v="Typ"/>
    <n v="0"/>
    <s v="NA"/>
    <s v="Attchd"/>
    <n v="1975"/>
    <s v="RFn"/>
    <n v="2"/>
    <n v="495"/>
    <s v="TA"/>
    <s v="TA"/>
    <s v="Y"/>
    <n v="0"/>
    <n v="88"/>
    <n v="0"/>
    <n v="0"/>
    <n v="0"/>
    <n v="0"/>
    <s v="NA"/>
    <s v="MnPrv"/>
    <s v="NA"/>
    <n v="0"/>
    <n v="7"/>
    <n v="2006"/>
    <s v="WD"/>
    <s v="Normal"/>
    <n v="153500"/>
  </r>
  <r>
    <n v="1206"/>
    <n v="20"/>
    <s v="RL"/>
    <n v="90"/>
    <n v="14684"/>
    <s v="Pave"/>
    <s v="NA"/>
    <s v="IR1"/>
    <s v="Lvl"/>
    <s v="AllPub"/>
    <s v="CulDSac"/>
    <s v="Gtl"/>
    <x v="12"/>
    <x v="0"/>
    <s v="Norm"/>
    <x v="0"/>
    <x v="1"/>
    <n v="7"/>
    <n v="7"/>
    <x v="59"/>
    <n v="1991"/>
    <s v="Hip"/>
    <s v="CompShg"/>
    <s v="HdBoard"/>
    <s v="HdBoard"/>
    <s v="BrkFace"/>
    <n v="234"/>
    <s v="Gd"/>
    <s v="TA"/>
    <s v="CBlock"/>
    <s v="Gd"/>
    <s v="TA"/>
    <s v="Mn"/>
    <s v="ALQ"/>
    <n v="485"/>
    <s v="BLQ"/>
    <n v="177"/>
    <n v="1496"/>
    <n v="2158"/>
    <s v="GasA"/>
    <s v="Gd"/>
    <s v="Y"/>
    <s v="SBrkr"/>
    <n v="2196"/>
    <n v="0"/>
    <n v="0"/>
    <x v="763"/>
    <n v="0"/>
    <n v="0"/>
    <n v="2"/>
    <n v="0"/>
    <n v="3"/>
    <n v="1"/>
    <s v="Gd"/>
    <n v="7"/>
    <s v="Typ"/>
    <n v="1"/>
    <s v="TA"/>
    <s v="Attchd"/>
    <n v="1990"/>
    <s v="RFn"/>
    <n v="3"/>
    <n v="701"/>
    <s v="TA"/>
    <s v="TA"/>
    <s v="Y"/>
    <n v="84"/>
    <n v="70"/>
    <n v="0"/>
    <n v="0"/>
    <n v="0"/>
    <n v="0"/>
    <s v="NA"/>
    <s v="NA"/>
    <s v="NA"/>
    <n v="0"/>
    <n v="6"/>
    <n v="2009"/>
    <s v="WD"/>
    <s v="Normal"/>
    <n v="271900"/>
  </r>
  <r>
    <n v="1207"/>
    <n v="20"/>
    <s v="RH"/>
    <s v="NA"/>
    <n v="8900"/>
    <s v="Pave"/>
    <s v="NA"/>
    <s v="Reg"/>
    <s v="Lvl"/>
    <s v="AllPub"/>
    <s v="Inside"/>
    <s v="Gtl"/>
    <x v="12"/>
    <x v="0"/>
    <s v="Norm"/>
    <x v="0"/>
    <x v="1"/>
    <n v="4"/>
    <n v="4"/>
    <x v="27"/>
    <n v="1966"/>
    <s v="Gable"/>
    <s v="CompShg"/>
    <s v="HdBoard"/>
    <s v="HdBoard"/>
    <s v="None"/>
    <n v="0"/>
    <s v="TA"/>
    <s v="TA"/>
    <s v="CBlock"/>
    <s v="TA"/>
    <s v="TA"/>
    <s v="No"/>
    <s v="Rec"/>
    <n v="1056"/>
    <s v="Unf"/>
    <n v="0"/>
    <n v="0"/>
    <n v="1056"/>
    <s v="GasA"/>
    <s v="TA"/>
    <s v="Y"/>
    <s v="SBrkr"/>
    <n v="1056"/>
    <n v="0"/>
    <n v="0"/>
    <x v="278"/>
    <n v="1"/>
    <n v="0"/>
    <n v="1"/>
    <n v="0"/>
    <n v="2"/>
    <n v="1"/>
    <s v="TA"/>
    <n v="5"/>
    <s v="Typ"/>
    <n v="0"/>
    <s v="NA"/>
    <s v="Detchd"/>
    <n v="1966"/>
    <s v="Unf"/>
    <n v="1"/>
    <n v="384"/>
    <s v="TA"/>
    <s v="TA"/>
    <s v="Y"/>
    <n v="0"/>
    <n v="42"/>
    <n v="0"/>
    <n v="0"/>
    <n v="0"/>
    <n v="0"/>
    <s v="NA"/>
    <s v="MnPrv"/>
    <s v="NA"/>
    <n v="0"/>
    <n v="11"/>
    <n v="2006"/>
    <s v="WD"/>
    <s v="Normal"/>
    <n v="107000"/>
  </r>
  <r>
    <n v="1208"/>
    <n v="20"/>
    <s v="RL"/>
    <n v="70"/>
    <n v="9135"/>
    <s v="Pave"/>
    <s v="NA"/>
    <s v="Reg"/>
    <s v="Lvl"/>
    <s v="AllPub"/>
    <s v="Inside"/>
    <s v="Gtl"/>
    <x v="0"/>
    <x v="0"/>
    <s v="Norm"/>
    <x v="0"/>
    <x v="1"/>
    <n v="6"/>
    <n v="5"/>
    <x v="0"/>
    <n v="2003"/>
    <s v="Gable"/>
    <s v="CompShg"/>
    <s v="VinylSd"/>
    <s v="VinylSd"/>
    <s v="BrkFace"/>
    <n v="120"/>
    <s v="Gd"/>
    <s v="TA"/>
    <s v="PConc"/>
    <s v="Gd"/>
    <s v="TA"/>
    <s v="Av"/>
    <s v="GLQ"/>
    <n v="340"/>
    <s v="Unf"/>
    <n v="0"/>
    <n v="1342"/>
    <n v="1682"/>
    <s v="GasA"/>
    <s v="Ex"/>
    <s v="Y"/>
    <s v="SBrkr"/>
    <n v="1700"/>
    <n v="0"/>
    <n v="0"/>
    <x v="31"/>
    <n v="1"/>
    <n v="0"/>
    <n v="2"/>
    <n v="0"/>
    <n v="3"/>
    <n v="1"/>
    <s v="Gd"/>
    <n v="7"/>
    <s v="Typ"/>
    <n v="0"/>
    <s v="NA"/>
    <s v="Attchd"/>
    <n v="2003"/>
    <s v="RFn"/>
    <n v="2"/>
    <n v="544"/>
    <s v="TA"/>
    <s v="TA"/>
    <s v="Y"/>
    <n v="192"/>
    <n v="23"/>
    <n v="0"/>
    <n v="0"/>
    <n v="0"/>
    <n v="0"/>
    <s v="NA"/>
    <s v="NA"/>
    <s v="NA"/>
    <n v="0"/>
    <n v="5"/>
    <n v="2006"/>
    <s v="WD"/>
    <s v="Normal"/>
    <n v="200000"/>
  </r>
  <r>
    <n v="1209"/>
    <n v="20"/>
    <s v="RL"/>
    <n v="70"/>
    <n v="7763"/>
    <s v="Pave"/>
    <s v="NA"/>
    <s v="Reg"/>
    <s v="Lvl"/>
    <s v="AllPub"/>
    <s v="Inside"/>
    <s v="Gtl"/>
    <x v="11"/>
    <x v="0"/>
    <s v="Norm"/>
    <x v="0"/>
    <x v="1"/>
    <n v="5"/>
    <n v="7"/>
    <x v="12"/>
    <n v="1980"/>
    <s v="Gable"/>
    <s v="CompShg"/>
    <s v="MetalSd"/>
    <s v="MetalSd"/>
    <s v="None"/>
    <n v="0"/>
    <s v="TA"/>
    <s v="Gd"/>
    <s v="CBlock"/>
    <s v="TA"/>
    <s v="TA"/>
    <s v="No"/>
    <s v="Rec"/>
    <n v="504"/>
    <s v="BLQ"/>
    <n v="108"/>
    <n v="319"/>
    <n v="931"/>
    <s v="GasA"/>
    <s v="TA"/>
    <s v="Y"/>
    <s v="SBrkr"/>
    <n v="1283"/>
    <n v="0"/>
    <n v="0"/>
    <x v="764"/>
    <n v="1"/>
    <n v="0"/>
    <n v="1"/>
    <n v="0"/>
    <n v="3"/>
    <n v="1"/>
    <s v="TA"/>
    <n v="6"/>
    <s v="Typ"/>
    <n v="0"/>
    <s v="NA"/>
    <s v="Detchd"/>
    <n v="1980"/>
    <s v="Unf"/>
    <n v="2"/>
    <n v="506"/>
    <s v="TA"/>
    <s v="TA"/>
    <s v="Y"/>
    <n v="0"/>
    <n v="0"/>
    <n v="0"/>
    <n v="0"/>
    <n v="0"/>
    <n v="0"/>
    <s v="NA"/>
    <s v="NA"/>
    <s v="NA"/>
    <n v="0"/>
    <n v="10"/>
    <n v="2008"/>
    <s v="WD"/>
    <s v="Normal"/>
    <n v="140000"/>
  </r>
  <r>
    <n v="1210"/>
    <n v="20"/>
    <s v="RL"/>
    <n v="85"/>
    <n v="10182"/>
    <s v="Pave"/>
    <s v="NA"/>
    <s v="IR1"/>
    <s v="Lvl"/>
    <s v="AllPub"/>
    <s v="CulDSac"/>
    <s v="Gtl"/>
    <x v="5"/>
    <x v="5"/>
    <s v="Norm"/>
    <x v="0"/>
    <x v="1"/>
    <n v="8"/>
    <n v="5"/>
    <x v="13"/>
    <n v="2006"/>
    <s v="Hip"/>
    <s v="CompShg"/>
    <s v="VinylSd"/>
    <s v="VinylSd"/>
    <s v="Stone"/>
    <n v="420"/>
    <s v="Gd"/>
    <s v="TA"/>
    <s v="PConc"/>
    <s v="Ex"/>
    <s v="TA"/>
    <s v="Mn"/>
    <s v="GLQ"/>
    <n v="1220"/>
    <s v="Unf"/>
    <n v="0"/>
    <n v="440"/>
    <n v="1660"/>
    <s v="GasA"/>
    <s v="Ex"/>
    <s v="Y"/>
    <s v="SBrkr"/>
    <n v="1660"/>
    <n v="0"/>
    <n v="0"/>
    <x v="374"/>
    <n v="1"/>
    <n v="0"/>
    <n v="2"/>
    <n v="0"/>
    <n v="3"/>
    <n v="1"/>
    <s v="Gd"/>
    <n v="8"/>
    <s v="Typ"/>
    <n v="1"/>
    <s v="Gd"/>
    <s v="Attchd"/>
    <n v="2006"/>
    <s v="RFn"/>
    <n v="2"/>
    <n v="500"/>
    <s v="TA"/>
    <s v="TA"/>
    <s v="Y"/>
    <n v="322"/>
    <n v="50"/>
    <n v="0"/>
    <n v="0"/>
    <n v="0"/>
    <n v="0"/>
    <s v="NA"/>
    <s v="NA"/>
    <s v="NA"/>
    <n v="0"/>
    <n v="5"/>
    <n v="2006"/>
    <s v="New"/>
    <s v="Partial"/>
    <n v="290000"/>
  </r>
  <r>
    <n v="1211"/>
    <n v="60"/>
    <s v="RL"/>
    <n v="70"/>
    <n v="11218"/>
    <s v="Pave"/>
    <s v="NA"/>
    <s v="Reg"/>
    <s v="Lvl"/>
    <s v="AllPub"/>
    <s v="Inside"/>
    <s v="Gtl"/>
    <x v="12"/>
    <x v="0"/>
    <s v="Norm"/>
    <x v="0"/>
    <x v="0"/>
    <n v="6"/>
    <n v="5"/>
    <x v="86"/>
    <n v="1992"/>
    <s v="Gable"/>
    <s v="CompShg"/>
    <s v="Wd Sdng"/>
    <s v="Wd Sdng"/>
    <s v="None"/>
    <n v="0"/>
    <s v="Gd"/>
    <s v="TA"/>
    <s v="PConc"/>
    <s v="Gd"/>
    <s v="TA"/>
    <s v="No"/>
    <s v="Unf"/>
    <n v="0"/>
    <s v="Unf"/>
    <n v="0"/>
    <n v="1055"/>
    <n v="1055"/>
    <s v="GasA"/>
    <s v="Ex"/>
    <s v="Y"/>
    <s v="SBrkr"/>
    <n v="1055"/>
    <n v="790"/>
    <n v="0"/>
    <x v="765"/>
    <n v="0"/>
    <n v="0"/>
    <n v="2"/>
    <n v="1"/>
    <n v="3"/>
    <n v="1"/>
    <s v="Gd"/>
    <n v="8"/>
    <s v="Typ"/>
    <n v="1"/>
    <s v="TA"/>
    <s v="Attchd"/>
    <n v="1992"/>
    <s v="RFn"/>
    <n v="2"/>
    <n v="462"/>
    <s v="TA"/>
    <s v="TA"/>
    <s v="Y"/>
    <n v="635"/>
    <n v="104"/>
    <n v="0"/>
    <n v="0"/>
    <n v="0"/>
    <n v="0"/>
    <s v="NA"/>
    <s v="GdPrv"/>
    <s v="Shed"/>
    <n v="400"/>
    <n v="5"/>
    <n v="2010"/>
    <s v="WD"/>
    <s v="Normal"/>
    <n v="189000"/>
  </r>
  <r>
    <n v="1212"/>
    <n v="50"/>
    <s v="RL"/>
    <n v="152"/>
    <n v="12134"/>
    <s v="Pave"/>
    <s v="NA"/>
    <s v="IR1"/>
    <s v="Bnk"/>
    <s v="AllPub"/>
    <s v="Inside"/>
    <s v="Mod"/>
    <x v="17"/>
    <x v="0"/>
    <s v="Norm"/>
    <x v="0"/>
    <x v="2"/>
    <n v="8"/>
    <n v="7"/>
    <x v="62"/>
    <n v="2005"/>
    <s v="Gable"/>
    <s v="CompShg"/>
    <s v="Wd Sdng"/>
    <s v="Wd Sdng"/>
    <s v="None"/>
    <n v="0"/>
    <s v="Gd"/>
    <s v="TA"/>
    <s v="Wood"/>
    <s v="Gd"/>
    <s v="TA"/>
    <s v="Av"/>
    <s v="GLQ"/>
    <n v="427"/>
    <s v="Unf"/>
    <n v="0"/>
    <n v="132"/>
    <n v="559"/>
    <s v="GasA"/>
    <s v="Gd"/>
    <s v="Y"/>
    <s v="SBrkr"/>
    <n v="1080"/>
    <n v="672"/>
    <n v="0"/>
    <x v="43"/>
    <n v="0"/>
    <n v="0"/>
    <n v="2"/>
    <n v="0"/>
    <n v="4"/>
    <n v="1"/>
    <s v="TA"/>
    <n v="8"/>
    <s v="Typ"/>
    <n v="0"/>
    <s v="NA"/>
    <s v="Basment"/>
    <n v="1988"/>
    <s v="RFn"/>
    <n v="2"/>
    <n v="492"/>
    <s v="TA"/>
    <s v="TA"/>
    <s v="Y"/>
    <n v="325"/>
    <n v="12"/>
    <n v="0"/>
    <n v="0"/>
    <n v="0"/>
    <n v="0"/>
    <s v="NA"/>
    <s v="NA"/>
    <s v="NA"/>
    <n v="0"/>
    <n v="6"/>
    <n v="2010"/>
    <s v="WD"/>
    <s v="Normal"/>
    <n v="164000"/>
  </r>
  <r>
    <n v="1213"/>
    <n v="30"/>
    <s v="RL"/>
    <n v="50"/>
    <n v="9340"/>
    <s v="Pave"/>
    <s v="NA"/>
    <s v="Reg"/>
    <s v="Lvl"/>
    <s v="AllPub"/>
    <s v="Inside"/>
    <s v="Gtl"/>
    <x v="15"/>
    <x v="0"/>
    <s v="Norm"/>
    <x v="0"/>
    <x v="1"/>
    <n v="4"/>
    <n v="6"/>
    <x v="71"/>
    <n v="1950"/>
    <s v="Hip"/>
    <s v="CompShg"/>
    <s v="MetalSd"/>
    <s v="MetalSd"/>
    <s v="None"/>
    <n v="0"/>
    <s v="TA"/>
    <s v="TA"/>
    <s v="CBlock"/>
    <s v="TA"/>
    <s v="TA"/>
    <s v="No"/>
    <s v="Rec"/>
    <n v="344"/>
    <s v="Unf"/>
    <n v="0"/>
    <n v="328"/>
    <n v="672"/>
    <s v="GasA"/>
    <s v="TA"/>
    <s v="Y"/>
    <s v="SBrkr"/>
    <n v="672"/>
    <n v="0"/>
    <n v="0"/>
    <x v="331"/>
    <n v="1"/>
    <n v="0"/>
    <n v="1"/>
    <n v="0"/>
    <n v="2"/>
    <n v="1"/>
    <s v="TA"/>
    <n v="4"/>
    <s v="Typ"/>
    <n v="0"/>
    <s v="NA"/>
    <s v="Attchd"/>
    <n v="1941"/>
    <s v="Unf"/>
    <n v="1"/>
    <n v="234"/>
    <s v="TA"/>
    <s v="TA"/>
    <s v="N"/>
    <n v="0"/>
    <n v="113"/>
    <n v="0"/>
    <n v="0"/>
    <n v="0"/>
    <n v="0"/>
    <s v="NA"/>
    <s v="NA"/>
    <s v="NA"/>
    <n v="0"/>
    <n v="8"/>
    <n v="2009"/>
    <s v="WD"/>
    <s v="Normal"/>
    <n v="113000"/>
  </r>
  <r>
    <n v="1214"/>
    <n v="80"/>
    <s v="RL"/>
    <s v="NA"/>
    <n v="10246"/>
    <s v="Pave"/>
    <s v="NA"/>
    <s v="IR1"/>
    <s v="Lvl"/>
    <s v="AllPub"/>
    <s v="CulDSac"/>
    <s v="Gtl"/>
    <x v="9"/>
    <x v="0"/>
    <s v="Norm"/>
    <x v="0"/>
    <x v="5"/>
    <n v="4"/>
    <n v="9"/>
    <x v="10"/>
    <n v="2001"/>
    <s v="Gable"/>
    <s v="CompShg"/>
    <s v="VinylSd"/>
    <s v="VinylSd"/>
    <s v="None"/>
    <n v="0"/>
    <s v="TA"/>
    <s v="Gd"/>
    <s v="CBlock"/>
    <s v="TA"/>
    <s v="Gd"/>
    <s v="Av"/>
    <s v="GLQ"/>
    <n v="648"/>
    <s v="Unf"/>
    <n v="0"/>
    <n v="0"/>
    <n v="648"/>
    <s v="GasA"/>
    <s v="Ex"/>
    <s v="Y"/>
    <s v="SBrkr"/>
    <n v="960"/>
    <n v="0"/>
    <n v="0"/>
    <x v="91"/>
    <n v="1"/>
    <n v="1"/>
    <n v="0"/>
    <n v="0"/>
    <n v="0"/>
    <n v="1"/>
    <s v="TA"/>
    <n v="3"/>
    <s v="Typ"/>
    <n v="0"/>
    <s v="NA"/>
    <s v="Attchd"/>
    <n v="1965"/>
    <s v="Unf"/>
    <n v="1"/>
    <n v="364"/>
    <s v="TA"/>
    <s v="TA"/>
    <s v="Y"/>
    <n v="88"/>
    <n v="0"/>
    <n v="0"/>
    <n v="0"/>
    <n v="0"/>
    <n v="0"/>
    <s v="NA"/>
    <s v="NA"/>
    <s v="NA"/>
    <n v="0"/>
    <n v="5"/>
    <n v="2006"/>
    <s v="WD"/>
    <s v="Normal"/>
    <n v="145000"/>
  </r>
  <r>
    <n v="1215"/>
    <n v="85"/>
    <s v="RL"/>
    <n v="69"/>
    <n v="10205"/>
    <s v="Pave"/>
    <s v="NA"/>
    <s v="IR1"/>
    <s v="Lvl"/>
    <s v="AllPub"/>
    <s v="Inside"/>
    <s v="Gtl"/>
    <x v="11"/>
    <x v="0"/>
    <s v="Norm"/>
    <x v="0"/>
    <x v="4"/>
    <n v="5"/>
    <n v="5"/>
    <x v="12"/>
    <n v="1962"/>
    <s v="Gable"/>
    <s v="CompShg"/>
    <s v="MetalSd"/>
    <s v="MetalSd"/>
    <s v="None"/>
    <n v="0"/>
    <s v="TA"/>
    <s v="TA"/>
    <s v="CBlock"/>
    <s v="TA"/>
    <s v="TA"/>
    <s v="Av"/>
    <s v="BLQ"/>
    <n v="784"/>
    <s v="Unf"/>
    <n v="0"/>
    <n v="141"/>
    <n v="925"/>
    <s v="GasA"/>
    <s v="TA"/>
    <s v="Y"/>
    <s v="SBrkr"/>
    <n v="999"/>
    <n v="0"/>
    <n v="0"/>
    <x v="389"/>
    <n v="1"/>
    <n v="0"/>
    <n v="1"/>
    <n v="0"/>
    <n v="3"/>
    <n v="1"/>
    <s v="TA"/>
    <n v="6"/>
    <s v="Typ"/>
    <n v="0"/>
    <s v="NA"/>
    <s v="Attchd"/>
    <n v="1962"/>
    <s v="Unf"/>
    <n v="1"/>
    <n v="300"/>
    <s v="TA"/>
    <s v="TA"/>
    <s v="Y"/>
    <n v="150"/>
    <n v="72"/>
    <n v="0"/>
    <n v="0"/>
    <n v="0"/>
    <n v="0"/>
    <s v="NA"/>
    <s v="NA"/>
    <s v="NA"/>
    <n v="0"/>
    <n v="5"/>
    <n v="2006"/>
    <s v="WD"/>
    <s v="Normal"/>
    <n v="134500"/>
  </r>
  <r>
    <n v="1216"/>
    <n v="20"/>
    <s v="RL"/>
    <n v="99"/>
    <n v="7094"/>
    <s v="Pave"/>
    <s v="NA"/>
    <s v="IR1"/>
    <s v="Lvl"/>
    <s v="AllPub"/>
    <s v="Inside"/>
    <s v="Gtl"/>
    <x v="9"/>
    <x v="0"/>
    <s v="Norm"/>
    <x v="0"/>
    <x v="1"/>
    <n v="5"/>
    <n v="5"/>
    <x v="27"/>
    <n v="1966"/>
    <s v="Gable"/>
    <s v="CompShg"/>
    <s v="VinylSd"/>
    <s v="VinylSd"/>
    <s v="None"/>
    <n v="0"/>
    <s v="TA"/>
    <s v="TA"/>
    <s v="CBlock"/>
    <s v="TA"/>
    <s v="TA"/>
    <s v="No"/>
    <s v="Rec"/>
    <n v="180"/>
    <s v="LwQ"/>
    <n v="374"/>
    <n v="340"/>
    <n v="894"/>
    <s v="GasA"/>
    <s v="TA"/>
    <s v="Y"/>
    <s v="SBrkr"/>
    <n v="894"/>
    <n v="0"/>
    <n v="0"/>
    <x v="204"/>
    <n v="0"/>
    <n v="0"/>
    <n v="1"/>
    <n v="0"/>
    <n v="3"/>
    <n v="1"/>
    <s v="TA"/>
    <n v="5"/>
    <s v="Typ"/>
    <n v="0"/>
    <s v="NA"/>
    <s v="Detchd"/>
    <n v="1966"/>
    <s v="RFn"/>
    <n v="1"/>
    <n v="384"/>
    <s v="TA"/>
    <s v="TA"/>
    <s v="Y"/>
    <n v="0"/>
    <n v="0"/>
    <n v="0"/>
    <n v="0"/>
    <n v="0"/>
    <n v="0"/>
    <s v="NA"/>
    <s v="MnPrv"/>
    <s v="NA"/>
    <n v="0"/>
    <n v="5"/>
    <n v="2007"/>
    <s v="WD"/>
    <s v="Normal"/>
    <n v="125000"/>
  </r>
  <r>
    <n v="1217"/>
    <n v="90"/>
    <s v="RM"/>
    <n v="68"/>
    <n v="8930"/>
    <s v="Pave"/>
    <s v="NA"/>
    <s v="Reg"/>
    <s v="Lvl"/>
    <s v="AllPub"/>
    <s v="Inside"/>
    <s v="Gtl"/>
    <x v="9"/>
    <x v="4"/>
    <s v="Norm"/>
    <x v="2"/>
    <x v="2"/>
    <n v="6"/>
    <n v="5"/>
    <x v="90"/>
    <n v="1978"/>
    <s v="Gable"/>
    <s v="CompShg"/>
    <s v="VinylSd"/>
    <s v="VinylS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318"/>
    <n v="584"/>
    <n v="0"/>
    <x v="766"/>
    <n v="0"/>
    <n v="0"/>
    <n v="2"/>
    <n v="0"/>
    <n v="4"/>
    <n v="2"/>
    <s v="TA"/>
    <n v="8"/>
    <s v="Typ"/>
    <n v="0"/>
    <s v="NA"/>
    <s v="Attchd"/>
    <n v="1978"/>
    <s v="Unf"/>
    <n v="2"/>
    <n v="539"/>
    <s v="TA"/>
    <s v="TA"/>
    <s v="Y"/>
    <n v="0"/>
    <n v="0"/>
    <n v="0"/>
    <n v="0"/>
    <n v="0"/>
    <n v="0"/>
    <s v="NA"/>
    <s v="NA"/>
    <s v="NA"/>
    <n v="0"/>
    <n v="4"/>
    <n v="2010"/>
    <s v="WD"/>
    <s v="Normal"/>
    <n v="112000"/>
  </r>
  <r>
    <n v="1218"/>
    <n v="20"/>
    <s v="FV"/>
    <n v="72"/>
    <n v="8640"/>
    <s v="Pave"/>
    <s v="NA"/>
    <s v="Reg"/>
    <s v="Lvl"/>
    <s v="AllPub"/>
    <s v="Inside"/>
    <s v="Gtl"/>
    <x v="5"/>
    <x v="0"/>
    <s v="Norm"/>
    <x v="0"/>
    <x v="1"/>
    <n v="8"/>
    <n v="5"/>
    <x v="51"/>
    <n v="2009"/>
    <s v="Gable"/>
    <s v="CompShg"/>
    <s v="CemntBd"/>
    <s v="CmentBd"/>
    <s v="Stone"/>
    <n v="72"/>
    <s v="Gd"/>
    <s v="TA"/>
    <s v="PConc"/>
    <s v="Gd"/>
    <s v="TA"/>
    <s v="Mn"/>
    <s v="GLQ"/>
    <n v="936"/>
    <s v="Unf"/>
    <n v="0"/>
    <n v="364"/>
    <n v="1300"/>
    <s v="GasA"/>
    <s v="Ex"/>
    <s v="Y"/>
    <s v="SBrkr"/>
    <n v="1314"/>
    <n v="0"/>
    <n v="0"/>
    <x v="221"/>
    <n v="1"/>
    <n v="0"/>
    <n v="2"/>
    <n v="0"/>
    <n v="3"/>
    <n v="1"/>
    <s v="Gd"/>
    <n v="6"/>
    <s v="Typ"/>
    <n v="0"/>
    <s v="NA"/>
    <s v="Attchd"/>
    <n v="2009"/>
    <s v="RFn"/>
    <n v="2"/>
    <n v="552"/>
    <s v="TA"/>
    <s v="TA"/>
    <s v="Y"/>
    <n v="135"/>
    <n v="112"/>
    <n v="0"/>
    <n v="0"/>
    <n v="0"/>
    <n v="0"/>
    <s v="NA"/>
    <s v="NA"/>
    <s v="NA"/>
    <n v="0"/>
    <n v="9"/>
    <n v="2009"/>
    <s v="New"/>
    <s v="Partial"/>
    <n v="229456"/>
  </r>
  <r>
    <n v="1219"/>
    <n v="50"/>
    <s v="RM"/>
    <n v="52"/>
    <n v="6240"/>
    <s v="Pave"/>
    <s v="NA"/>
    <s v="Reg"/>
    <s v="Lvl"/>
    <s v="AllPub"/>
    <s v="Inside"/>
    <s v="Gtl"/>
    <x v="8"/>
    <x v="0"/>
    <s v="Norm"/>
    <x v="0"/>
    <x v="2"/>
    <n v="4"/>
    <n v="5"/>
    <x v="81"/>
    <n v="1950"/>
    <s v="Gable"/>
    <s v="CompShg"/>
    <s v="AsbShng"/>
    <s v="AsbShng"/>
    <s v="None"/>
    <n v="0"/>
    <s v="TA"/>
    <s v="TA"/>
    <s v="Slab"/>
    <s v="NA"/>
    <s v="NA"/>
    <s v="NA"/>
    <s v="NA"/>
    <n v="0"/>
    <s v="NA"/>
    <n v="0"/>
    <n v="0"/>
    <n v="0"/>
    <s v="GasA"/>
    <s v="Gd"/>
    <s v="N"/>
    <s v="SBrkr"/>
    <n v="672"/>
    <n v="240"/>
    <n v="0"/>
    <x v="12"/>
    <n v="0"/>
    <n v="0"/>
    <n v="1"/>
    <n v="0"/>
    <n v="2"/>
    <n v="1"/>
    <s v="TA"/>
    <n v="3"/>
    <s v="Typ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7"/>
    <n v="2006"/>
    <s v="WD"/>
    <s v="Normal"/>
    <n v="80500"/>
  </r>
  <r>
    <n v="1220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6"/>
    <n v="5"/>
    <x v="63"/>
    <n v="1971"/>
    <s v="Gable"/>
    <s v="CompShg"/>
    <s v="CemntBd"/>
    <s v="CmentBd"/>
    <s v="BrkFace"/>
    <n v="236"/>
    <s v="TA"/>
    <s v="TA"/>
    <s v="CBlock"/>
    <s v="TA"/>
    <s v="TA"/>
    <s v="No"/>
    <s v="Unf"/>
    <n v="0"/>
    <s v="Unf"/>
    <n v="0"/>
    <n v="672"/>
    <n v="672"/>
    <s v="GasA"/>
    <s v="TA"/>
    <s v="Y"/>
    <s v="SBrkr"/>
    <n v="672"/>
    <n v="546"/>
    <n v="0"/>
    <x v="399"/>
    <n v="0"/>
    <n v="0"/>
    <n v="1"/>
    <n v="1"/>
    <n v="3"/>
    <n v="1"/>
    <s v="TA"/>
    <n v="7"/>
    <s v="Typ"/>
    <n v="0"/>
    <s v="NA"/>
    <s v="NA"/>
    <s v="NA"/>
    <s v="NA"/>
    <n v="0"/>
    <n v="0"/>
    <s v="NA"/>
    <s v="NA"/>
    <s v="N"/>
    <n v="201"/>
    <n v="0"/>
    <n v="0"/>
    <n v="0"/>
    <n v="0"/>
    <n v="0"/>
    <s v="NA"/>
    <s v="NA"/>
    <s v="NA"/>
    <n v="0"/>
    <n v="4"/>
    <n v="2006"/>
    <s v="WD"/>
    <s v="Abnorml"/>
    <n v="91500"/>
  </r>
  <r>
    <n v="1221"/>
    <n v="20"/>
    <s v="RL"/>
    <n v="66"/>
    <n v="7800"/>
    <s v="Pave"/>
    <s v="NA"/>
    <s v="IR1"/>
    <s v="Lvl"/>
    <s v="AllPub"/>
    <s v="Inside"/>
    <s v="Gtl"/>
    <x v="11"/>
    <x v="0"/>
    <s v="Norm"/>
    <x v="0"/>
    <x v="1"/>
    <n v="5"/>
    <n v="5"/>
    <x v="39"/>
    <n v="1964"/>
    <s v="Gable"/>
    <s v="CompShg"/>
    <s v="Wd Sdng"/>
    <s v="Wd Sdng"/>
    <s v="None"/>
    <n v="0"/>
    <s v="TA"/>
    <s v="TA"/>
    <s v="CBlock"/>
    <s v="TA"/>
    <s v="TA"/>
    <s v="No"/>
    <s v="Rec"/>
    <n v="312"/>
    <s v="LwQ"/>
    <n v="600"/>
    <n v="0"/>
    <n v="912"/>
    <s v="GasA"/>
    <s v="TA"/>
    <s v="Y"/>
    <s v="SBrkr"/>
    <n v="912"/>
    <n v="0"/>
    <n v="0"/>
    <x v="12"/>
    <n v="0"/>
    <n v="0"/>
    <n v="1"/>
    <n v="0"/>
    <n v="2"/>
    <n v="1"/>
    <s v="TA"/>
    <n v="5"/>
    <s v="Typ"/>
    <n v="0"/>
    <s v="NA"/>
    <s v="Attchd"/>
    <n v="1964"/>
    <s v="Unf"/>
    <n v="1"/>
    <n v="288"/>
    <s v="TA"/>
    <s v="TA"/>
    <s v="Y"/>
    <n v="0"/>
    <n v="0"/>
    <n v="0"/>
    <n v="0"/>
    <n v="0"/>
    <n v="0"/>
    <s v="NA"/>
    <s v="NA"/>
    <s v="NA"/>
    <n v="0"/>
    <n v="11"/>
    <n v="2006"/>
    <s v="WD"/>
    <s v="Abnorml"/>
    <n v="115000"/>
  </r>
  <r>
    <n v="1222"/>
    <n v="20"/>
    <s v="RL"/>
    <n v="55"/>
    <n v="8250"/>
    <s v="Pave"/>
    <s v="NA"/>
    <s v="Reg"/>
    <s v="Lvl"/>
    <s v="AllPub"/>
    <s v="Inside"/>
    <s v="Gtl"/>
    <x v="9"/>
    <x v="1"/>
    <s v="Norm"/>
    <x v="0"/>
    <x v="1"/>
    <n v="5"/>
    <n v="5"/>
    <x v="21"/>
    <n v="1968"/>
    <s v="Hip"/>
    <s v="CompShg"/>
    <s v="HdBoard"/>
    <s v="HdBoard"/>
    <s v="None"/>
    <n v="0"/>
    <s v="TA"/>
    <s v="TA"/>
    <s v="CBlock"/>
    <s v="TA"/>
    <s v="TA"/>
    <s v="No"/>
    <s v="BLQ"/>
    <n v="250"/>
    <s v="LwQ"/>
    <n v="492"/>
    <n v="210"/>
    <n v="952"/>
    <s v="GasA"/>
    <s v="Ex"/>
    <s v="Y"/>
    <s v="SBrkr"/>
    <n v="1211"/>
    <n v="0"/>
    <n v="0"/>
    <x v="767"/>
    <n v="0"/>
    <n v="0"/>
    <n v="1"/>
    <n v="0"/>
    <n v="3"/>
    <n v="1"/>
    <s v="TA"/>
    <n v="5"/>
    <s v="Typ"/>
    <n v="1"/>
    <s v="TA"/>
    <s v="Attchd"/>
    <n v="1968"/>
    <s v="Unf"/>
    <n v="1"/>
    <n v="322"/>
    <s v="TA"/>
    <s v="TA"/>
    <s v="Y"/>
    <n v="0"/>
    <n v="63"/>
    <n v="0"/>
    <n v="0"/>
    <n v="0"/>
    <n v="0"/>
    <s v="NA"/>
    <s v="NA"/>
    <s v="NA"/>
    <n v="0"/>
    <n v="8"/>
    <n v="2008"/>
    <s v="WD"/>
    <s v="Normal"/>
    <n v="134000"/>
  </r>
  <r>
    <n v="1223"/>
    <n v="50"/>
    <s v="RL"/>
    <n v="78"/>
    <n v="10496"/>
    <s v="Pave"/>
    <s v="NA"/>
    <s v="Reg"/>
    <s v="Lvl"/>
    <s v="AllPub"/>
    <s v="Inside"/>
    <s v="Gtl"/>
    <x v="11"/>
    <x v="3"/>
    <s v="Norm"/>
    <x v="0"/>
    <x v="2"/>
    <n v="6"/>
    <n v="6"/>
    <x v="87"/>
    <n v="1950"/>
    <s v="Gable"/>
    <s v="CompShg"/>
    <s v="Wd Sdng"/>
    <s v="Wd Sdng"/>
    <s v="BrkFace"/>
    <n v="320"/>
    <s v="TA"/>
    <s v="TA"/>
    <s v="CBlock"/>
    <s v="TA"/>
    <s v="TA"/>
    <s v="Mn"/>
    <s v="Rec"/>
    <n v="196"/>
    <s v="Unf"/>
    <n v="0"/>
    <n v="844"/>
    <n v="1040"/>
    <s v="GasA"/>
    <s v="Ex"/>
    <s v="Y"/>
    <s v="SBrkr"/>
    <n v="1168"/>
    <n v="678"/>
    <n v="0"/>
    <x v="768"/>
    <n v="0"/>
    <n v="0"/>
    <n v="2"/>
    <n v="0"/>
    <n v="3"/>
    <n v="1"/>
    <s v="TA"/>
    <n v="7"/>
    <s v="Typ"/>
    <n v="1"/>
    <s v="Gd"/>
    <s v="Attchd"/>
    <n v="1949"/>
    <s v="Unf"/>
    <n v="1"/>
    <n v="315"/>
    <s v="TA"/>
    <s v="TA"/>
    <s v="Y"/>
    <n v="0"/>
    <n v="0"/>
    <n v="0"/>
    <n v="0"/>
    <n v="0"/>
    <n v="0"/>
    <s v="NA"/>
    <s v="GdWo"/>
    <s v="NA"/>
    <n v="0"/>
    <n v="1"/>
    <n v="2007"/>
    <s v="WD"/>
    <s v="Normal"/>
    <n v="143000"/>
  </r>
  <r>
    <n v="1224"/>
    <n v="20"/>
    <s v="RL"/>
    <n v="89"/>
    <n v="10680"/>
    <s v="Pave"/>
    <s v="NA"/>
    <s v="Reg"/>
    <s v="Lvl"/>
    <s v="AllPub"/>
    <s v="Inside"/>
    <s v="Gtl"/>
    <x v="11"/>
    <x v="0"/>
    <s v="Norm"/>
    <x v="0"/>
    <x v="1"/>
    <n v="5"/>
    <n v="3"/>
    <x v="23"/>
    <n v="1951"/>
    <s v="Hip"/>
    <s v="CompShg"/>
    <s v="Wd Sdng"/>
    <s v="Wd Sdng"/>
    <s v="BrkFace"/>
    <n v="44"/>
    <s v="TA"/>
    <s v="TA"/>
    <s v="CBlock"/>
    <s v="TA"/>
    <s v="Fa"/>
    <s v="No"/>
    <s v="LwQ"/>
    <n v="756"/>
    <s v="Unf"/>
    <n v="0"/>
    <n v="1380"/>
    <n v="2136"/>
    <s v="GasA"/>
    <s v="TA"/>
    <s v="N"/>
    <s v="FuseA"/>
    <n v="2136"/>
    <n v="0"/>
    <n v="0"/>
    <x v="769"/>
    <n v="0"/>
    <n v="0"/>
    <n v="2"/>
    <n v="0"/>
    <n v="4"/>
    <n v="1"/>
    <s v="TA"/>
    <n v="7"/>
    <s v="Mod"/>
    <n v="0"/>
    <s v="NA"/>
    <s v="Detchd"/>
    <n v="1951"/>
    <s v="Unf"/>
    <n v="2"/>
    <n v="528"/>
    <s v="TA"/>
    <s v="TA"/>
    <s v="Y"/>
    <n v="0"/>
    <n v="30"/>
    <n v="0"/>
    <n v="0"/>
    <n v="0"/>
    <n v="0"/>
    <s v="NA"/>
    <s v="MnPrv"/>
    <s v="NA"/>
    <n v="0"/>
    <n v="10"/>
    <n v="2006"/>
    <s v="WD"/>
    <s v="Normal"/>
    <n v="137900"/>
  </r>
  <r>
    <n v="1225"/>
    <n v="60"/>
    <s v="RL"/>
    <n v="60"/>
    <n v="15384"/>
    <s v="Pave"/>
    <s v="NA"/>
    <s v="IR1"/>
    <s v="Lvl"/>
    <s v="AllPub"/>
    <s v="Inside"/>
    <s v="Gtl"/>
    <x v="17"/>
    <x v="6"/>
    <s v="Norm"/>
    <x v="0"/>
    <x v="0"/>
    <n v="7"/>
    <n v="5"/>
    <x v="6"/>
    <n v="2005"/>
    <s v="Gable"/>
    <s v="CompShg"/>
    <s v="VinylSd"/>
    <s v="VinylSd"/>
    <s v="None"/>
    <n v="0"/>
    <s v="Gd"/>
    <s v="TA"/>
    <s v="PConc"/>
    <s v="Gd"/>
    <s v="TA"/>
    <s v="Av"/>
    <s v="GLQ"/>
    <n v="724"/>
    <s v="Unf"/>
    <n v="0"/>
    <n v="64"/>
    <n v="788"/>
    <s v="GasA"/>
    <s v="Ex"/>
    <s v="Y"/>
    <s v="SBrkr"/>
    <n v="788"/>
    <n v="702"/>
    <n v="0"/>
    <x v="770"/>
    <n v="1"/>
    <n v="0"/>
    <n v="2"/>
    <n v="1"/>
    <n v="3"/>
    <n v="1"/>
    <s v="Gd"/>
    <n v="8"/>
    <s v="Typ"/>
    <n v="1"/>
    <s v="Gd"/>
    <s v="Attchd"/>
    <n v="2004"/>
    <s v="Fin"/>
    <n v="2"/>
    <n v="388"/>
    <s v="TA"/>
    <s v="TA"/>
    <s v="Y"/>
    <n v="100"/>
    <n v="75"/>
    <n v="0"/>
    <n v="0"/>
    <n v="0"/>
    <n v="0"/>
    <s v="NA"/>
    <s v="NA"/>
    <s v="NA"/>
    <n v="0"/>
    <n v="2"/>
    <n v="2008"/>
    <s v="WD"/>
    <s v="Normal"/>
    <n v="184000"/>
  </r>
  <r>
    <n v="1226"/>
    <n v="80"/>
    <s v="RL"/>
    <n v="65"/>
    <n v="10482"/>
    <s v="Pave"/>
    <s v="NA"/>
    <s v="Reg"/>
    <s v="Lvl"/>
    <s v="AllPub"/>
    <s v="Inside"/>
    <s v="Gtl"/>
    <x v="11"/>
    <x v="0"/>
    <s v="Norm"/>
    <x v="0"/>
    <x v="5"/>
    <n v="6"/>
    <n v="8"/>
    <x v="18"/>
    <n v="1958"/>
    <s v="Hip"/>
    <s v="CompShg"/>
    <s v="VinylSd"/>
    <s v="VinylSd"/>
    <s v="BrkFace"/>
    <n v="63"/>
    <s v="TA"/>
    <s v="Gd"/>
    <s v="CBlock"/>
    <s v="TA"/>
    <s v="TA"/>
    <s v="Av"/>
    <s v="GLQ"/>
    <n v="507"/>
    <s v="Unf"/>
    <n v="0"/>
    <n v="81"/>
    <n v="588"/>
    <s v="GasA"/>
    <s v="Ex"/>
    <s v="Y"/>
    <s v="SBrkr"/>
    <n v="1138"/>
    <n v="0"/>
    <n v="0"/>
    <x v="771"/>
    <n v="0"/>
    <n v="1"/>
    <n v="1"/>
    <n v="0"/>
    <n v="3"/>
    <n v="1"/>
    <s v="TA"/>
    <n v="6"/>
    <s v="Typ"/>
    <n v="0"/>
    <s v="NA"/>
    <s v="Attchd"/>
    <n v="1958"/>
    <s v="RFn"/>
    <n v="1"/>
    <n v="264"/>
    <s v="TA"/>
    <s v="TA"/>
    <s v="Y"/>
    <n v="224"/>
    <n v="0"/>
    <n v="0"/>
    <n v="0"/>
    <n v="0"/>
    <n v="0"/>
    <s v="NA"/>
    <s v="MnWw"/>
    <s v="NA"/>
    <n v="0"/>
    <n v="6"/>
    <n v="2007"/>
    <s v="WD"/>
    <s v="Normal"/>
    <n v="145000"/>
  </r>
  <r>
    <n v="1227"/>
    <n v="60"/>
    <s v="RL"/>
    <n v="86"/>
    <n v="14598"/>
    <s v="Pave"/>
    <s v="NA"/>
    <s v="IR1"/>
    <s v="Lvl"/>
    <s v="AllPub"/>
    <s v="CulDSac"/>
    <s v="Gtl"/>
    <x v="5"/>
    <x v="1"/>
    <s v="Norm"/>
    <x v="0"/>
    <x v="0"/>
    <n v="6"/>
    <n v="5"/>
    <x v="22"/>
    <n v="2007"/>
    <s v="Gable"/>
    <s v="CompShg"/>
    <s v="VinylSd"/>
    <s v="VinylSd"/>
    <s v="Stone"/>
    <n v="74"/>
    <s v="Gd"/>
    <s v="TA"/>
    <s v="PConc"/>
    <s v="Gd"/>
    <s v="TA"/>
    <s v="Mn"/>
    <s v="Unf"/>
    <n v="0"/>
    <s v="Unf"/>
    <n v="0"/>
    <n v="894"/>
    <n v="894"/>
    <s v="GasA"/>
    <s v="Ex"/>
    <s v="Y"/>
    <s v="SBrkr"/>
    <n v="894"/>
    <n v="1039"/>
    <n v="0"/>
    <x v="772"/>
    <n v="0"/>
    <n v="0"/>
    <n v="2"/>
    <n v="1"/>
    <n v="4"/>
    <n v="1"/>
    <s v="Gd"/>
    <n v="9"/>
    <s v="Typ"/>
    <n v="1"/>
    <s v="Gd"/>
    <s v="BuiltIn"/>
    <n v="2007"/>
    <s v="Fin"/>
    <n v="3"/>
    <n v="668"/>
    <s v="TA"/>
    <s v="TA"/>
    <s v="Y"/>
    <n v="100"/>
    <n v="18"/>
    <n v="0"/>
    <n v="0"/>
    <n v="0"/>
    <n v="0"/>
    <s v="NA"/>
    <s v="NA"/>
    <s v="NA"/>
    <n v="0"/>
    <n v="1"/>
    <n v="2008"/>
    <s v="WD"/>
    <s v="Normal"/>
    <n v="214000"/>
  </r>
  <r>
    <n v="1228"/>
    <n v="20"/>
    <s v="RL"/>
    <n v="72"/>
    <n v="8872"/>
    <s v="Pave"/>
    <s v="NA"/>
    <s v="Reg"/>
    <s v="Lvl"/>
    <s v="AllPub"/>
    <s v="Corner"/>
    <s v="Gtl"/>
    <x v="11"/>
    <x v="0"/>
    <s v="Norm"/>
    <x v="0"/>
    <x v="1"/>
    <n v="5"/>
    <n v="8"/>
    <x v="10"/>
    <n v="2008"/>
    <s v="Gable"/>
    <s v="CompShg"/>
    <s v="VinylSd"/>
    <s v="VinylSd"/>
    <s v="BrkFace"/>
    <n v="300"/>
    <s v="TA"/>
    <s v="TA"/>
    <s v="CBlock"/>
    <s v="TA"/>
    <s v="TA"/>
    <s v="No"/>
    <s v="ALQ"/>
    <n v="595"/>
    <s v="Unf"/>
    <n v="0"/>
    <n v="317"/>
    <n v="912"/>
    <s v="GasA"/>
    <s v="Ex"/>
    <s v="Y"/>
    <s v="SBrkr"/>
    <n v="912"/>
    <n v="0"/>
    <n v="0"/>
    <x v="12"/>
    <n v="1"/>
    <n v="0"/>
    <n v="1"/>
    <n v="0"/>
    <n v="2"/>
    <n v="1"/>
    <s v="Gd"/>
    <n v="5"/>
    <s v="Typ"/>
    <n v="0"/>
    <s v="NA"/>
    <s v="Detchd"/>
    <n v="1992"/>
    <s v="Unf"/>
    <n v="2"/>
    <n v="576"/>
    <s v="TA"/>
    <s v="TA"/>
    <s v="Y"/>
    <n v="0"/>
    <n v="240"/>
    <n v="0"/>
    <n v="0"/>
    <n v="0"/>
    <n v="0"/>
    <s v="NA"/>
    <s v="NA"/>
    <s v="NA"/>
    <n v="0"/>
    <n v="12"/>
    <n v="2008"/>
    <s v="WD"/>
    <s v="Normal"/>
    <n v="147000"/>
  </r>
  <r>
    <n v="1229"/>
    <n v="120"/>
    <s v="RL"/>
    <n v="65"/>
    <n v="8769"/>
    <s v="Pave"/>
    <s v="NA"/>
    <s v="Reg"/>
    <s v="Lvl"/>
    <s v="AllPub"/>
    <s v="Corner"/>
    <s v="Gtl"/>
    <x v="10"/>
    <x v="0"/>
    <s v="Norm"/>
    <x v="3"/>
    <x v="1"/>
    <n v="9"/>
    <n v="5"/>
    <x v="74"/>
    <n v="2008"/>
    <s v="Hip"/>
    <s v="CompShg"/>
    <s v="MetalSd"/>
    <s v="MetalSd"/>
    <s v="BrkFace"/>
    <n v="766"/>
    <s v="Ex"/>
    <s v="TA"/>
    <s v="PConc"/>
    <s v="Ex"/>
    <s v="TA"/>
    <s v="No"/>
    <s v="GLQ"/>
    <n v="1540"/>
    <s v="Unf"/>
    <n v="0"/>
    <n v="162"/>
    <n v="1702"/>
    <s v="GasA"/>
    <s v="Ex"/>
    <s v="Y"/>
    <s v="SBrkr"/>
    <n v="1702"/>
    <n v="0"/>
    <n v="0"/>
    <x v="773"/>
    <n v="1"/>
    <n v="0"/>
    <n v="1"/>
    <n v="1"/>
    <n v="1"/>
    <n v="1"/>
    <s v="Ex"/>
    <n v="7"/>
    <s v="Typ"/>
    <n v="1"/>
    <s v="Gd"/>
    <s v="Attchd"/>
    <n v="2008"/>
    <s v="Fin"/>
    <n v="3"/>
    <n v="1052"/>
    <s v="TA"/>
    <s v="TA"/>
    <s v="Y"/>
    <n v="0"/>
    <n v="72"/>
    <n v="0"/>
    <n v="0"/>
    <n v="224"/>
    <n v="0"/>
    <s v="NA"/>
    <s v="NA"/>
    <s v="NA"/>
    <n v="0"/>
    <n v="10"/>
    <n v="2008"/>
    <s v="New"/>
    <s v="Partial"/>
    <n v="367294"/>
  </r>
  <r>
    <n v="1230"/>
    <n v="80"/>
    <s v="RL"/>
    <n v="70"/>
    <n v="7910"/>
    <s v="Pave"/>
    <s v="NA"/>
    <s v="Reg"/>
    <s v="Lvl"/>
    <s v="AllPub"/>
    <s v="Inside"/>
    <s v="Gtl"/>
    <x v="11"/>
    <x v="0"/>
    <s v="Norm"/>
    <x v="0"/>
    <x v="5"/>
    <n v="5"/>
    <n v="5"/>
    <x v="14"/>
    <n v="1960"/>
    <s v="Hip"/>
    <s v="CompShg"/>
    <s v="BrkFace"/>
    <s v="HdBoard"/>
    <s v="None"/>
    <n v="0"/>
    <s v="TA"/>
    <s v="TA"/>
    <s v="CBlock"/>
    <s v="TA"/>
    <s v="TA"/>
    <s v="No"/>
    <s v="ALQ"/>
    <n v="666"/>
    <s v="Unf"/>
    <n v="0"/>
    <n v="409"/>
    <n v="1075"/>
    <s v="GasA"/>
    <s v="Gd"/>
    <s v="Y"/>
    <s v="SBrkr"/>
    <n v="1507"/>
    <n v="0"/>
    <n v="0"/>
    <x v="774"/>
    <n v="0"/>
    <n v="0"/>
    <n v="2"/>
    <n v="0"/>
    <n v="4"/>
    <n v="1"/>
    <s v="TA"/>
    <n v="7"/>
    <s v="Maj1"/>
    <n v="0"/>
    <s v="NA"/>
    <s v="Basment"/>
    <n v="1960"/>
    <s v="Unf"/>
    <n v="1"/>
    <n v="404"/>
    <s v="TA"/>
    <s v="TA"/>
    <s v="Y"/>
    <n v="0"/>
    <n v="0"/>
    <n v="0"/>
    <n v="0"/>
    <n v="0"/>
    <n v="0"/>
    <s v="NA"/>
    <s v="GdWo"/>
    <s v="NA"/>
    <n v="0"/>
    <n v="8"/>
    <n v="2008"/>
    <s v="WD"/>
    <s v="Normal"/>
    <n v="127000"/>
  </r>
  <r>
    <n v="1231"/>
    <n v="90"/>
    <s v="RL"/>
    <s v="NA"/>
    <n v="18890"/>
    <s v="Pave"/>
    <s v="NA"/>
    <s v="IR1"/>
    <s v="Lvl"/>
    <s v="AllPub"/>
    <s v="Inside"/>
    <s v="Gtl"/>
    <x v="9"/>
    <x v="1"/>
    <s v="RRAe"/>
    <x v="2"/>
    <x v="2"/>
    <n v="5"/>
    <n v="5"/>
    <x v="54"/>
    <n v="1977"/>
    <s v="Shed"/>
    <s v="CompShg"/>
    <s v="Plywood"/>
    <s v="Plywood"/>
    <s v="None"/>
    <n v="1"/>
    <s v="TA"/>
    <s v="TA"/>
    <s v="CBlock"/>
    <s v="Gd"/>
    <s v="TA"/>
    <s v="No"/>
    <s v="GLQ"/>
    <n v="498"/>
    <s v="Rec"/>
    <n v="211"/>
    <n v="652"/>
    <n v="1361"/>
    <s v="GasA"/>
    <s v="Ex"/>
    <s v="Y"/>
    <s v="SBrkr"/>
    <n v="1361"/>
    <n v="1259"/>
    <n v="0"/>
    <x v="775"/>
    <n v="0"/>
    <n v="0"/>
    <n v="2"/>
    <n v="2"/>
    <n v="4"/>
    <n v="2"/>
    <s v="TA"/>
    <n v="12"/>
    <s v="Typ"/>
    <n v="1"/>
    <s v="TA"/>
    <s v="BuiltIn"/>
    <n v="1977"/>
    <s v="RFn"/>
    <n v="2"/>
    <n v="600"/>
    <s v="TA"/>
    <s v="TA"/>
    <s v="N"/>
    <n v="155"/>
    <n v="24"/>
    <n v="145"/>
    <n v="0"/>
    <n v="0"/>
    <n v="0"/>
    <s v="NA"/>
    <s v="NA"/>
    <s v="Gar2"/>
    <n v="8300"/>
    <n v="8"/>
    <n v="2007"/>
    <s v="WD"/>
    <s v="Normal"/>
    <n v="190000"/>
  </r>
  <r>
    <n v="1232"/>
    <n v="90"/>
    <s v="RL"/>
    <n v="70"/>
    <n v="7728"/>
    <s v="Pave"/>
    <s v="NA"/>
    <s v="Reg"/>
    <s v="Lvl"/>
    <s v="AllPub"/>
    <s v="Inside"/>
    <s v="Gtl"/>
    <x v="11"/>
    <x v="0"/>
    <s v="Norm"/>
    <x v="2"/>
    <x v="5"/>
    <n v="5"/>
    <n v="6"/>
    <x v="12"/>
    <n v="1962"/>
    <s v="Hip"/>
    <s v="CompShg"/>
    <s v="Wd Sdng"/>
    <s v="Wd Sdng"/>
    <s v="BrkFace"/>
    <n v="120"/>
    <s v="TA"/>
    <s v="TA"/>
    <s v="CBlock"/>
    <s v="TA"/>
    <s v="TA"/>
    <s v="Av"/>
    <s v="ALQ"/>
    <n v="803"/>
    <s v="Unf"/>
    <n v="0"/>
    <n v="303"/>
    <n v="1106"/>
    <s v="GasA"/>
    <s v="TA"/>
    <s v="Y"/>
    <s v="SBrkr"/>
    <n v="1190"/>
    <n v="0"/>
    <n v="0"/>
    <x v="776"/>
    <n v="1"/>
    <n v="0"/>
    <n v="1"/>
    <n v="0"/>
    <n v="3"/>
    <n v="1"/>
    <s v="TA"/>
    <n v="6"/>
    <s v="Typ"/>
    <n v="0"/>
    <s v="NA"/>
    <s v="Attchd"/>
    <n v="1962"/>
    <s v="Unf"/>
    <n v="2"/>
    <n v="540"/>
    <s v="TA"/>
    <s v="TA"/>
    <s v="Y"/>
    <n v="0"/>
    <n v="18"/>
    <n v="0"/>
    <n v="0"/>
    <n v="0"/>
    <n v="0"/>
    <s v="NA"/>
    <s v="GdWo"/>
    <s v="NA"/>
    <n v="0"/>
    <n v="5"/>
    <n v="2006"/>
    <s v="WD"/>
    <s v="Normal"/>
    <n v="132500"/>
  </r>
  <r>
    <n v="1233"/>
    <n v="90"/>
    <s v="RL"/>
    <n v="70"/>
    <n v="9842"/>
    <s v="Pave"/>
    <s v="NA"/>
    <s v="Reg"/>
    <s v="Lvl"/>
    <s v="AllPub"/>
    <s v="FR2"/>
    <s v="Gtl"/>
    <x v="11"/>
    <x v="0"/>
    <s v="Norm"/>
    <x v="2"/>
    <x v="1"/>
    <n v="4"/>
    <n v="5"/>
    <x v="12"/>
    <n v="1962"/>
    <s v="Gable"/>
    <s v="CompShg"/>
    <s v="HdBoard"/>
    <s v="HdBoar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224"/>
    <n v="0"/>
    <n v="0"/>
    <x v="84"/>
    <n v="0"/>
    <n v="0"/>
    <n v="2"/>
    <n v="0"/>
    <n v="2"/>
    <n v="2"/>
    <s v="TA"/>
    <n v="6"/>
    <s v="Typ"/>
    <n v="0"/>
    <s v="NA"/>
    <s v="CarPort"/>
    <n v="1962"/>
    <s v="Unf"/>
    <n v="2"/>
    <n v="462"/>
    <s v="TA"/>
    <s v="TA"/>
    <s v="Y"/>
    <n v="0"/>
    <n v="0"/>
    <n v="0"/>
    <n v="0"/>
    <n v="0"/>
    <n v="0"/>
    <s v="NA"/>
    <s v="NA"/>
    <s v="NA"/>
    <n v="0"/>
    <n v="3"/>
    <n v="2007"/>
    <s v="WD"/>
    <s v="Normal"/>
    <n v="101800"/>
  </r>
  <r>
    <n v="1234"/>
    <n v="20"/>
    <s v="RL"/>
    <s v="NA"/>
    <n v="12160"/>
    <s v="Pave"/>
    <s v="NA"/>
    <s v="IR1"/>
    <s v="Lvl"/>
    <s v="AllPub"/>
    <s v="Inside"/>
    <s v="Gtl"/>
    <x v="11"/>
    <x v="0"/>
    <s v="Norm"/>
    <x v="0"/>
    <x v="1"/>
    <n v="5"/>
    <n v="5"/>
    <x v="28"/>
    <n v="1959"/>
    <s v="Hip"/>
    <s v="CompShg"/>
    <s v="Plywood"/>
    <s v="Plywood"/>
    <s v="BrkFace"/>
    <n v="180"/>
    <s v="TA"/>
    <s v="TA"/>
    <s v="CBlock"/>
    <s v="TA"/>
    <s v="TA"/>
    <s v="No"/>
    <s v="Rec"/>
    <n v="1000"/>
    <s v="Unf"/>
    <n v="0"/>
    <n v="188"/>
    <n v="1188"/>
    <s v="GasA"/>
    <s v="Fa"/>
    <s v="Y"/>
    <s v="SBrkr"/>
    <n v="1188"/>
    <n v="0"/>
    <n v="0"/>
    <x v="777"/>
    <n v="1"/>
    <n v="0"/>
    <n v="1"/>
    <n v="0"/>
    <n v="3"/>
    <n v="1"/>
    <s v="TA"/>
    <n v="6"/>
    <s v="Typ"/>
    <n v="0"/>
    <s v="NA"/>
    <s v="Attchd"/>
    <n v="1959"/>
    <s v="RFn"/>
    <n v="2"/>
    <n v="531"/>
    <s v="TA"/>
    <s v="TA"/>
    <s v="Y"/>
    <n v="0"/>
    <n v="0"/>
    <n v="0"/>
    <n v="0"/>
    <n v="0"/>
    <n v="0"/>
    <s v="NA"/>
    <s v="MnPrv"/>
    <s v="NA"/>
    <n v="0"/>
    <n v="5"/>
    <n v="2010"/>
    <s v="COD"/>
    <s v="Abnorml"/>
    <n v="142000"/>
  </r>
  <r>
    <n v="1235"/>
    <n v="70"/>
    <s v="RH"/>
    <n v="55"/>
    <n v="8525"/>
    <s v="Pave"/>
    <s v="NA"/>
    <s v="Reg"/>
    <s v="Bnk"/>
    <s v="AllPub"/>
    <s v="Inside"/>
    <s v="Gtl"/>
    <x v="23"/>
    <x v="0"/>
    <s v="Norm"/>
    <x v="0"/>
    <x v="0"/>
    <n v="5"/>
    <n v="6"/>
    <x v="108"/>
    <n v="1950"/>
    <s v="Gable"/>
    <s v="CompShg"/>
    <s v="MetalSd"/>
    <s v="MetalSd"/>
    <s v="None"/>
    <n v="0"/>
    <s v="TA"/>
    <s v="TA"/>
    <s v="PConc"/>
    <s v="TA"/>
    <s v="TA"/>
    <s v="Av"/>
    <s v="Unf"/>
    <n v="0"/>
    <s v="Unf"/>
    <n v="0"/>
    <n v="940"/>
    <n v="940"/>
    <s v="GasA"/>
    <s v="TA"/>
    <s v="N"/>
    <s v="FuseA"/>
    <n v="1024"/>
    <n v="940"/>
    <n v="0"/>
    <x v="724"/>
    <n v="0"/>
    <n v="0"/>
    <n v="1"/>
    <n v="1"/>
    <n v="4"/>
    <n v="1"/>
    <s v="TA"/>
    <n v="7"/>
    <s v="Typ"/>
    <n v="0"/>
    <s v="NA"/>
    <s v="NA"/>
    <s v="NA"/>
    <s v="NA"/>
    <n v="0"/>
    <n v="0"/>
    <s v="NA"/>
    <s v="NA"/>
    <s v="N"/>
    <n v="0"/>
    <n v="192"/>
    <n v="0"/>
    <n v="0"/>
    <n v="0"/>
    <n v="0"/>
    <s v="NA"/>
    <s v="NA"/>
    <s v="NA"/>
    <n v="0"/>
    <n v="11"/>
    <n v="2008"/>
    <s v="WD"/>
    <s v="Abnorml"/>
    <n v="130000"/>
  </r>
  <r>
    <n v="1236"/>
    <n v="70"/>
    <s v="RL"/>
    <n v="96"/>
    <n v="13132"/>
    <s v="Pave"/>
    <s v="NA"/>
    <s v="Reg"/>
    <s v="Lvl"/>
    <s v="AllPub"/>
    <s v="Inside"/>
    <s v="Gtl"/>
    <x v="2"/>
    <x v="0"/>
    <s v="Norm"/>
    <x v="0"/>
    <x v="0"/>
    <n v="5"/>
    <n v="5"/>
    <x v="101"/>
    <n v="1950"/>
    <s v="Gable"/>
    <s v="CompShg"/>
    <s v="Wd Sdng"/>
    <s v="Wd Sdng"/>
    <s v="None"/>
    <n v="0"/>
    <s v="TA"/>
    <s v="TA"/>
    <s v="BrkTil"/>
    <s v="Gd"/>
    <s v="TA"/>
    <s v="Mn"/>
    <s v="Unf"/>
    <n v="0"/>
    <s v="Unf"/>
    <n v="0"/>
    <n v="747"/>
    <n v="747"/>
    <s v="GasA"/>
    <s v="Gd"/>
    <s v="Y"/>
    <s v="FuseF"/>
    <n v="892"/>
    <n v="892"/>
    <n v="0"/>
    <x v="778"/>
    <n v="0"/>
    <n v="0"/>
    <n v="1"/>
    <n v="1"/>
    <n v="4"/>
    <n v="1"/>
    <s v="TA"/>
    <n v="9"/>
    <s v="Typ"/>
    <n v="0"/>
    <s v="NA"/>
    <s v="Detchd"/>
    <n v="1914"/>
    <s v="Unf"/>
    <n v="1"/>
    <n v="180"/>
    <s v="Fa"/>
    <s v="Fa"/>
    <s v="N"/>
    <n v="203"/>
    <n v="40"/>
    <n v="0"/>
    <n v="0"/>
    <n v="0"/>
    <n v="0"/>
    <s v="NA"/>
    <s v="NA"/>
    <s v="NA"/>
    <n v="0"/>
    <n v="7"/>
    <n v="2006"/>
    <s v="WD"/>
    <s v="Normal"/>
    <n v="138887"/>
  </r>
  <r>
    <n v="1237"/>
    <n v="160"/>
    <s v="RL"/>
    <n v="36"/>
    <n v="2628"/>
    <s v="Pave"/>
    <s v="NA"/>
    <s v="Reg"/>
    <s v="Lvl"/>
    <s v="AllPub"/>
    <s v="Inside"/>
    <s v="Gtl"/>
    <x v="10"/>
    <x v="0"/>
    <s v="Norm"/>
    <x v="4"/>
    <x v="0"/>
    <n v="7"/>
    <n v="5"/>
    <x v="0"/>
    <n v="2003"/>
    <s v="Gable"/>
    <s v="CompShg"/>
    <s v="VinylSd"/>
    <s v="Wd Shng"/>
    <s v="Stone"/>
    <n v="106"/>
    <s v="Gd"/>
    <s v="TA"/>
    <s v="PConc"/>
    <s v="Gd"/>
    <s v="TA"/>
    <s v="No"/>
    <s v="Unf"/>
    <n v="0"/>
    <s v="Unf"/>
    <n v="0"/>
    <n v="764"/>
    <n v="764"/>
    <s v="GasA"/>
    <s v="Ex"/>
    <s v="Y"/>
    <s v="SBrkr"/>
    <n v="764"/>
    <n v="862"/>
    <n v="0"/>
    <x v="292"/>
    <n v="0"/>
    <n v="0"/>
    <n v="2"/>
    <n v="1"/>
    <n v="2"/>
    <n v="1"/>
    <s v="Gd"/>
    <n v="6"/>
    <s v="Typ"/>
    <n v="0"/>
    <s v="NA"/>
    <s v="BuiltIn"/>
    <n v="2003"/>
    <s v="RFn"/>
    <n v="2"/>
    <n v="474"/>
    <s v="TA"/>
    <s v="TA"/>
    <s v="Y"/>
    <n v="0"/>
    <n v="27"/>
    <n v="0"/>
    <n v="0"/>
    <n v="0"/>
    <n v="0"/>
    <s v="NA"/>
    <s v="NA"/>
    <s v="NA"/>
    <n v="0"/>
    <n v="6"/>
    <n v="2010"/>
    <s v="WD"/>
    <s v="Normal"/>
    <n v="175500"/>
  </r>
  <r>
    <n v="1238"/>
    <n v="60"/>
    <s v="RL"/>
    <n v="41"/>
    <n v="12393"/>
    <s v="Pave"/>
    <s v="NA"/>
    <s v="IR2"/>
    <s v="Lvl"/>
    <s v="AllPub"/>
    <s v="FR2"/>
    <s v="Gtl"/>
    <x v="0"/>
    <x v="0"/>
    <s v="Norm"/>
    <x v="0"/>
    <x v="0"/>
    <n v="7"/>
    <n v="5"/>
    <x v="6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47"/>
    <n v="847"/>
    <s v="GasA"/>
    <s v="Ex"/>
    <s v="Y"/>
    <s v="SBrkr"/>
    <n v="847"/>
    <n v="1101"/>
    <n v="0"/>
    <x v="779"/>
    <n v="0"/>
    <n v="0"/>
    <n v="2"/>
    <n v="1"/>
    <n v="4"/>
    <n v="1"/>
    <s v="Gd"/>
    <n v="8"/>
    <s v="Typ"/>
    <n v="1"/>
    <s v="Gd"/>
    <s v="BuiltIn"/>
    <n v="2004"/>
    <s v="Fin"/>
    <n v="2"/>
    <n v="434"/>
    <s v="TA"/>
    <s v="TA"/>
    <s v="Y"/>
    <n v="100"/>
    <n v="48"/>
    <n v="0"/>
    <n v="0"/>
    <n v="0"/>
    <n v="0"/>
    <s v="NA"/>
    <s v="NA"/>
    <s v="NA"/>
    <n v="0"/>
    <n v="9"/>
    <n v="2006"/>
    <s v="WD"/>
    <s v="Normal"/>
    <n v="195000"/>
  </r>
  <r>
    <n v="1239"/>
    <n v="20"/>
    <s v="RL"/>
    <n v="63"/>
    <n v="13072"/>
    <s v="Pave"/>
    <s v="NA"/>
    <s v="Reg"/>
    <s v="Lvl"/>
    <s v="AllPub"/>
    <s v="Inside"/>
    <s v="Gtl"/>
    <x v="12"/>
    <x v="4"/>
    <s v="Norm"/>
    <x v="0"/>
    <x v="1"/>
    <n v="6"/>
    <n v="5"/>
    <x v="11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141"/>
    <n v="1141"/>
    <s v="GasA"/>
    <s v="Ex"/>
    <s v="Y"/>
    <s v="SBrkr"/>
    <n v="1141"/>
    <n v="0"/>
    <n v="0"/>
    <x v="780"/>
    <n v="0"/>
    <n v="0"/>
    <n v="1"/>
    <n v="1"/>
    <n v="3"/>
    <n v="1"/>
    <s v="TA"/>
    <n v="6"/>
    <s v="Typ"/>
    <n v="0"/>
    <s v="NA"/>
    <s v="Detchd"/>
    <n v="2005"/>
    <s v="Unf"/>
    <n v="2"/>
    <n v="484"/>
    <s v="TA"/>
    <s v="TA"/>
    <s v="Y"/>
    <n v="0"/>
    <n v="0"/>
    <n v="0"/>
    <n v="0"/>
    <n v="0"/>
    <n v="0"/>
    <s v="NA"/>
    <s v="NA"/>
    <s v="NA"/>
    <n v="0"/>
    <n v="3"/>
    <n v="2006"/>
    <s v="WD"/>
    <s v="Abnorml"/>
    <n v="142500"/>
  </r>
  <r>
    <n v="1240"/>
    <n v="20"/>
    <s v="RL"/>
    <n v="64"/>
    <n v="9037"/>
    <s v="Pave"/>
    <s v="NA"/>
    <s v="IR1"/>
    <s v="HLS"/>
    <s v="AllPub"/>
    <s v="Inside"/>
    <s v="Gtl"/>
    <x v="16"/>
    <x v="0"/>
    <s v="Norm"/>
    <x v="0"/>
    <x v="1"/>
    <n v="8"/>
    <n v="5"/>
    <x v="13"/>
    <n v="2006"/>
    <s v="Hip"/>
    <s v="CompShg"/>
    <s v="VinylSd"/>
    <s v="VinylSd"/>
    <s v="BrkFace"/>
    <n v="32"/>
    <s v="Gd"/>
    <s v="TA"/>
    <s v="PConc"/>
    <s v="Gd"/>
    <s v="TA"/>
    <s v="Av"/>
    <s v="GLQ"/>
    <n v="428"/>
    <s v="Unf"/>
    <n v="0"/>
    <n v="1048"/>
    <n v="1476"/>
    <s v="GasA"/>
    <s v="Ex"/>
    <s v="Y"/>
    <s v="SBrkr"/>
    <n v="1484"/>
    <n v="0"/>
    <n v="0"/>
    <x v="391"/>
    <n v="0"/>
    <n v="0"/>
    <n v="2"/>
    <n v="0"/>
    <n v="2"/>
    <n v="1"/>
    <s v="Ex"/>
    <n v="6"/>
    <s v="Typ"/>
    <n v="1"/>
    <s v="Gd"/>
    <s v="Attchd"/>
    <n v="2006"/>
    <s v="RFn"/>
    <n v="2"/>
    <n v="472"/>
    <s v="TA"/>
    <s v="TA"/>
    <s v="Y"/>
    <n v="120"/>
    <n v="33"/>
    <n v="0"/>
    <n v="0"/>
    <n v="0"/>
    <n v="0"/>
    <s v="NA"/>
    <s v="NA"/>
    <s v="NA"/>
    <n v="0"/>
    <n v="12"/>
    <n v="2007"/>
    <s v="WD"/>
    <s v="Normal"/>
    <n v="265900"/>
  </r>
  <r>
    <n v="1241"/>
    <n v="60"/>
    <s v="RL"/>
    <n v="65"/>
    <n v="8158"/>
    <s v="Pave"/>
    <s v="NA"/>
    <s v="Reg"/>
    <s v="Lvl"/>
    <s v="AllPub"/>
    <s v="Inside"/>
    <s v="Gtl"/>
    <x v="0"/>
    <x v="0"/>
    <s v="Norm"/>
    <x v="0"/>
    <x v="0"/>
    <n v="7"/>
    <n v="5"/>
    <x v="0"/>
    <n v="2003"/>
    <s v="Gable"/>
    <s v="CompShg"/>
    <s v="VinylSd"/>
    <s v="VinylSd"/>
    <s v="BrkFace"/>
    <n v="252"/>
    <s v="Gd"/>
    <s v="TA"/>
    <s v="PConc"/>
    <s v="Gd"/>
    <s v="TA"/>
    <s v="No"/>
    <s v="GLQ"/>
    <n v="550"/>
    <s v="Unf"/>
    <n v="0"/>
    <n v="334"/>
    <n v="884"/>
    <s v="GasA"/>
    <s v="Ex"/>
    <s v="Y"/>
    <s v="SBrkr"/>
    <n v="884"/>
    <n v="884"/>
    <n v="0"/>
    <x v="75"/>
    <n v="1"/>
    <n v="0"/>
    <n v="2"/>
    <n v="1"/>
    <n v="3"/>
    <n v="1"/>
    <s v="Gd"/>
    <n v="8"/>
    <s v="Typ"/>
    <n v="0"/>
    <s v="NA"/>
    <s v="Attchd"/>
    <n v="2003"/>
    <s v="RFn"/>
    <n v="2"/>
    <n v="543"/>
    <s v="TA"/>
    <s v="TA"/>
    <s v="Y"/>
    <n v="0"/>
    <n v="63"/>
    <n v="0"/>
    <n v="0"/>
    <n v="0"/>
    <n v="0"/>
    <s v="NA"/>
    <s v="NA"/>
    <s v="NA"/>
    <n v="0"/>
    <n v="7"/>
    <n v="2008"/>
    <s v="WD"/>
    <s v="Normal"/>
    <n v="224900"/>
  </r>
  <r>
    <n v="1242"/>
    <n v="20"/>
    <s v="RL"/>
    <n v="83"/>
    <n v="9849"/>
    <s v="Pave"/>
    <s v="NA"/>
    <s v="Reg"/>
    <s v="Lvl"/>
    <s v="AllPub"/>
    <s v="Inside"/>
    <s v="Gtl"/>
    <x v="5"/>
    <x v="0"/>
    <s v="Norm"/>
    <x v="0"/>
    <x v="1"/>
    <n v="7"/>
    <n v="6"/>
    <x v="22"/>
    <n v="2007"/>
    <s v="Hip"/>
    <s v="CompShg"/>
    <s v="VinylSd"/>
    <s v="VinylSd"/>
    <s v="Stone"/>
    <n v="0"/>
    <s v="Gd"/>
    <s v="TA"/>
    <s v="PConc"/>
    <s v="Gd"/>
    <s v="TA"/>
    <s v="Av"/>
    <s v="Unf"/>
    <n v="0"/>
    <s v="Unf"/>
    <n v="0"/>
    <n v="1689"/>
    <n v="1689"/>
    <s v="GasA"/>
    <s v="Ex"/>
    <s v="Y"/>
    <s v="SBrkr"/>
    <n v="1689"/>
    <n v="0"/>
    <n v="0"/>
    <x v="359"/>
    <n v="0"/>
    <n v="0"/>
    <n v="2"/>
    <n v="0"/>
    <n v="3"/>
    <n v="1"/>
    <s v="Gd"/>
    <n v="7"/>
    <s v="Typ"/>
    <n v="0"/>
    <s v="NA"/>
    <s v="Attchd"/>
    <n v="2007"/>
    <s v="RFn"/>
    <n v="3"/>
    <n v="954"/>
    <s v="TA"/>
    <s v="TA"/>
    <s v="Y"/>
    <n v="0"/>
    <n v="56"/>
    <n v="0"/>
    <n v="0"/>
    <n v="0"/>
    <n v="0"/>
    <s v="NA"/>
    <s v="NA"/>
    <s v="NA"/>
    <n v="0"/>
    <n v="6"/>
    <n v="2007"/>
    <s v="New"/>
    <s v="Partial"/>
    <n v="248328"/>
  </r>
  <r>
    <n v="1243"/>
    <n v="85"/>
    <s v="RL"/>
    <n v="85"/>
    <n v="10625"/>
    <s v="Pave"/>
    <s v="NA"/>
    <s v="Reg"/>
    <s v="Lvl"/>
    <s v="AllPub"/>
    <s v="Inside"/>
    <s v="Gtl"/>
    <x v="6"/>
    <x v="0"/>
    <s v="Norm"/>
    <x v="0"/>
    <x v="4"/>
    <n v="7"/>
    <n v="6"/>
    <x v="99"/>
    <n v="1974"/>
    <s v="Gable"/>
    <s v="CompShg"/>
    <s v="Plywood"/>
    <s v="Plywood"/>
    <s v="BrkFace"/>
    <n v="81"/>
    <s v="TA"/>
    <s v="TA"/>
    <s v="CBlock"/>
    <s v="Gd"/>
    <s v="TA"/>
    <s v="Gd"/>
    <s v="GLQ"/>
    <n v="885"/>
    <s v="LwQ"/>
    <n v="168"/>
    <n v="0"/>
    <n v="1053"/>
    <s v="GasA"/>
    <s v="TA"/>
    <s v="Y"/>
    <s v="SBrkr"/>
    <n v="1173"/>
    <n v="0"/>
    <n v="0"/>
    <x v="781"/>
    <n v="1"/>
    <n v="0"/>
    <n v="2"/>
    <n v="0"/>
    <n v="3"/>
    <n v="1"/>
    <s v="Gd"/>
    <n v="6"/>
    <s v="Typ"/>
    <n v="2"/>
    <s v="TA"/>
    <s v="Attchd"/>
    <n v="1974"/>
    <s v="RFn"/>
    <n v="2"/>
    <n v="528"/>
    <s v="TA"/>
    <s v="TA"/>
    <s v="Y"/>
    <n v="0"/>
    <n v="120"/>
    <n v="0"/>
    <n v="0"/>
    <n v="0"/>
    <n v="0"/>
    <s v="NA"/>
    <s v="MnPrv"/>
    <s v="NA"/>
    <n v="0"/>
    <n v="1"/>
    <n v="2010"/>
    <s v="WD"/>
    <s v="Family"/>
    <n v="170000"/>
  </r>
  <r>
    <n v="1244"/>
    <n v="20"/>
    <s v="RL"/>
    <n v="107"/>
    <n v="13891"/>
    <s v="Pave"/>
    <s v="NA"/>
    <s v="Reg"/>
    <s v="Lvl"/>
    <s v="AllPub"/>
    <s v="Inside"/>
    <s v="Gtl"/>
    <x v="10"/>
    <x v="0"/>
    <s v="Norm"/>
    <x v="0"/>
    <x v="1"/>
    <n v="10"/>
    <n v="5"/>
    <x v="13"/>
    <n v="2006"/>
    <s v="Gable"/>
    <s v="CompShg"/>
    <s v="VinylSd"/>
    <s v="VinylSd"/>
    <s v="NA"/>
    <s v="NA"/>
    <s v="Ex"/>
    <s v="TA"/>
    <s v="PConc"/>
    <s v="Ex"/>
    <s v="Gd"/>
    <s v="Gd"/>
    <s v="GLQ"/>
    <n v="1386"/>
    <s v="Unf"/>
    <n v="0"/>
    <n v="690"/>
    <n v="2076"/>
    <s v="GasA"/>
    <s v="Ex"/>
    <s v="Y"/>
    <s v="SBrkr"/>
    <n v="2076"/>
    <n v="0"/>
    <n v="0"/>
    <x v="782"/>
    <n v="1"/>
    <n v="0"/>
    <n v="2"/>
    <n v="1"/>
    <n v="2"/>
    <n v="1"/>
    <s v="Ex"/>
    <n v="7"/>
    <s v="Typ"/>
    <n v="1"/>
    <s v="Gd"/>
    <s v="Attchd"/>
    <n v="2006"/>
    <s v="Fin"/>
    <n v="3"/>
    <n v="850"/>
    <s v="TA"/>
    <s v="TA"/>
    <s v="Y"/>
    <n v="216"/>
    <n v="229"/>
    <n v="0"/>
    <n v="0"/>
    <n v="0"/>
    <n v="0"/>
    <s v="NA"/>
    <s v="NA"/>
    <s v="NA"/>
    <n v="0"/>
    <n v="9"/>
    <n v="2006"/>
    <s v="New"/>
    <s v="Partial"/>
    <n v="465000"/>
  </r>
  <r>
    <n v="1245"/>
    <n v="70"/>
    <s v="RL"/>
    <s v="NA"/>
    <n v="11435"/>
    <s v="Pave"/>
    <s v="NA"/>
    <s v="IR1"/>
    <s v="HLS"/>
    <s v="AllPub"/>
    <s v="Corner"/>
    <s v="Mod"/>
    <x v="2"/>
    <x v="0"/>
    <s v="Norm"/>
    <x v="0"/>
    <x v="0"/>
    <n v="8"/>
    <n v="7"/>
    <x v="15"/>
    <n v="1950"/>
    <s v="Gable"/>
    <s v="CompShg"/>
    <s v="BrkFace"/>
    <s v="Stucco"/>
    <s v="None"/>
    <n v="0"/>
    <s v="TA"/>
    <s v="TA"/>
    <s v="PConc"/>
    <s v="Gd"/>
    <s v="TA"/>
    <s v="No"/>
    <s v="Unf"/>
    <n v="0"/>
    <s v="Unf"/>
    <n v="0"/>
    <n v="792"/>
    <n v="792"/>
    <s v="GasA"/>
    <s v="Fa"/>
    <s v="Y"/>
    <s v="SBrkr"/>
    <n v="792"/>
    <n v="725"/>
    <n v="0"/>
    <x v="102"/>
    <n v="0"/>
    <n v="0"/>
    <n v="1"/>
    <n v="0"/>
    <n v="3"/>
    <n v="1"/>
    <s v="Gd"/>
    <n v="7"/>
    <s v="Typ"/>
    <n v="2"/>
    <s v="Gd"/>
    <s v="Detchd"/>
    <n v="1931"/>
    <s v="Unf"/>
    <n v="2"/>
    <n v="400"/>
    <s v="TA"/>
    <s v="TA"/>
    <s v="Y"/>
    <n v="0"/>
    <n v="0"/>
    <n v="0"/>
    <n v="0"/>
    <n v="0"/>
    <n v="0"/>
    <s v="NA"/>
    <s v="NA"/>
    <s v="NA"/>
    <n v="0"/>
    <n v="6"/>
    <n v="2006"/>
    <s v="WD"/>
    <s v="Normal"/>
    <n v="230000"/>
  </r>
  <r>
    <n v="1246"/>
    <n v="80"/>
    <s v="RL"/>
    <n v="78"/>
    <n v="12090"/>
    <s v="Pave"/>
    <s v="NA"/>
    <s v="Reg"/>
    <s v="Lvl"/>
    <s v="AllPub"/>
    <s v="Inside"/>
    <s v="Gtl"/>
    <x v="6"/>
    <x v="0"/>
    <s v="Norm"/>
    <x v="0"/>
    <x v="5"/>
    <n v="6"/>
    <n v="7"/>
    <x v="68"/>
    <n v="2003"/>
    <s v="Hip"/>
    <s v="CompShg"/>
    <s v="VinylSd"/>
    <s v="VinylSd"/>
    <s v="BrkFace"/>
    <n v="74"/>
    <s v="TA"/>
    <s v="TA"/>
    <s v="CBlock"/>
    <s v="Gd"/>
    <s v="TA"/>
    <s v="No"/>
    <s v="Unf"/>
    <n v="0"/>
    <s v="Unf"/>
    <n v="0"/>
    <n v="585"/>
    <n v="585"/>
    <s v="GasA"/>
    <s v="Ex"/>
    <s v="Y"/>
    <s v="SBrkr"/>
    <n v="1140"/>
    <n v="728"/>
    <n v="0"/>
    <x v="735"/>
    <n v="0"/>
    <n v="0"/>
    <n v="3"/>
    <n v="1"/>
    <n v="3"/>
    <n v="1"/>
    <s v="TA"/>
    <n v="7"/>
    <s v="Typ"/>
    <n v="1"/>
    <s v="TA"/>
    <s v="BuiltIn"/>
    <n v="1984"/>
    <s v="Fin"/>
    <n v="2"/>
    <n v="477"/>
    <s v="TA"/>
    <s v="TA"/>
    <s v="Y"/>
    <n v="268"/>
    <n v="112"/>
    <n v="0"/>
    <n v="0"/>
    <n v="147"/>
    <n v="0"/>
    <s v="NA"/>
    <s v="NA"/>
    <s v="NA"/>
    <n v="0"/>
    <n v="1"/>
    <n v="2007"/>
    <s v="WD"/>
    <s v="Abnorml"/>
    <n v="178000"/>
  </r>
  <r>
    <n v="1247"/>
    <n v="60"/>
    <s v="FV"/>
    <n v="65"/>
    <n v="8125"/>
    <s v="Pave"/>
    <s v="NA"/>
    <s v="Reg"/>
    <s v="Lvl"/>
    <s v="AllPub"/>
    <s v="Inside"/>
    <s v="Gtl"/>
    <x v="5"/>
    <x v="0"/>
    <s v="Norm"/>
    <x v="0"/>
    <x v="0"/>
    <n v="7"/>
    <n v="5"/>
    <x v="11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56"/>
    <n v="756"/>
    <s v="GasA"/>
    <s v="Ex"/>
    <s v="Y"/>
    <s v="SBrkr"/>
    <n v="756"/>
    <n v="797"/>
    <n v="0"/>
    <x v="783"/>
    <n v="0"/>
    <n v="0"/>
    <n v="2"/>
    <n v="1"/>
    <n v="3"/>
    <n v="1"/>
    <s v="Gd"/>
    <n v="6"/>
    <s v="Typ"/>
    <n v="0"/>
    <s v="NA"/>
    <s v="Attchd"/>
    <n v="2005"/>
    <s v="RFn"/>
    <n v="2"/>
    <n v="615"/>
    <s v="TA"/>
    <s v="TA"/>
    <s v="Y"/>
    <n v="0"/>
    <n v="45"/>
    <n v="0"/>
    <n v="0"/>
    <n v="0"/>
    <n v="0"/>
    <s v="NA"/>
    <s v="NA"/>
    <s v="NA"/>
    <n v="0"/>
    <n v="3"/>
    <n v="2006"/>
    <s v="New"/>
    <s v="Partial"/>
    <n v="186500"/>
  </r>
  <r>
    <n v="1248"/>
    <n v="80"/>
    <s v="RL"/>
    <s v="NA"/>
    <n v="12328"/>
    <s v="Pave"/>
    <s v="NA"/>
    <s v="IR1"/>
    <s v="Lvl"/>
    <s v="AllPub"/>
    <s v="Inside"/>
    <s v="Gtl"/>
    <x v="4"/>
    <x v="0"/>
    <s v="Norm"/>
    <x v="0"/>
    <x v="5"/>
    <n v="6"/>
    <n v="5"/>
    <x v="1"/>
    <n v="1976"/>
    <s v="Gable"/>
    <s v="CompShg"/>
    <s v="HdBoard"/>
    <s v="HdBoard"/>
    <s v="BrkFace"/>
    <n v="335"/>
    <s v="TA"/>
    <s v="TA"/>
    <s v="CBlock"/>
    <s v="TA"/>
    <s v="TA"/>
    <s v="Av"/>
    <s v="GLQ"/>
    <n v="539"/>
    <s v="Unf"/>
    <n v="0"/>
    <n v="473"/>
    <n v="1012"/>
    <s v="GasA"/>
    <s v="TA"/>
    <s v="Y"/>
    <s v="SBrkr"/>
    <n v="1034"/>
    <n v="0"/>
    <n v="0"/>
    <x v="326"/>
    <n v="1"/>
    <n v="0"/>
    <n v="1"/>
    <n v="0"/>
    <n v="3"/>
    <n v="1"/>
    <s v="TA"/>
    <n v="6"/>
    <s v="Typ"/>
    <n v="0"/>
    <s v="NA"/>
    <s v="Attchd"/>
    <n v="1976"/>
    <s v="Unf"/>
    <n v="3"/>
    <n v="888"/>
    <s v="TA"/>
    <s v="TA"/>
    <s v="Y"/>
    <n v="0"/>
    <n v="0"/>
    <n v="0"/>
    <n v="0"/>
    <n v="0"/>
    <n v="0"/>
    <s v="NA"/>
    <s v="NA"/>
    <s v="NA"/>
    <n v="0"/>
    <n v="5"/>
    <n v="2010"/>
    <s v="WD"/>
    <s v="Normal"/>
    <n v="169900"/>
  </r>
  <r>
    <n v="1249"/>
    <n v="75"/>
    <s v="RM"/>
    <n v="60"/>
    <n v="9600"/>
    <s v="Pave"/>
    <s v="Grvl"/>
    <s v="Reg"/>
    <s v="Lvl"/>
    <s v="AllPub"/>
    <s v="Inside"/>
    <s v="Gtl"/>
    <x v="7"/>
    <x v="0"/>
    <s v="Norm"/>
    <x v="0"/>
    <x v="6"/>
    <n v="6"/>
    <n v="5"/>
    <x v="109"/>
    <n v="1950"/>
    <s v="Gable"/>
    <s v="CompShg"/>
    <s v="AsbShng"/>
    <s v="AsbShng"/>
    <s v="None"/>
    <n v="0"/>
    <s v="TA"/>
    <s v="TA"/>
    <s v="BrkTil"/>
    <s v="Gd"/>
    <s v="TA"/>
    <s v="No"/>
    <s v="Rec"/>
    <n v="319"/>
    <s v="Unf"/>
    <n v="0"/>
    <n v="416"/>
    <n v="735"/>
    <s v="OthW"/>
    <s v="Fa"/>
    <s v="N"/>
    <s v="SBrkr"/>
    <n v="1134"/>
    <n v="924"/>
    <n v="0"/>
    <x v="784"/>
    <n v="0"/>
    <n v="0"/>
    <n v="1"/>
    <n v="1"/>
    <n v="3"/>
    <n v="1"/>
    <s v="TA"/>
    <n v="8"/>
    <s v="Typ"/>
    <n v="1"/>
    <s v="Gd"/>
    <s v="Detchd"/>
    <n v="1950"/>
    <s v="Unf"/>
    <n v="2"/>
    <n v="396"/>
    <s v="Fa"/>
    <s v="Fa"/>
    <s v="P"/>
    <n v="0"/>
    <n v="0"/>
    <n v="259"/>
    <n v="0"/>
    <n v="0"/>
    <n v="0"/>
    <s v="NA"/>
    <s v="NA"/>
    <s v="NA"/>
    <n v="0"/>
    <n v="4"/>
    <n v="2008"/>
    <s v="WD"/>
    <s v="Normal"/>
    <n v="129500"/>
  </r>
  <r>
    <n v="1250"/>
    <n v="20"/>
    <s v="RL"/>
    <n v="60"/>
    <n v="7200"/>
    <s v="Pave"/>
    <s v="NA"/>
    <s v="Reg"/>
    <s v="Lvl"/>
    <s v="AllPub"/>
    <s v="Inside"/>
    <s v="Gtl"/>
    <x v="11"/>
    <x v="0"/>
    <s v="Norm"/>
    <x v="0"/>
    <x v="1"/>
    <n v="5"/>
    <n v="7"/>
    <x v="52"/>
    <n v="1950"/>
    <s v="Gable"/>
    <s v="CompShg"/>
    <s v="MetalSd"/>
    <s v="MetalSd"/>
    <s v="None"/>
    <n v="0"/>
    <s v="TA"/>
    <s v="TA"/>
    <s v="CBlock"/>
    <s v="TA"/>
    <s v="TA"/>
    <s v="No"/>
    <s v="BLQ"/>
    <n v="534"/>
    <s v="Rec"/>
    <n v="96"/>
    <n v="246"/>
    <n v="876"/>
    <s v="GasA"/>
    <s v="TA"/>
    <s v="Y"/>
    <s v="SBrkr"/>
    <n v="988"/>
    <n v="0"/>
    <n v="0"/>
    <x v="72"/>
    <n v="0"/>
    <n v="0"/>
    <n v="1"/>
    <n v="0"/>
    <n v="3"/>
    <n v="1"/>
    <s v="TA"/>
    <n v="6"/>
    <s v="Typ"/>
    <n v="0"/>
    <s v="NA"/>
    <s v="Attchd"/>
    <n v="1950"/>
    <s v="Unf"/>
    <n v="1"/>
    <n v="276"/>
    <s v="TA"/>
    <s v="TA"/>
    <s v="Y"/>
    <n v="0"/>
    <n v="80"/>
    <n v="0"/>
    <n v="0"/>
    <n v="0"/>
    <n v="0"/>
    <s v="NA"/>
    <s v="NA"/>
    <s v="NA"/>
    <n v="0"/>
    <n v="5"/>
    <n v="2007"/>
    <s v="WD"/>
    <s v="Normal"/>
    <n v="119000"/>
  </r>
  <r>
    <n v="1251"/>
    <n v="20"/>
    <s v="RL"/>
    <n v="93"/>
    <n v="11160"/>
    <s v="Pave"/>
    <s v="NA"/>
    <s v="Reg"/>
    <s v="Lvl"/>
    <s v="AllPub"/>
    <s v="Corner"/>
    <s v="Gtl"/>
    <x v="11"/>
    <x v="0"/>
    <s v="Norm"/>
    <x v="0"/>
    <x v="1"/>
    <n v="7"/>
    <n v="5"/>
    <x v="21"/>
    <n v="1968"/>
    <s v="Hip"/>
    <s v="CompShg"/>
    <s v="BrkFace"/>
    <s v="BrkFace"/>
    <s v="None"/>
    <n v="0"/>
    <s v="Gd"/>
    <s v="TA"/>
    <s v="CBlock"/>
    <s v="TA"/>
    <s v="TA"/>
    <s v="No"/>
    <s v="ALQ"/>
    <n v="1065"/>
    <s v="Unf"/>
    <n v="0"/>
    <n v="1045"/>
    <n v="2110"/>
    <s v="GasA"/>
    <s v="Ex"/>
    <s v="Y"/>
    <s v="SBrkr"/>
    <n v="2110"/>
    <n v="0"/>
    <n v="0"/>
    <x v="212"/>
    <n v="1"/>
    <n v="0"/>
    <n v="2"/>
    <n v="1"/>
    <n v="3"/>
    <n v="1"/>
    <s v="Ex"/>
    <n v="8"/>
    <s v="Typ"/>
    <n v="2"/>
    <s v="TA"/>
    <s v="Attchd"/>
    <n v="1968"/>
    <s v="Fin"/>
    <n v="2"/>
    <n v="522"/>
    <s v="TA"/>
    <s v="TA"/>
    <s v="Y"/>
    <n v="0"/>
    <n v="0"/>
    <n v="0"/>
    <n v="0"/>
    <n v="0"/>
    <n v="0"/>
    <s v="NA"/>
    <s v="NA"/>
    <s v="NA"/>
    <n v="0"/>
    <n v="4"/>
    <n v="2010"/>
    <s v="WD"/>
    <s v="Normal"/>
    <n v="244000"/>
  </r>
  <r>
    <n v="1252"/>
    <n v="120"/>
    <s v="RL"/>
    <s v="NA"/>
    <n v="3136"/>
    <s v="Pave"/>
    <s v="NA"/>
    <s v="IR1"/>
    <s v="Lvl"/>
    <s v="AllPub"/>
    <s v="Corner"/>
    <s v="Gtl"/>
    <x v="10"/>
    <x v="0"/>
    <s v="Norm"/>
    <x v="3"/>
    <x v="1"/>
    <n v="7"/>
    <n v="5"/>
    <x v="0"/>
    <n v="2003"/>
    <s v="Gable"/>
    <s v="CompShg"/>
    <s v="VinylSd"/>
    <s v="Wd Shng"/>
    <s v="Stone"/>
    <n v="163"/>
    <s v="Gd"/>
    <s v="TA"/>
    <s v="PConc"/>
    <s v="Gd"/>
    <s v="TA"/>
    <s v="No"/>
    <s v="Unf"/>
    <n v="0"/>
    <s v="Unf"/>
    <n v="0"/>
    <n v="1405"/>
    <n v="1405"/>
    <s v="GasA"/>
    <s v="Ex"/>
    <s v="Y"/>
    <s v="SBrkr"/>
    <n v="1405"/>
    <n v="0"/>
    <n v="0"/>
    <x v="785"/>
    <n v="0"/>
    <n v="0"/>
    <n v="2"/>
    <n v="0"/>
    <n v="2"/>
    <n v="1"/>
    <s v="Gd"/>
    <n v="6"/>
    <s v="Typ"/>
    <n v="1"/>
    <s v="Gd"/>
    <s v="Attchd"/>
    <n v="2003"/>
    <s v="RFn"/>
    <n v="2"/>
    <n v="478"/>
    <s v="TA"/>
    <s v="TA"/>
    <s v="Y"/>
    <n v="148"/>
    <n v="36"/>
    <n v="0"/>
    <n v="0"/>
    <n v="0"/>
    <n v="0"/>
    <s v="NA"/>
    <s v="NA"/>
    <s v="NA"/>
    <n v="0"/>
    <n v="3"/>
    <n v="2006"/>
    <s v="WD"/>
    <s v="Normal"/>
    <n v="171750"/>
  </r>
  <r>
    <n v="1253"/>
    <n v="20"/>
    <s v="RL"/>
    <n v="62"/>
    <n v="9858"/>
    <s v="Pave"/>
    <s v="NA"/>
    <s v="Reg"/>
    <s v="Lvl"/>
    <s v="AllPub"/>
    <s v="Inside"/>
    <s v="Gtl"/>
    <x v="4"/>
    <x v="0"/>
    <s v="Norm"/>
    <x v="0"/>
    <x v="1"/>
    <n v="5"/>
    <n v="6"/>
    <x v="21"/>
    <n v="1968"/>
    <s v="Gable"/>
    <s v="CompShg"/>
    <s v="HdBoard"/>
    <s v="HdBoard"/>
    <s v="None"/>
    <n v="0"/>
    <s v="TA"/>
    <s v="TA"/>
    <s v="CBlock"/>
    <s v="TA"/>
    <s v="TA"/>
    <s v="No"/>
    <s v="BLQ"/>
    <n v="510"/>
    <s v="Unf"/>
    <n v="0"/>
    <n v="354"/>
    <n v="864"/>
    <s v="GasA"/>
    <s v="TA"/>
    <s v="Y"/>
    <s v="SBrkr"/>
    <n v="874"/>
    <n v="0"/>
    <n v="0"/>
    <x v="786"/>
    <n v="1"/>
    <n v="0"/>
    <n v="1"/>
    <n v="0"/>
    <n v="3"/>
    <n v="1"/>
    <s v="TA"/>
    <n v="5"/>
    <s v="Typ"/>
    <n v="0"/>
    <s v="NA"/>
    <s v="Attchd"/>
    <n v="1968"/>
    <s v="RFn"/>
    <n v="1"/>
    <n v="288"/>
    <s v="TA"/>
    <s v="TA"/>
    <s v="Y"/>
    <n v="33"/>
    <n v="0"/>
    <n v="0"/>
    <n v="0"/>
    <n v="0"/>
    <n v="0"/>
    <s v="NA"/>
    <s v="GdWo"/>
    <s v="Shed"/>
    <n v="600"/>
    <n v="11"/>
    <n v="2009"/>
    <s v="WD"/>
    <s v="Normal"/>
    <n v="130000"/>
  </r>
  <r>
    <n v="1254"/>
    <n v="60"/>
    <s v="RL"/>
    <s v="NA"/>
    <n v="17542"/>
    <s v="Pave"/>
    <s v="NA"/>
    <s v="IR1"/>
    <s v="Lvl"/>
    <s v="AllPub"/>
    <s v="Inside"/>
    <s v="Gtl"/>
    <x v="1"/>
    <x v="0"/>
    <s v="Norm"/>
    <x v="0"/>
    <x v="0"/>
    <n v="7"/>
    <n v="7"/>
    <x v="99"/>
    <n v="2003"/>
    <s v="Gable"/>
    <s v="CompShg"/>
    <s v="Wd Sdng"/>
    <s v="Wd Sdng"/>
    <s v="None"/>
    <n v="0"/>
    <s v="Gd"/>
    <s v="TA"/>
    <s v="CBlock"/>
    <s v="TA"/>
    <s v="TA"/>
    <s v="Gd"/>
    <s v="LwQ"/>
    <n v="125"/>
    <s v="ALQ"/>
    <n v="1031"/>
    <n v="36"/>
    <n v="1192"/>
    <s v="GasA"/>
    <s v="TA"/>
    <s v="Y"/>
    <s v="SBrkr"/>
    <n v="1516"/>
    <n v="651"/>
    <n v="0"/>
    <x v="787"/>
    <n v="1"/>
    <n v="0"/>
    <n v="2"/>
    <n v="1"/>
    <n v="3"/>
    <n v="1"/>
    <s v="Gd"/>
    <n v="9"/>
    <s v="Typ"/>
    <n v="2"/>
    <s v="Gd"/>
    <s v="Attchd"/>
    <n v="1974"/>
    <s v="RFn"/>
    <n v="2"/>
    <n v="518"/>
    <s v="TA"/>
    <s v="TA"/>
    <s v="Y"/>
    <n v="220"/>
    <n v="47"/>
    <n v="0"/>
    <n v="0"/>
    <n v="0"/>
    <n v="0"/>
    <s v="NA"/>
    <s v="MnPrv"/>
    <s v="NA"/>
    <n v="0"/>
    <n v="7"/>
    <n v="2007"/>
    <s v="WD"/>
    <s v="Normal"/>
    <n v="294000"/>
  </r>
  <r>
    <n v="1255"/>
    <n v="60"/>
    <s v="RL"/>
    <n v="60"/>
    <n v="6931"/>
    <s v="Pave"/>
    <s v="NA"/>
    <s v="Reg"/>
    <s v="Lvl"/>
    <s v="AllPub"/>
    <s v="Inside"/>
    <s v="Gtl"/>
    <x v="15"/>
    <x v="0"/>
    <s v="Norm"/>
    <x v="0"/>
    <x v="0"/>
    <n v="7"/>
    <n v="5"/>
    <x v="0"/>
    <n v="2004"/>
    <s v="Gable"/>
    <s v="CompShg"/>
    <s v="VinylSd"/>
    <s v="VinylSd"/>
    <s v="Stone"/>
    <n v="92"/>
    <s v="Gd"/>
    <s v="TA"/>
    <s v="PConc"/>
    <s v="Gd"/>
    <s v="TA"/>
    <s v="No"/>
    <s v="Unf"/>
    <n v="0"/>
    <s v="Unf"/>
    <n v="0"/>
    <n v="746"/>
    <n v="746"/>
    <s v="GasA"/>
    <s v="Ex"/>
    <s v="Y"/>
    <s v="SBrkr"/>
    <n v="760"/>
    <n v="896"/>
    <n v="0"/>
    <x v="45"/>
    <n v="0"/>
    <n v="0"/>
    <n v="2"/>
    <n v="1"/>
    <n v="3"/>
    <n v="1"/>
    <s v="Gd"/>
    <n v="7"/>
    <s v="Typ"/>
    <n v="1"/>
    <s v="Gd"/>
    <s v="BuiltIn"/>
    <n v="2003"/>
    <s v="Fin"/>
    <n v="2"/>
    <n v="397"/>
    <s v="TA"/>
    <s v="TA"/>
    <s v="Y"/>
    <n v="178"/>
    <n v="128"/>
    <n v="0"/>
    <n v="0"/>
    <n v="0"/>
    <n v="0"/>
    <s v="NA"/>
    <s v="NA"/>
    <s v="NA"/>
    <n v="0"/>
    <n v="7"/>
    <n v="2008"/>
    <s v="WD"/>
    <s v="Normal"/>
    <n v="165400"/>
  </r>
  <r>
    <n v="1256"/>
    <n v="50"/>
    <s v="RM"/>
    <n v="52"/>
    <n v="6240"/>
    <s v="Pave"/>
    <s v="NA"/>
    <s v="Reg"/>
    <s v="Lvl"/>
    <s v="AllPub"/>
    <s v="Inside"/>
    <s v="Gtl"/>
    <x v="8"/>
    <x v="0"/>
    <s v="Norm"/>
    <x v="0"/>
    <x v="2"/>
    <n v="6"/>
    <n v="6"/>
    <x v="8"/>
    <n v="1950"/>
    <s v="Gable"/>
    <s v="CompShg"/>
    <s v="Wd Sdng"/>
    <s v="Wd Sdng"/>
    <s v="None"/>
    <n v="0"/>
    <s v="TA"/>
    <s v="TA"/>
    <s v="BrkTil"/>
    <s v="TA"/>
    <s v="Fa"/>
    <s v="No"/>
    <s v="LwQ"/>
    <n v="425"/>
    <s v="Unf"/>
    <n v="0"/>
    <n v="459"/>
    <n v="884"/>
    <s v="GasA"/>
    <s v="TA"/>
    <s v="Y"/>
    <s v="FuseA"/>
    <n v="959"/>
    <n v="408"/>
    <n v="0"/>
    <x v="323"/>
    <n v="0"/>
    <n v="0"/>
    <n v="1"/>
    <n v="0"/>
    <n v="3"/>
    <n v="1"/>
    <s v="TA"/>
    <n v="6"/>
    <s v="Typ"/>
    <n v="1"/>
    <s v="Gd"/>
    <s v="Detchd"/>
    <n v="1978"/>
    <s v="Unf"/>
    <n v="1"/>
    <n v="560"/>
    <s v="TA"/>
    <s v="TA"/>
    <s v="Y"/>
    <n v="0"/>
    <n v="0"/>
    <n v="0"/>
    <n v="0"/>
    <n v="120"/>
    <n v="0"/>
    <s v="NA"/>
    <s v="NA"/>
    <s v="NA"/>
    <n v="0"/>
    <n v="11"/>
    <n v="2007"/>
    <s v="WD"/>
    <s v="Normal"/>
    <n v="127500"/>
  </r>
  <r>
    <n v="1257"/>
    <n v="20"/>
    <s v="RL"/>
    <n v="91"/>
    <n v="14303"/>
    <s v="Pave"/>
    <s v="NA"/>
    <s v="IR1"/>
    <s v="Lvl"/>
    <s v="AllPub"/>
    <s v="Corner"/>
    <s v="Gtl"/>
    <x v="3"/>
    <x v="0"/>
    <s v="Norm"/>
    <x v="0"/>
    <x v="1"/>
    <n v="8"/>
    <n v="5"/>
    <x v="29"/>
    <n v="1994"/>
    <s v="Hip"/>
    <s v="CompShg"/>
    <s v="HdBoard"/>
    <s v="HdBoard"/>
    <s v="BrkFace"/>
    <n v="554"/>
    <s v="Gd"/>
    <s v="TA"/>
    <s v="PConc"/>
    <s v="Gd"/>
    <s v="TA"/>
    <s v="Gd"/>
    <s v="GLQ"/>
    <n v="1314"/>
    <s v="Unf"/>
    <n v="0"/>
    <n v="672"/>
    <n v="1986"/>
    <s v="GasA"/>
    <s v="Ex"/>
    <s v="Y"/>
    <s v="SBrkr"/>
    <n v="1987"/>
    <n v="0"/>
    <n v="0"/>
    <x v="788"/>
    <n v="1"/>
    <n v="0"/>
    <n v="2"/>
    <n v="0"/>
    <n v="2"/>
    <n v="1"/>
    <s v="Gd"/>
    <n v="7"/>
    <s v="Typ"/>
    <n v="1"/>
    <s v="TA"/>
    <s v="Attchd"/>
    <n v="1994"/>
    <s v="Fin"/>
    <n v="2"/>
    <n v="691"/>
    <s v="TA"/>
    <s v="TA"/>
    <s v="Y"/>
    <n v="262"/>
    <n v="36"/>
    <n v="0"/>
    <n v="0"/>
    <n v="0"/>
    <n v="0"/>
    <s v="NA"/>
    <s v="NA"/>
    <s v="NA"/>
    <n v="0"/>
    <n v="8"/>
    <n v="2008"/>
    <s v="WD"/>
    <s v="Normal"/>
    <n v="301500"/>
  </r>
  <r>
    <n v="1258"/>
    <n v="30"/>
    <s v="RL"/>
    <n v="56"/>
    <n v="4060"/>
    <s v="Pave"/>
    <s v="NA"/>
    <s v="Reg"/>
    <s v="Lvl"/>
    <s v="AllPub"/>
    <s v="Corner"/>
    <s v="Gtl"/>
    <x v="15"/>
    <x v="1"/>
    <s v="Norm"/>
    <x v="0"/>
    <x v="1"/>
    <n v="5"/>
    <n v="8"/>
    <x v="91"/>
    <n v="1950"/>
    <s v="Gable"/>
    <s v="CompShg"/>
    <s v="Wd Sdng"/>
    <s v="Wd Sdng"/>
    <s v="None"/>
    <n v="0"/>
    <s v="TA"/>
    <s v="TA"/>
    <s v="PConc"/>
    <s v="Fa"/>
    <s v="TA"/>
    <s v="No"/>
    <s v="Unf"/>
    <n v="0"/>
    <s v="Unf"/>
    <n v="0"/>
    <n v="864"/>
    <n v="864"/>
    <s v="GasA"/>
    <s v="Ex"/>
    <s v="Y"/>
    <s v="SBrkr"/>
    <n v="864"/>
    <n v="0"/>
    <n v="0"/>
    <x v="132"/>
    <n v="0"/>
    <n v="0"/>
    <n v="1"/>
    <n v="0"/>
    <n v="2"/>
    <n v="1"/>
    <s v="TA"/>
    <n v="4"/>
    <s v="Typ"/>
    <n v="0"/>
    <s v="NA"/>
    <s v="NA"/>
    <s v="NA"/>
    <s v="NA"/>
    <n v="0"/>
    <n v="0"/>
    <s v="NA"/>
    <s v="NA"/>
    <s v="Y"/>
    <n v="0"/>
    <n v="96"/>
    <n v="0"/>
    <n v="0"/>
    <n v="0"/>
    <n v="0"/>
    <s v="NA"/>
    <s v="NA"/>
    <s v="NA"/>
    <n v="0"/>
    <n v="7"/>
    <n v="2009"/>
    <s v="WD"/>
    <s v="Normal"/>
    <n v="99900"/>
  </r>
  <r>
    <n v="1259"/>
    <n v="80"/>
    <s v="RL"/>
    <n v="59"/>
    <n v="9587"/>
    <s v="Pave"/>
    <s v="NA"/>
    <s v="IR1"/>
    <s v="Lvl"/>
    <s v="AllPub"/>
    <s v="Inside"/>
    <s v="Gtl"/>
    <x v="17"/>
    <x v="0"/>
    <s v="Norm"/>
    <x v="0"/>
    <x v="5"/>
    <n v="7"/>
    <n v="5"/>
    <x v="11"/>
    <n v="2005"/>
    <s v="Gable"/>
    <s v="CompShg"/>
    <s v="VinylSd"/>
    <s v="VinylSd"/>
    <s v="Stone"/>
    <n v="182"/>
    <s v="Gd"/>
    <s v="TA"/>
    <s v="PConc"/>
    <s v="Gd"/>
    <s v="TA"/>
    <s v="Gd"/>
    <s v="GLQ"/>
    <n v="655"/>
    <s v="Unf"/>
    <n v="0"/>
    <n v="201"/>
    <n v="856"/>
    <s v="GasA"/>
    <s v="Ex"/>
    <s v="Y"/>
    <s v="SBrkr"/>
    <n v="1166"/>
    <n v="0"/>
    <n v="0"/>
    <x v="789"/>
    <n v="1"/>
    <n v="0"/>
    <n v="2"/>
    <n v="0"/>
    <n v="2"/>
    <n v="1"/>
    <s v="Gd"/>
    <n v="5"/>
    <s v="Typ"/>
    <n v="0"/>
    <s v="NA"/>
    <s v="Attchd"/>
    <n v="2005"/>
    <s v="Fin"/>
    <n v="2"/>
    <n v="400"/>
    <s v="TA"/>
    <s v="TA"/>
    <s v="Y"/>
    <n v="212"/>
    <n v="0"/>
    <n v="0"/>
    <n v="0"/>
    <n v="0"/>
    <n v="0"/>
    <s v="NA"/>
    <s v="NA"/>
    <s v="NA"/>
    <n v="0"/>
    <n v="7"/>
    <n v="2008"/>
    <s v="WD"/>
    <s v="Normal"/>
    <n v="190000"/>
  </r>
  <r>
    <n v="1260"/>
    <n v="20"/>
    <s v="RL"/>
    <n v="65"/>
    <n v="9750"/>
    <s v="Pave"/>
    <s v="NA"/>
    <s v="Reg"/>
    <s v="Lvl"/>
    <s v="AllPub"/>
    <s v="FR2"/>
    <s v="Gtl"/>
    <x v="11"/>
    <x v="0"/>
    <s v="Norm"/>
    <x v="0"/>
    <x v="1"/>
    <n v="6"/>
    <n v="8"/>
    <x v="60"/>
    <n v="1969"/>
    <s v="Gable"/>
    <s v="CompShg"/>
    <s v="HdBoard"/>
    <s v="HdBoard"/>
    <s v="None"/>
    <n v="0"/>
    <s v="TA"/>
    <s v="TA"/>
    <s v="CBlock"/>
    <s v="Gd"/>
    <s v="TA"/>
    <s v="No"/>
    <s v="ALQ"/>
    <n v="602"/>
    <s v="LwQ"/>
    <n v="438"/>
    <n v="14"/>
    <n v="1054"/>
    <s v="GasA"/>
    <s v="Gd"/>
    <s v="Y"/>
    <s v="SBrkr"/>
    <n v="1054"/>
    <n v="0"/>
    <n v="0"/>
    <x v="475"/>
    <n v="1"/>
    <n v="0"/>
    <n v="1"/>
    <n v="1"/>
    <n v="3"/>
    <n v="1"/>
    <s v="TA"/>
    <n v="6"/>
    <s v="Typ"/>
    <n v="0"/>
    <s v="NA"/>
    <s v="Attchd"/>
    <n v="1969"/>
    <s v="Unf"/>
    <n v="2"/>
    <n v="460"/>
    <s v="TA"/>
    <s v="TA"/>
    <s v="Y"/>
    <n v="180"/>
    <n v="0"/>
    <n v="0"/>
    <n v="0"/>
    <n v="80"/>
    <n v="0"/>
    <s v="NA"/>
    <s v="NA"/>
    <s v="NA"/>
    <n v="0"/>
    <n v="7"/>
    <n v="2008"/>
    <s v="WD"/>
    <s v="Normal"/>
    <n v="151000"/>
  </r>
  <r>
    <n v="1261"/>
    <n v="60"/>
    <s v="RL"/>
    <s v="NA"/>
    <n v="24682"/>
    <s v="Pave"/>
    <s v="NA"/>
    <s v="IR3"/>
    <s v="Lvl"/>
    <s v="AllPub"/>
    <s v="CulDSac"/>
    <s v="Gtl"/>
    <x v="17"/>
    <x v="6"/>
    <s v="Norm"/>
    <x v="0"/>
    <x v="0"/>
    <n v="6"/>
    <n v="5"/>
    <x v="40"/>
    <n v="1999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841"/>
    <n v="841"/>
    <s v="GasA"/>
    <s v="Ex"/>
    <s v="Y"/>
    <s v="SBrkr"/>
    <n v="892"/>
    <n v="783"/>
    <n v="0"/>
    <x v="790"/>
    <n v="0"/>
    <n v="0"/>
    <n v="2"/>
    <n v="1"/>
    <n v="3"/>
    <n v="1"/>
    <s v="TA"/>
    <n v="7"/>
    <s v="Typ"/>
    <n v="1"/>
    <s v="TA"/>
    <s v="BuiltIn"/>
    <n v="1999"/>
    <s v="Fin"/>
    <n v="2"/>
    <n v="502"/>
    <s v="TA"/>
    <s v="TA"/>
    <s v="Y"/>
    <n v="0"/>
    <n v="103"/>
    <n v="0"/>
    <n v="0"/>
    <n v="0"/>
    <n v="0"/>
    <s v="NA"/>
    <s v="NA"/>
    <s v="NA"/>
    <n v="0"/>
    <n v="6"/>
    <n v="2009"/>
    <s v="WD"/>
    <s v="Normal"/>
    <n v="181000"/>
  </r>
  <r>
    <n v="1262"/>
    <n v="20"/>
    <s v="RL"/>
    <n v="80"/>
    <n v="9600"/>
    <s v="Pave"/>
    <s v="NA"/>
    <s v="Reg"/>
    <s v="Lvl"/>
    <s v="AllPub"/>
    <s v="Inside"/>
    <s v="Gtl"/>
    <x v="11"/>
    <x v="0"/>
    <s v="Norm"/>
    <x v="0"/>
    <x v="1"/>
    <n v="5"/>
    <n v="6"/>
    <x v="46"/>
    <n v="1956"/>
    <s v="Hip"/>
    <s v="CompShg"/>
    <s v="MetalSd"/>
    <s v="MetalSd"/>
    <s v="None"/>
    <n v="0"/>
    <s v="TA"/>
    <s v="TA"/>
    <s v="CBlock"/>
    <s v="TA"/>
    <s v="TA"/>
    <s v="No"/>
    <s v="Rec"/>
    <n v="504"/>
    <s v="Unf"/>
    <n v="0"/>
    <n v="546"/>
    <n v="1050"/>
    <s v="GasA"/>
    <s v="Gd"/>
    <s v="Y"/>
    <s v="SBrkr"/>
    <n v="1050"/>
    <n v="0"/>
    <n v="0"/>
    <x v="675"/>
    <n v="0"/>
    <n v="0"/>
    <n v="1"/>
    <n v="0"/>
    <n v="2"/>
    <n v="1"/>
    <s v="TA"/>
    <n v="5"/>
    <s v="Typ"/>
    <n v="0"/>
    <s v="NA"/>
    <s v="Attchd"/>
    <n v="1956"/>
    <s v="Unf"/>
    <n v="1"/>
    <n v="338"/>
    <s v="TA"/>
    <s v="TA"/>
    <s v="Y"/>
    <n v="0"/>
    <n v="0"/>
    <n v="0"/>
    <n v="0"/>
    <n v="0"/>
    <n v="0"/>
    <s v="NA"/>
    <s v="NA"/>
    <s v="NA"/>
    <n v="0"/>
    <n v="6"/>
    <n v="2009"/>
    <s v="WD"/>
    <s v="Normal"/>
    <n v="128900"/>
  </r>
  <r>
    <n v="1263"/>
    <n v="50"/>
    <s v="RL"/>
    <s v="NA"/>
    <n v="11250"/>
    <s v="Pave"/>
    <s v="NA"/>
    <s v="Reg"/>
    <s v="Lvl"/>
    <s v="AllPub"/>
    <s v="Inside"/>
    <s v="Gtl"/>
    <x v="19"/>
    <x v="0"/>
    <s v="Norm"/>
    <x v="0"/>
    <x v="2"/>
    <n v="4"/>
    <n v="5"/>
    <x v="24"/>
    <n v="1989"/>
    <s v="Gable"/>
    <s v="CompShg"/>
    <s v="Wd Sdng"/>
    <s v="Wd Sdng"/>
    <s v="None"/>
    <n v="0"/>
    <s v="TA"/>
    <s v="TA"/>
    <s v="CBlock"/>
    <s v="TA"/>
    <s v="TA"/>
    <s v="Av"/>
    <s v="Unf"/>
    <n v="0"/>
    <s v="Unf"/>
    <n v="0"/>
    <n v="1104"/>
    <n v="1104"/>
    <s v="GasA"/>
    <s v="Ex"/>
    <s v="Y"/>
    <s v="FuseA"/>
    <n v="1104"/>
    <n v="684"/>
    <n v="0"/>
    <x v="648"/>
    <n v="1"/>
    <n v="0"/>
    <n v="1"/>
    <n v="0"/>
    <n v="5"/>
    <n v="1"/>
    <s v="TA"/>
    <n v="8"/>
    <s v="Min2"/>
    <n v="2"/>
    <s v="TA"/>
    <s v="Attchd"/>
    <n v="1957"/>
    <s v="Unf"/>
    <n v="1"/>
    <n v="304"/>
    <s v="TA"/>
    <s v="TA"/>
    <s v="Y"/>
    <n v="120"/>
    <n v="0"/>
    <n v="0"/>
    <n v="0"/>
    <n v="0"/>
    <n v="0"/>
    <s v="NA"/>
    <s v="NA"/>
    <s v="NA"/>
    <n v="0"/>
    <n v="11"/>
    <n v="2009"/>
    <s v="WD"/>
    <s v="Normal"/>
    <n v="161500"/>
  </r>
  <r>
    <n v="1264"/>
    <n v="70"/>
    <s v="RL"/>
    <n v="60"/>
    <n v="13515"/>
    <s v="Pave"/>
    <s v="Pave"/>
    <s v="Reg"/>
    <s v="Lvl"/>
    <s v="AllPub"/>
    <s v="Inside"/>
    <s v="Gtl"/>
    <x v="8"/>
    <x v="0"/>
    <s v="Norm"/>
    <x v="0"/>
    <x v="0"/>
    <n v="6"/>
    <n v="6"/>
    <x v="58"/>
    <n v="1950"/>
    <s v="Gambrel"/>
    <s v="CompShg"/>
    <s v="Wd Sdng"/>
    <s v="Wd Sdng"/>
    <s v="None"/>
    <n v="0"/>
    <s v="TA"/>
    <s v="TA"/>
    <s v="PConc"/>
    <s v="TA"/>
    <s v="TA"/>
    <s v="No"/>
    <s v="Unf"/>
    <n v="0"/>
    <s v="Unf"/>
    <n v="0"/>
    <n v="764"/>
    <n v="764"/>
    <s v="GasA"/>
    <s v="Ex"/>
    <s v="Y"/>
    <s v="FuseA"/>
    <n v="1060"/>
    <n v="764"/>
    <n v="0"/>
    <x v="532"/>
    <n v="0"/>
    <n v="0"/>
    <n v="1"/>
    <n v="0"/>
    <n v="3"/>
    <n v="1"/>
    <s v="TA"/>
    <n v="8"/>
    <s v="Typ"/>
    <n v="1"/>
    <s v="Gd"/>
    <s v="Detchd"/>
    <n v="1940"/>
    <s v="Unf"/>
    <n v="2"/>
    <n v="520"/>
    <s v="TA"/>
    <s v="TA"/>
    <s v="N"/>
    <n v="0"/>
    <n v="0"/>
    <n v="126"/>
    <n v="0"/>
    <n v="0"/>
    <n v="0"/>
    <s v="NA"/>
    <s v="GdPrv"/>
    <s v="NA"/>
    <n v="0"/>
    <n v="7"/>
    <n v="2007"/>
    <s v="WD"/>
    <s v="Normal"/>
    <n v="180500"/>
  </r>
  <r>
    <n v="1265"/>
    <n v="120"/>
    <s v="RH"/>
    <n v="34"/>
    <n v="4060"/>
    <s v="Pave"/>
    <s v="NA"/>
    <s v="Reg"/>
    <s v="Lvl"/>
    <s v="AllPub"/>
    <s v="Inside"/>
    <s v="Gtl"/>
    <x v="11"/>
    <x v="0"/>
    <s v="Norm"/>
    <x v="3"/>
    <x v="1"/>
    <n v="6"/>
    <n v="5"/>
    <x v="45"/>
    <n v="1999"/>
    <s v="Gable"/>
    <s v="CompShg"/>
    <s v="MetalSd"/>
    <s v="MetalSd"/>
    <s v="None"/>
    <n v="0"/>
    <s v="Gd"/>
    <s v="TA"/>
    <s v="PConc"/>
    <s v="Gd"/>
    <s v="TA"/>
    <s v="No"/>
    <s v="GLQ"/>
    <n v="266"/>
    <s v="Unf"/>
    <n v="0"/>
    <n v="1139"/>
    <n v="1405"/>
    <s v="GasA"/>
    <s v="Ex"/>
    <s v="Y"/>
    <s v="SBrkr"/>
    <n v="1337"/>
    <n v="0"/>
    <n v="0"/>
    <x v="78"/>
    <n v="1"/>
    <n v="0"/>
    <n v="2"/>
    <n v="0"/>
    <n v="2"/>
    <n v="1"/>
    <s v="Gd"/>
    <n v="5"/>
    <s v="Typ"/>
    <n v="0"/>
    <s v="NA"/>
    <s v="Attchd"/>
    <n v="1998"/>
    <s v="Fin"/>
    <n v="2"/>
    <n v="511"/>
    <s v="TA"/>
    <s v="TA"/>
    <s v="Y"/>
    <n v="144"/>
    <n v="68"/>
    <n v="0"/>
    <n v="0"/>
    <n v="0"/>
    <n v="0"/>
    <s v="NA"/>
    <s v="NA"/>
    <s v="NA"/>
    <n v="0"/>
    <n v="8"/>
    <n v="2008"/>
    <s v="COD"/>
    <s v="Abnorml"/>
    <n v="181000"/>
  </r>
  <r>
    <n v="1266"/>
    <n v="160"/>
    <s v="FV"/>
    <n v="35"/>
    <n v="3735"/>
    <s v="Pave"/>
    <s v="NA"/>
    <s v="Reg"/>
    <s v="Lvl"/>
    <s v="AllPub"/>
    <s v="FR3"/>
    <s v="Gtl"/>
    <x v="5"/>
    <x v="0"/>
    <s v="Norm"/>
    <x v="3"/>
    <x v="0"/>
    <n v="7"/>
    <n v="5"/>
    <x v="40"/>
    <n v="1999"/>
    <s v="Hip"/>
    <s v="CompShg"/>
    <s v="MetalSd"/>
    <s v="MetalSd"/>
    <s v="BrkFace"/>
    <n v="218"/>
    <s v="Gd"/>
    <s v="TA"/>
    <s v="PConc"/>
    <s v="Gd"/>
    <s v="TA"/>
    <s v="No"/>
    <s v="GLQ"/>
    <n v="450"/>
    <s v="Unf"/>
    <n v="0"/>
    <n v="241"/>
    <n v="691"/>
    <s v="GasA"/>
    <s v="Ex"/>
    <s v="Y"/>
    <s v="SBrkr"/>
    <n v="713"/>
    <n v="739"/>
    <n v="0"/>
    <x v="46"/>
    <n v="1"/>
    <n v="0"/>
    <n v="2"/>
    <n v="1"/>
    <n v="3"/>
    <n v="1"/>
    <s v="Gd"/>
    <n v="6"/>
    <s v="Typ"/>
    <n v="0"/>
    <s v="NA"/>
    <s v="Detchd"/>
    <n v="1999"/>
    <s v="Unf"/>
    <n v="2"/>
    <n v="506"/>
    <s v="TA"/>
    <s v="TA"/>
    <s v="Y"/>
    <n v="0"/>
    <n v="34"/>
    <n v="0"/>
    <n v="0"/>
    <n v="0"/>
    <n v="0"/>
    <s v="NA"/>
    <s v="NA"/>
    <s v="NA"/>
    <n v="0"/>
    <n v="3"/>
    <n v="2006"/>
    <s v="WD"/>
    <s v="Normal"/>
    <n v="183900"/>
  </r>
  <r>
    <n v="1267"/>
    <n v="190"/>
    <s v="RM"/>
    <n v="60"/>
    <n v="10120"/>
    <s v="Pave"/>
    <s v="NA"/>
    <s v="IR1"/>
    <s v="Bnk"/>
    <s v="AllPub"/>
    <s v="Inside"/>
    <s v="Gtl"/>
    <x v="7"/>
    <x v="1"/>
    <s v="Norm"/>
    <x v="1"/>
    <x v="6"/>
    <n v="7"/>
    <n v="4"/>
    <x v="48"/>
    <n v="1950"/>
    <s v="Hip"/>
    <s v="CompShg"/>
    <s v="Wd Sdng"/>
    <s v="Wd Sdng"/>
    <s v="None"/>
    <n v="0"/>
    <s v="Fa"/>
    <s v="TA"/>
    <s v="CBlock"/>
    <s v="TA"/>
    <s v="TA"/>
    <s v="No"/>
    <s v="Unf"/>
    <n v="0"/>
    <s v="Unf"/>
    <n v="0"/>
    <n v="925"/>
    <n v="925"/>
    <s v="GasA"/>
    <s v="TA"/>
    <s v="N"/>
    <s v="FuseF"/>
    <n v="964"/>
    <n v="925"/>
    <n v="0"/>
    <x v="791"/>
    <n v="0"/>
    <n v="0"/>
    <n v="1"/>
    <n v="1"/>
    <n v="4"/>
    <n v="2"/>
    <s v="TA"/>
    <n v="9"/>
    <s v="Typ"/>
    <n v="1"/>
    <s v="Gd"/>
    <s v="Detchd"/>
    <n v="1960"/>
    <s v="Unf"/>
    <n v="1"/>
    <n v="308"/>
    <s v="TA"/>
    <s v="TA"/>
    <s v="N"/>
    <n v="0"/>
    <n v="0"/>
    <n v="264"/>
    <n v="0"/>
    <n v="0"/>
    <n v="0"/>
    <s v="NA"/>
    <s v="MnPrv"/>
    <s v="NA"/>
    <n v="0"/>
    <n v="1"/>
    <n v="2007"/>
    <s v="WD"/>
    <s v="Normal"/>
    <n v="122000"/>
  </r>
  <r>
    <n v="1268"/>
    <n v="20"/>
    <s v="RL"/>
    <n v="89"/>
    <n v="13214"/>
    <s v="Pave"/>
    <s v="NA"/>
    <s v="IR1"/>
    <s v="HLS"/>
    <s v="AllPub"/>
    <s v="Inside"/>
    <s v="Gtl"/>
    <x v="16"/>
    <x v="0"/>
    <s v="Norm"/>
    <x v="0"/>
    <x v="1"/>
    <n v="9"/>
    <n v="5"/>
    <x v="74"/>
    <n v="2009"/>
    <s v="Hip"/>
    <s v="CompShg"/>
    <s v="Stucco"/>
    <s v="CmentBd"/>
    <s v="None"/>
    <n v="0"/>
    <s v="Ex"/>
    <s v="TA"/>
    <s v="PConc"/>
    <s v="Ex"/>
    <s v="TA"/>
    <s v="Gd"/>
    <s v="Unf"/>
    <n v="0"/>
    <s v="Unf"/>
    <n v="0"/>
    <n v="2002"/>
    <n v="2002"/>
    <s v="GasA"/>
    <s v="Ex"/>
    <s v="Y"/>
    <s v="SBrkr"/>
    <n v="2018"/>
    <n v="0"/>
    <n v="0"/>
    <x v="792"/>
    <n v="0"/>
    <n v="0"/>
    <n v="2"/>
    <n v="0"/>
    <n v="3"/>
    <n v="1"/>
    <s v="Ex"/>
    <n v="10"/>
    <s v="Typ"/>
    <n v="1"/>
    <s v="Gd"/>
    <s v="Attchd"/>
    <n v="2009"/>
    <s v="Fin"/>
    <n v="3"/>
    <n v="746"/>
    <s v="TA"/>
    <s v="TA"/>
    <s v="Y"/>
    <n v="144"/>
    <n v="76"/>
    <n v="0"/>
    <n v="0"/>
    <n v="0"/>
    <n v="0"/>
    <s v="NA"/>
    <s v="NA"/>
    <s v="NA"/>
    <n v="0"/>
    <n v="5"/>
    <n v="2010"/>
    <s v="WD"/>
    <s v="Normal"/>
    <n v="378500"/>
  </r>
  <r>
    <n v="1269"/>
    <n v="50"/>
    <s v="RL"/>
    <s v="NA"/>
    <n v="14100"/>
    <s v="Pave"/>
    <s v="NA"/>
    <s v="IR1"/>
    <s v="Lvl"/>
    <s v="AllPub"/>
    <s v="Inside"/>
    <s v="Mod"/>
    <x v="2"/>
    <x v="0"/>
    <s v="Norm"/>
    <x v="0"/>
    <x v="2"/>
    <n v="8"/>
    <n v="9"/>
    <x v="61"/>
    <n v="1997"/>
    <s v="Gable"/>
    <s v="CompShg"/>
    <s v="Stucco"/>
    <s v="Stucco"/>
    <s v="BrkFace"/>
    <n v="632"/>
    <s v="TA"/>
    <s v="Gd"/>
    <s v="CBlock"/>
    <s v="TA"/>
    <s v="TA"/>
    <s v="Mn"/>
    <s v="Rec"/>
    <n v="192"/>
    <s v="Unf"/>
    <n v="0"/>
    <n v="536"/>
    <n v="728"/>
    <s v="GasA"/>
    <s v="Ex"/>
    <s v="Y"/>
    <s v="SBrkr"/>
    <n v="1968"/>
    <n v="1479"/>
    <n v="0"/>
    <x v="793"/>
    <n v="0"/>
    <n v="0"/>
    <n v="3"/>
    <n v="1"/>
    <n v="4"/>
    <n v="1"/>
    <s v="Gd"/>
    <n v="11"/>
    <s v="Typ"/>
    <n v="2"/>
    <s v="Gd"/>
    <s v="BuiltIn"/>
    <n v="1982"/>
    <s v="Unf"/>
    <n v="3"/>
    <n v="1014"/>
    <s v="TA"/>
    <s v="TA"/>
    <s v="Y"/>
    <n v="314"/>
    <n v="12"/>
    <n v="0"/>
    <n v="0"/>
    <n v="0"/>
    <n v="0"/>
    <s v="NA"/>
    <s v="GdWo"/>
    <s v="NA"/>
    <n v="0"/>
    <n v="5"/>
    <n v="2008"/>
    <s v="WD"/>
    <s v="Normal"/>
    <n v="381000"/>
  </r>
  <r>
    <n v="1270"/>
    <n v="50"/>
    <s v="RL"/>
    <n v="78"/>
    <n v="11344"/>
    <s v="Pave"/>
    <s v="NA"/>
    <s v="Reg"/>
    <s v="Lvl"/>
    <s v="AllPub"/>
    <s v="Inside"/>
    <s v="Gtl"/>
    <x v="11"/>
    <x v="1"/>
    <s v="Norm"/>
    <x v="0"/>
    <x v="2"/>
    <n v="5"/>
    <n v="5"/>
    <x v="18"/>
    <n v="1958"/>
    <s v="Gable"/>
    <s v="CompShg"/>
    <s v="MetalSd"/>
    <s v="MetalSd"/>
    <s v="BrkFace"/>
    <n v="180"/>
    <s v="TA"/>
    <s v="TA"/>
    <s v="CBlock"/>
    <s v="TA"/>
    <s v="TA"/>
    <s v="No"/>
    <s v="BLQ"/>
    <n v="460"/>
    <s v="Unf"/>
    <n v="0"/>
    <n v="414"/>
    <n v="874"/>
    <s v="GasW"/>
    <s v="TA"/>
    <s v="Y"/>
    <s v="FuseA"/>
    <n v="874"/>
    <n v="650"/>
    <n v="0"/>
    <x v="794"/>
    <n v="0"/>
    <n v="0"/>
    <n v="1"/>
    <n v="1"/>
    <n v="3"/>
    <n v="1"/>
    <s v="TA"/>
    <n v="7"/>
    <s v="Typ"/>
    <n v="0"/>
    <s v="NA"/>
    <s v="Attchd"/>
    <n v="1958"/>
    <s v="Unf"/>
    <n v="1"/>
    <n v="315"/>
    <s v="TA"/>
    <s v="TA"/>
    <s v="Y"/>
    <n v="0"/>
    <n v="0"/>
    <n v="0"/>
    <n v="0"/>
    <n v="0"/>
    <n v="0"/>
    <s v="NA"/>
    <s v="GdWo"/>
    <s v="NA"/>
    <n v="0"/>
    <n v="7"/>
    <n v="2007"/>
    <s v="WD"/>
    <s v="Normal"/>
    <n v="144000"/>
  </r>
  <r>
    <n v="1271"/>
    <n v="40"/>
    <s v="RL"/>
    <s v="NA"/>
    <n v="23595"/>
    <s v="Pave"/>
    <s v="NA"/>
    <s v="Reg"/>
    <s v="Low"/>
    <s v="AllPub"/>
    <s v="Inside"/>
    <s v="Sev"/>
    <x v="19"/>
    <x v="0"/>
    <s v="Norm"/>
    <x v="0"/>
    <x v="1"/>
    <n v="7"/>
    <n v="6"/>
    <x v="56"/>
    <n v="1979"/>
    <s v="Shed"/>
    <s v="WdShake"/>
    <s v="Plywood"/>
    <s v="Plywood"/>
    <s v="None"/>
    <n v="0"/>
    <s v="Gd"/>
    <s v="TA"/>
    <s v="PConc"/>
    <s v="Gd"/>
    <s v="TA"/>
    <s v="Gd"/>
    <s v="GLQ"/>
    <n v="1258"/>
    <s v="Unf"/>
    <n v="0"/>
    <n v="74"/>
    <n v="1332"/>
    <s v="GasA"/>
    <s v="TA"/>
    <s v="Y"/>
    <s v="SBrkr"/>
    <n v="1332"/>
    <n v="192"/>
    <n v="0"/>
    <x v="794"/>
    <n v="2"/>
    <n v="0"/>
    <n v="0"/>
    <n v="1"/>
    <n v="0"/>
    <n v="1"/>
    <s v="Gd"/>
    <n v="4"/>
    <s v="Typ"/>
    <n v="1"/>
    <s v="TA"/>
    <s v="Attchd"/>
    <n v="1979"/>
    <s v="Fin"/>
    <n v="2"/>
    <n v="586"/>
    <s v="TA"/>
    <s v="TA"/>
    <s v="Y"/>
    <n v="268"/>
    <n v="0"/>
    <n v="0"/>
    <n v="0"/>
    <n v="0"/>
    <n v="0"/>
    <s v="NA"/>
    <s v="NA"/>
    <s v="NA"/>
    <n v="0"/>
    <n v="4"/>
    <n v="2010"/>
    <s v="WD"/>
    <s v="Normal"/>
    <n v="260000"/>
  </r>
  <r>
    <n v="1272"/>
    <n v="20"/>
    <s v="RL"/>
    <s v="NA"/>
    <n v="9156"/>
    <s v="Pave"/>
    <s v="NA"/>
    <s v="IR1"/>
    <s v="Lvl"/>
    <s v="AllPub"/>
    <s v="Inside"/>
    <s v="Gtl"/>
    <x v="6"/>
    <x v="2"/>
    <s v="Norm"/>
    <x v="0"/>
    <x v="1"/>
    <n v="6"/>
    <n v="7"/>
    <x v="21"/>
    <n v="1968"/>
    <s v="Hip"/>
    <s v="CompShg"/>
    <s v="BrkFace"/>
    <s v="BrkFace"/>
    <s v="None"/>
    <n v="0"/>
    <s v="TA"/>
    <s v="TA"/>
    <s v="CBlock"/>
    <s v="TA"/>
    <s v="TA"/>
    <s v="No"/>
    <s v="Unf"/>
    <n v="0"/>
    <s v="Unf"/>
    <n v="0"/>
    <n v="1489"/>
    <n v="1489"/>
    <s v="GasA"/>
    <s v="Gd"/>
    <s v="Y"/>
    <s v="SBrkr"/>
    <n v="1489"/>
    <n v="0"/>
    <n v="0"/>
    <x v="592"/>
    <n v="0"/>
    <n v="0"/>
    <n v="2"/>
    <n v="0"/>
    <n v="3"/>
    <n v="1"/>
    <s v="Gd"/>
    <n v="7"/>
    <s v="Typ"/>
    <n v="1"/>
    <s v="Gd"/>
    <s v="Attchd"/>
    <n v="1968"/>
    <s v="RFn"/>
    <n v="2"/>
    <n v="462"/>
    <s v="TA"/>
    <s v="TA"/>
    <s v="Y"/>
    <n v="0"/>
    <n v="0"/>
    <n v="0"/>
    <n v="0"/>
    <n v="0"/>
    <n v="0"/>
    <s v="NA"/>
    <s v="NA"/>
    <s v="NA"/>
    <n v="0"/>
    <n v="8"/>
    <n v="2009"/>
    <s v="WD"/>
    <s v="Normal"/>
    <n v="185750"/>
  </r>
  <r>
    <n v="1273"/>
    <n v="20"/>
    <s v="RL"/>
    <s v="NA"/>
    <n v="13526"/>
    <s v="Pave"/>
    <s v="NA"/>
    <s v="IR1"/>
    <s v="Lvl"/>
    <s v="AllPub"/>
    <s v="CulDSac"/>
    <s v="Gtl"/>
    <x v="9"/>
    <x v="0"/>
    <s v="Norm"/>
    <x v="0"/>
    <x v="1"/>
    <n v="5"/>
    <n v="6"/>
    <x v="10"/>
    <n v="1965"/>
    <s v="Hip"/>
    <s v="CompShg"/>
    <s v="HdBoard"/>
    <s v="Plywood"/>
    <s v="BrkFace"/>
    <n v="114"/>
    <s v="TA"/>
    <s v="TA"/>
    <s v="CBlock"/>
    <s v="TA"/>
    <s v="TA"/>
    <s v="No"/>
    <s v="BLQ"/>
    <n v="560"/>
    <s v="LwQ"/>
    <n v="375"/>
    <n v="0"/>
    <n v="935"/>
    <s v="GasA"/>
    <s v="TA"/>
    <s v="Y"/>
    <s v="SBrkr"/>
    <n v="935"/>
    <n v="0"/>
    <n v="0"/>
    <x v="460"/>
    <n v="1"/>
    <n v="0"/>
    <n v="1"/>
    <n v="0"/>
    <n v="3"/>
    <n v="1"/>
    <s v="TA"/>
    <n v="5"/>
    <s v="Typ"/>
    <n v="0"/>
    <s v="NA"/>
    <s v="Attchd"/>
    <n v="1965"/>
    <s v="Unf"/>
    <n v="1"/>
    <n v="288"/>
    <s v="TA"/>
    <s v="TA"/>
    <s v="Y"/>
    <n v="180"/>
    <n v="0"/>
    <n v="0"/>
    <n v="0"/>
    <n v="0"/>
    <n v="0"/>
    <s v="NA"/>
    <s v="MnPrv"/>
    <s v="NA"/>
    <n v="0"/>
    <n v="11"/>
    <n v="2006"/>
    <s v="WD"/>
    <s v="Normal"/>
    <n v="137000"/>
  </r>
  <r>
    <n v="1274"/>
    <n v="80"/>
    <s v="RL"/>
    <n v="124"/>
    <n v="11512"/>
    <s v="Pave"/>
    <s v="NA"/>
    <s v="IR1"/>
    <s v="Lvl"/>
    <s v="AllPub"/>
    <s v="Corner"/>
    <s v="Gtl"/>
    <x v="15"/>
    <x v="0"/>
    <s v="Norm"/>
    <x v="0"/>
    <x v="5"/>
    <n v="6"/>
    <n v="7"/>
    <x v="28"/>
    <n v="2006"/>
    <s v="Gable"/>
    <s v="CompShg"/>
    <s v="Plywood"/>
    <s v="Plywood"/>
    <s v="BrkFace"/>
    <n v="84"/>
    <s v="TA"/>
    <s v="TA"/>
    <s v="CBlock"/>
    <s v="TA"/>
    <s v="TA"/>
    <s v="Av"/>
    <s v="ALQ"/>
    <n v="719"/>
    <s v="Unf"/>
    <n v="0"/>
    <n v="300"/>
    <n v="1019"/>
    <s v="GasA"/>
    <s v="Gd"/>
    <s v="Y"/>
    <s v="SBrkr"/>
    <n v="1357"/>
    <n v="0"/>
    <n v="0"/>
    <x v="795"/>
    <n v="1"/>
    <n v="0"/>
    <n v="1"/>
    <n v="0"/>
    <n v="2"/>
    <n v="1"/>
    <s v="Ex"/>
    <n v="5"/>
    <s v="Typ"/>
    <n v="1"/>
    <s v="Gd"/>
    <s v="Basment"/>
    <n v="1959"/>
    <s v="RFn"/>
    <n v="1"/>
    <n v="312"/>
    <s v="TA"/>
    <s v="TA"/>
    <s v="Y"/>
    <n v="0"/>
    <n v="0"/>
    <n v="0"/>
    <n v="0"/>
    <n v="163"/>
    <n v="0"/>
    <s v="NA"/>
    <s v="GdPrv"/>
    <s v="NA"/>
    <n v="0"/>
    <n v="5"/>
    <n v="2008"/>
    <s v="WD"/>
    <s v="Normal"/>
    <n v="177000"/>
  </r>
  <r>
    <n v="1275"/>
    <n v="50"/>
    <s v="RL"/>
    <n v="53"/>
    <n v="5362"/>
    <s v="Pave"/>
    <s v="NA"/>
    <s v="Reg"/>
    <s v="Lvl"/>
    <s v="AllPub"/>
    <s v="Corner"/>
    <s v="Gtl"/>
    <x v="2"/>
    <x v="0"/>
    <s v="Norm"/>
    <x v="0"/>
    <x v="2"/>
    <n v="5"/>
    <n v="6"/>
    <x v="48"/>
    <n v="2003"/>
    <s v="Gable"/>
    <s v="CompShg"/>
    <s v="Wd Sdng"/>
    <s v="Wd Shng"/>
    <s v="None"/>
    <n v="0"/>
    <s v="TA"/>
    <s v="TA"/>
    <s v="PConc"/>
    <s v="TA"/>
    <s v="TA"/>
    <s v="No"/>
    <s v="Unf"/>
    <n v="0"/>
    <s v="Unf"/>
    <n v="0"/>
    <n v="661"/>
    <n v="661"/>
    <s v="GasA"/>
    <s v="Ex"/>
    <s v="Y"/>
    <s v="SBrkr"/>
    <n v="661"/>
    <n v="589"/>
    <n v="0"/>
    <x v="242"/>
    <n v="0"/>
    <n v="0"/>
    <n v="2"/>
    <n v="0"/>
    <n v="3"/>
    <n v="1"/>
    <s v="TA"/>
    <n v="8"/>
    <s v="Typ"/>
    <n v="1"/>
    <s v="Gd"/>
    <s v="Detchd"/>
    <n v="1985"/>
    <s v="Unf"/>
    <n v="2"/>
    <n v="552"/>
    <s v="TA"/>
    <s v="TA"/>
    <s v="Y"/>
    <n v="242"/>
    <n v="0"/>
    <n v="81"/>
    <n v="0"/>
    <n v="0"/>
    <n v="0"/>
    <s v="NA"/>
    <s v="NA"/>
    <s v="NA"/>
    <n v="0"/>
    <n v="11"/>
    <n v="2007"/>
    <s v="WD"/>
    <s v="Normal"/>
    <n v="139000"/>
  </r>
  <r>
    <n v="1276"/>
    <n v="90"/>
    <s v="RL"/>
    <n v="95"/>
    <n v="11345"/>
    <s v="Pave"/>
    <s v="NA"/>
    <s v="Reg"/>
    <s v="Lvl"/>
    <s v="AllPub"/>
    <s v="Corner"/>
    <s v="Gtl"/>
    <x v="11"/>
    <x v="1"/>
    <s v="Norm"/>
    <x v="2"/>
    <x v="0"/>
    <n v="5"/>
    <n v="5"/>
    <x v="47"/>
    <n v="1950"/>
    <s v="Gable"/>
    <s v="Roll"/>
    <s v="AsbShng"/>
    <s v="AsbShng"/>
    <s v="Stone"/>
    <n v="567"/>
    <s v="TA"/>
    <s v="TA"/>
    <s v="CBlock"/>
    <s v="TA"/>
    <s v="TA"/>
    <s v="No"/>
    <s v="Rec"/>
    <n v="220"/>
    <s v="Unf"/>
    <n v="0"/>
    <n v="708"/>
    <n v="928"/>
    <s v="GasA"/>
    <s v="Gd"/>
    <s v="Y"/>
    <s v="FuseA"/>
    <n v="928"/>
    <n v="992"/>
    <n v="0"/>
    <x v="163"/>
    <n v="0"/>
    <n v="0"/>
    <n v="2"/>
    <n v="0"/>
    <n v="4"/>
    <n v="2"/>
    <s v="TA"/>
    <n v="10"/>
    <s v="Typ"/>
    <n v="0"/>
    <s v="NA"/>
    <s v="Detchd"/>
    <n v="1948"/>
    <s v="Unf"/>
    <n v="2"/>
    <n v="400"/>
    <s v="TA"/>
    <s v="Fa"/>
    <s v="Y"/>
    <n v="0"/>
    <n v="0"/>
    <n v="0"/>
    <n v="0"/>
    <n v="0"/>
    <n v="0"/>
    <s v="NA"/>
    <s v="NA"/>
    <s v="NA"/>
    <n v="0"/>
    <n v="7"/>
    <n v="2007"/>
    <s v="WD"/>
    <s v="Normal"/>
    <n v="137000"/>
  </r>
  <r>
    <n v="1277"/>
    <n v="60"/>
    <s v="RL"/>
    <s v="NA"/>
    <n v="12936"/>
    <s v="Pave"/>
    <s v="NA"/>
    <s v="IR1"/>
    <s v="Lvl"/>
    <s v="AllPub"/>
    <s v="CulDSac"/>
    <s v="Gtl"/>
    <x v="6"/>
    <x v="0"/>
    <s v="Norm"/>
    <x v="0"/>
    <x v="0"/>
    <n v="6"/>
    <n v="6"/>
    <x v="41"/>
    <n v="1972"/>
    <s v="Gable"/>
    <s v="CompShg"/>
    <s v="HdBoard"/>
    <s v="Plywood"/>
    <s v="None"/>
    <n v="0"/>
    <s v="TA"/>
    <s v="TA"/>
    <s v="CBlock"/>
    <s v="TA"/>
    <s v="Gd"/>
    <s v="No"/>
    <s v="BLQ"/>
    <n v="593"/>
    <s v="Unf"/>
    <n v="0"/>
    <n v="130"/>
    <n v="723"/>
    <s v="GasA"/>
    <s v="TA"/>
    <s v="Y"/>
    <s v="SBrkr"/>
    <n v="735"/>
    <n v="660"/>
    <n v="0"/>
    <x v="796"/>
    <n v="0"/>
    <n v="1"/>
    <n v="1"/>
    <n v="1"/>
    <n v="3"/>
    <n v="1"/>
    <s v="TA"/>
    <n v="6"/>
    <s v="Typ"/>
    <n v="1"/>
    <s v="TA"/>
    <s v="Attchd"/>
    <n v="1972"/>
    <s v="Unf"/>
    <n v="2"/>
    <n v="497"/>
    <s v="TA"/>
    <s v="TA"/>
    <s v="Y"/>
    <n v="294"/>
    <n v="116"/>
    <n v="0"/>
    <n v="0"/>
    <n v="0"/>
    <n v="0"/>
    <s v="NA"/>
    <s v="NA"/>
    <s v="NA"/>
    <n v="0"/>
    <n v="12"/>
    <n v="2009"/>
    <s v="WD"/>
    <s v="Normal"/>
    <n v="162000"/>
  </r>
  <r>
    <n v="1278"/>
    <n v="80"/>
    <s v="RL"/>
    <s v="NA"/>
    <n v="17871"/>
    <s v="Pave"/>
    <s v="NA"/>
    <s v="IR1"/>
    <s v="Lvl"/>
    <s v="AllPub"/>
    <s v="CulDSac"/>
    <s v="Gtl"/>
    <x v="6"/>
    <x v="0"/>
    <s v="Norm"/>
    <x v="0"/>
    <x v="5"/>
    <n v="6"/>
    <n v="5"/>
    <x v="17"/>
    <n v="1976"/>
    <s v="Gable"/>
    <s v="CompShg"/>
    <s v="HdBoard"/>
    <s v="HdBoard"/>
    <s v="BrkFace"/>
    <n v="359"/>
    <s v="TA"/>
    <s v="TA"/>
    <s v="CBlock"/>
    <s v="Gd"/>
    <s v="TA"/>
    <s v="Av"/>
    <s v="ALQ"/>
    <n v="528"/>
    <s v="Unf"/>
    <n v="0"/>
    <n v="1152"/>
    <n v="1680"/>
    <s v="GasA"/>
    <s v="Fa"/>
    <s v="Y"/>
    <s v="SBrkr"/>
    <n v="1724"/>
    <n v="0"/>
    <n v="0"/>
    <x v="424"/>
    <n v="1"/>
    <n v="0"/>
    <n v="1"/>
    <n v="1"/>
    <n v="3"/>
    <n v="1"/>
    <s v="TA"/>
    <n v="7"/>
    <s v="Typ"/>
    <n v="1"/>
    <s v="Gd"/>
    <s v="Attchd"/>
    <n v="1967"/>
    <s v="RFn"/>
    <n v="2"/>
    <n v="480"/>
    <s v="TA"/>
    <s v="TA"/>
    <s v="Y"/>
    <n v="0"/>
    <n v="0"/>
    <n v="0"/>
    <n v="0"/>
    <n v="0"/>
    <n v="0"/>
    <s v="NA"/>
    <s v="NA"/>
    <s v="NA"/>
    <n v="0"/>
    <n v="6"/>
    <n v="2009"/>
    <s v="WD"/>
    <s v="Normal"/>
    <n v="197900"/>
  </r>
  <r>
    <n v="1279"/>
    <n v="60"/>
    <s v="RL"/>
    <n v="75"/>
    <n v="9473"/>
    <s v="Pave"/>
    <s v="NA"/>
    <s v="Reg"/>
    <s v="Lvl"/>
    <s v="AllPub"/>
    <s v="Inside"/>
    <s v="Gtl"/>
    <x v="0"/>
    <x v="0"/>
    <s v="Norm"/>
    <x v="0"/>
    <x v="0"/>
    <n v="8"/>
    <n v="5"/>
    <x v="20"/>
    <n v="2002"/>
    <s v="Gable"/>
    <s v="CompShg"/>
    <s v="VinylSd"/>
    <s v="VinylSd"/>
    <s v="NA"/>
    <s v="NA"/>
    <s v="Gd"/>
    <s v="TA"/>
    <s v="PConc"/>
    <s v="Gd"/>
    <s v="TA"/>
    <s v="No"/>
    <s v="GLQ"/>
    <n v="804"/>
    <s v="Unf"/>
    <n v="0"/>
    <n v="324"/>
    <n v="1128"/>
    <s v="GasA"/>
    <s v="Ex"/>
    <s v="Y"/>
    <s v="SBrkr"/>
    <n v="1128"/>
    <n v="903"/>
    <n v="0"/>
    <x v="542"/>
    <n v="1"/>
    <n v="0"/>
    <n v="2"/>
    <n v="1"/>
    <n v="3"/>
    <n v="1"/>
    <s v="Gd"/>
    <n v="7"/>
    <s v="Typ"/>
    <n v="1"/>
    <s v="Gd"/>
    <s v="Attchd"/>
    <n v="2002"/>
    <s v="RFn"/>
    <n v="2"/>
    <n v="577"/>
    <s v="TA"/>
    <s v="TA"/>
    <s v="Y"/>
    <n v="0"/>
    <n v="211"/>
    <n v="0"/>
    <n v="0"/>
    <n v="0"/>
    <n v="0"/>
    <s v="NA"/>
    <s v="NA"/>
    <s v="NA"/>
    <n v="0"/>
    <n v="3"/>
    <n v="2008"/>
    <s v="WD"/>
    <s v="Normal"/>
    <n v="237000"/>
  </r>
  <r>
    <n v="1280"/>
    <n v="50"/>
    <s v="C (all)"/>
    <n v="60"/>
    <n v="7500"/>
    <s v="Pave"/>
    <s v="NA"/>
    <s v="Reg"/>
    <s v="Lvl"/>
    <s v="AllPub"/>
    <s v="Inside"/>
    <s v="Gtl"/>
    <x v="13"/>
    <x v="0"/>
    <s v="Norm"/>
    <x v="0"/>
    <x v="2"/>
    <n v="4"/>
    <n v="4"/>
    <x v="26"/>
    <n v="1950"/>
    <s v="Gable"/>
    <s v="CompShg"/>
    <s v="MetalSd"/>
    <s v="MetalSd"/>
    <s v="None"/>
    <n v="0"/>
    <s v="TA"/>
    <s v="Gd"/>
    <s v="CBlock"/>
    <s v="TA"/>
    <s v="TA"/>
    <s v="No"/>
    <s v="Unf"/>
    <n v="0"/>
    <s v="Unf"/>
    <n v="0"/>
    <n v="698"/>
    <n v="698"/>
    <s v="GasA"/>
    <s v="TA"/>
    <s v="Y"/>
    <s v="FuseA"/>
    <n v="698"/>
    <n v="430"/>
    <n v="0"/>
    <x v="582"/>
    <n v="0"/>
    <n v="0"/>
    <n v="1"/>
    <n v="0"/>
    <n v="2"/>
    <n v="1"/>
    <s v="TA"/>
    <n v="6"/>
    <s v="Typ"/>
    <n v="0"/>
    <s v="NA"/>
    <s v="Detchd"/>
    <n v="1980"/>
    <s v="RFn"/>
    <n v="2"/>
    <n v="528"/>
    <s v="TA"/>
    <s v="TA"/>
    <s v="Y"/>
    <n v="30"/>
    <n v="0"/>
    <n v="164"/>
    <n v="0"/>
    <n v="0"/>
    <n v="0"/>
    <s v="NA"/>
    <s v="NA"/>
    <s v="NA"/>
    <n v="0"/>
    <n v="4"/>
    <n v="2010"/>
    <s v="COD"/>
    <s v="Abnorml"/>
    <n v="68400"/>
  </r>
  <r>
    <n v="1281"/>
    <n v="20"/>
    <s v="RL"/>
    <n v="67"/>
    <n v="9808"/>
    <s v="Pave"/>
    <s v="NA"/>
    <s v="IR1"/>
    <s v="Lvl"/>
    <s v="AllPub"/>
    <s v="Inside"/>
    <s v="Gtl"/>
    <x v="0"/>
    <x v="0"/>
    <s v="Norm"/>
    <x v="0"/>
    <x v="1"/>
    <n v="7"/>
    <n v="5"/>
    <x v="20"/>
    <n v="2002"/>
    <s v="Gable"/>
    <s v="CompShg"/>
    <s v="VinylSd"/>
    <s v="VinylSd"/>
    <s v="BrkFace"/>
    <n v="110"/>
    <s v="Gd"/>
    <s v="TA"/>
    <s v="PConc"/>
    <s v="Gd"/>
    <s v="TA"/>
    <s v="No"/>
    <s v="GLQ"/>
    <n v="788"/>
    <s v="Unf"/>
    <n v="0"/>
    <n v="785"/>
    <n v="1573"/>
    <s v="GasA"/>
    <s v="Ex"/>
    <s v="Y"/>
    <s v="SBrkr"/>
    <n v="1573"/>
    <n v="0"/>
    <n v="0"/>
    <x v="357"/>
    <n v="1"/>
    <n v="0"/>
    <n v="2"/>
    <n v="0"/>
    <n v="3"/>
    <n v="1"/>
    <s v="Gd"/>
    <n v="6"/>
    <s v="Typ"/>
    <n v="0"/>
    <s v="NA"/>
    <s v="Attchd"/>
    <n v="2002"/>
    <s v="RFn"/>
    <n v="2"/>
    <n v="544"/>
    <s v="TA"/>
    <s v="TA"/>
    <s v="Y"/>
    <n v="0"/>
    <n v="72"/>
    <n v="0"/>
    <n v="0"/>
    <n v="0"/>
    <n v="0"/>
    <s v="NA"/>
    <s v="NA"/>
    <s v="NA"/>
    <n v="0"/>
    <n v="3"/>
    <n v="2009"/>
    <s v="WD"/>
    <s v="Normal"/>
    <n v="227000"/>
  </r>
  <r>
    <n v="1282"/>
    <n v="20"/>
    <s v="RL"/>
    <n v="50"/>
    <n v="8049"/>
    <s v="Pave"/>
    <s v="NA"/>
    <s v="IR1"/>
    <s v="Lvl"/>
    <s v="AllPub"/>
    <s v="CulDSac"/>
    <s v="Gtl"/>
    <x v="16"/>
    <x v="0"/>
    <s v="Norm"/>
    <x v="0"/>
    <x v="1"/>
    <n v="7"/>
    <n v="5"/>
    <x v="59"/>
    <n v="1990"/>
    <s v="Hip"/>
    <s v="CompShg"/>
    <s v="HdBoard"/>
    <s v="HdBoard"/>
    <s v="BrkFace"/>
    <n v="54"/>
    <s v="TA"/>
    <s v="TA"/>
    <s v="CBlock"/>
    <s v="Gd"/>
    <s v="TA"/>
    <s v="No"/>
    <s v="ALQ"/>
    <n v="1053"/>
    <s v="Unf"/>
    <n v="0"/>
    <n v="256"/>
    <n v="1309"/>
    <s v="GasA"/>
    <s v="TA"/>
    <s v="Y"/>
    <s v="SBrkr"/>
    <n v="1339"/>
    <n v="0"/>
    <n v="0"/>
    <x v="19"/>
    <n v="1"/>
    <n v="0"/>
    <n v="2"/>
    <n v="0"/>
    <n v="2"/>
    <n v="1"/>
    <s v="TA"/>
    <n v="6"/>
    <s v="Typ"/>
    <n v="1"/>
    <s v="TA"/>
    <s v="Attchd"/>
    <n v="1990"/>
    <s v="Fin"/>
    <n v="2"/>
    <n v="484"/>
    <s v="Gd"/>
    <s v="Gd"/>
    <s v="Y"/>
    <n v="0"/>
    <n v="58"/>
    <n v="0"/>
    <n v="0"/>
    <n v="90"/>
    <n v="0"/>
    <s v="NA"/>
    <s v="NA"/>
    <s v="NA"/>
    <n v="0"/>
    <n v="7"/>
    <n v="2006"/>
    <s v="WD"/>
    <s v="Normal"/>
    <n v="180000"/>
  </r>
  <r>
    <n v="1283"/>
    <n v="20"/>
    <s v="RL"/>
    <n v="61"/>
    <n v="8800"/>
    <s v="Pave"/>
    <s v="NA"/>
    <s v="IR1"/>
    <s v="Lvl"/>
    <s v="AllPub"/>
    <s v="Inside"/>
    <s v="Gtl"/>
    <x v="0"/>
    <x v="0"/>
    <s v="Norm"/>
    <x v="0"/>
    <x v="1"/>
    <n v="5"/>
    <n v="7"/>
    <x v="54"/>
    <n v="2008"/>
    <s v="Gable"/>
    <s v="CompShg"/>
    <s v="HdBoard"/>
    <s v="HdBoard"/>
    <s v="None"/>
    <n v="0"/>
    <s v="TA"/>
    <s v="TA"/>
    <s v="CBlock"/>
    <s v="Gd"/>
    <s v="TA"/>
    <s v="Mn"/>
    <s v="LwQ"/>
    <n v="532"/>
    <s v="Rec"/>
    <n v="144"/>
    <n v="364"/>
    <n v="1040"/>
    <s v="GasA"/>
    <s v="TA"/>
    <s v="Y"/>
    <s v="SBrkr"/>
    <n v="1040"/>
    <n v="0"/>
    <n v="0"/>
    <x v="10"/>
    <n v="0"/>
    <n v="0"/>
    <n v="2"/>
    <n v="0"/>
    <n v="3"/>
    <n v="1"/>
    <s v="Gd"/>
    <n v="5"/>
    <s v="Typ"/>
    <n v="0"/>
    <s v="NA"/>
    <s v="Detchd"/>
    <n v="1977"/>
    <s v="Unf"/>
    <n v="2"/>
    <n v="484"/>
    <s v="TA"/>
    <s v="TA"/>
    <s v="Y"/>
    <n v="0"/>
    <n v="0"/>
    <n v="0"/>
    <n v="0"/>
    <n v="288"/>
    <n v="0"/>
    <s v="NA"/>
    <s v="NA"/>
    <s v="NA"/>
    <n v="0"/>
    <n v="9"/>
    <n v="2009"/>
    <s v="WD"/>
    <s v="Normal"/>
    <n v="150500"/>
  </r>
  <r>
    <n v="1284"/>
    <n v="90"/>
    <s v="RL"/>
    <n v="94"/>
    <n v="9400"/>
    <s v="Pave"/>
    <s v="NA"/>
    <s v="Reg"/>
    <s v="Low"/>
    <s v="AllPub"/>
    <s v="Corner"/>
    <s v="Gtl"/>
    <x v="4"/>
    <x v="0"/>
    <s v="Norm"/>
    <x v="2"/>
    <x v="0"/>
    <n v="6"/>
    <n v="5"/>
    <x v="63"/>
    <n v="1971"/>
    <s v="Mansard"/>
    <s v="CompShg"/>
    <s v="MetalSd"/>
    <s v="Wd Shng"/>
    <s v="None"/>
    <n v="0"/>
    <s v="TA"/>
    <s v="TA"/>
    <s v="CBlock"/>
    <s v="TA"/>
    <s v="TA"/>
    <s v="Av"/>
    <s v="Unf"/>
    <n v="0"/>
    <s v="Unf"/>
    <n v="0"/>
    <n v="912"/>
    <n v="912"/>
    <s v="GasA"/>
    <s v="TA"/>
    <s v="Y"/>
    <s v="SBrkr"/>
    <n v="912"/>
    <n v="912"/>
    <n v="0"/>
    <x v="532"/>
    <n v="0"/>
    <n v="0"/>
    <n v="2"/>
    <n v="2"/>
    <n v="4"/>
    <n v="2"/>
    <s v="TA"/>
    <n v="8"/>
    <s v="Typ"/>
    <n v="0"/>
    <s v="NA"/>
    <s v="NA"/>
    <s v="NA"/>
    <s v="NA"/>
    <n v="0"/>
    <n v="0"/>
    <s v="NA"/>
    <s v="NA"/>
    <s v="Y"/>
    <n v="128"/>
    <n v="0"/>
    <n v="0"/>
    <n v="0"/>
    <n v="0"/>
    <n v="0"/>
    <s v="NA"/>
    <s v="NA"/>
    <s v="NA"/>
    <n v="0"/>
    <n v="4"/>
    <n v="2010"/>
    <s v="WD"/>
    <s v="Normal"/>
    <n v="139000"/>
  </r>
  <r>
    <n v="1285"/>
    <n v="50"/>
    <s v="RL"/>
    <n v="50"/>
    <n v="9638"/>
    <s v="Pave"/>
    <s v="NA"/>
    <s v="Reg"/>
    <s v="Lvl"/>
    <s v="AllPub"/>
    <s v="Inside"/>
    <s v="Gtl"/>
    <x v="23"/>
    <x v="1"/>
    <s v="Norm"/>
    <x v="0"/>
    <x v="2"/>
    <n v="6"/>
    <n v="7"/>
    <x v="58"/>
    <n v="1990"/>
    <s v="Gable"/>
    <s v="CompShg"/>
    <s v="Wd Sdng"/>
    <s v="Wd Shng"/>
    <s v="None"/>
    <n v="0"/>
    <s v="TA"/>
    <s v="TA"/>
    <s v="PConc"/>
    <s v="TA"/>
    <s v="TA"/>
    <s v="No"/>
    <s v="Unf"/>
    <n v="0"/>
    <s v="Unf"/>
    <n v="0"/>
    <n v="804"/>
    <n v="804"/>
    <s v="GasA"/>
    <s v="Ex"/>
    <s v="Y"/>
    <s v="SBrkr"/>
    <n v="1699"/>
    <n v="748"/>
    <n v="0"/>
    <x v="797"/>
    <n v="0"/>
    <n v="0"/>
    <n v="2"/>
    <n v="0"/>
    <n v="4"/>
    <n v="1"/>
    <s v="Gd"/>
    <n v="10"/>
    <s v="Min2"/>
    <n v="1"/>
    <s v="Gd"/>
    <s v="Detchd"/>
    <n v="1969"/>
    <s v="Unf"/>
    <n v="1"/>
    <n v="336"/>
    <s v="TA"/>
    <s v="TA"/>
    <s v="Y"/>
    <n v="272"/>
    <n v="0"/>
    <n v="42"/>
    <n v="0"/>
    <n v="116"/>
    <n v="0"/>
    <s v="NA"/>
    <s v="NA"/>
    <s v="NA"/>
    <n v="0"/>
    <n v="3"/>
    <n v="2010"/>
    <s v="WD"/>
    <s v="Normal"/>
    <n v="169000"/>
  </r>
  <r>
    <n v="1286"/>
    <n v="50"/>
    <s v="RM"/>
    <n v="50"/>
    <n v="6000"/>
    <s v="Pave"/>
    <s v="NA"/>
    <s v="Reg"/>
    <s v="Lvl"/>
    <s v="AllPub"/>
    <s v="Inside"/>
    <s v="Gtl"/>
    <x v="8"/>
    <x v="0"/>
    <s v="Norm"/>
    <x v="0"/>
    <x v="2"/>
    <n v="6"/>
    <n v="6"/>
    <x v="9"/>
    <n v="1950"/>
    <s v="Gable"/>
    <s v="CompShg"/>
    <s v="MetalSd"/>
    <s v="MetalSd"/>
    <s v="None"/>
    <n v="0"/>
    <s v="TA"/>
    <s v="Fa"/>
    <s v="CBlock"/>
    <s v="TA"/>
    <s v="TA"/>
    <s v="No"/>
    <s v="Unf"/>
    <n v="0"/>
    <s v="Unf"/>
    <n v="0"/>
    <n v="780"/>
    <n v="780"/>
    <s v="GasA"/>
    <s v="Ex"/>
    <s v="Y"/>
    <s v="FuseF"/>
    <n v="825"/>
    <n v="587"/>
    <n v="0"/>
    <x v="350"/>
    <n v="0"/>
    <n v="0"/>
    <n v="1"/>
    <n v="0"/>
    <n v="4"/>
    <n v="1"/>
    <s v="TA"/>
    <n v="6"/>
    <s v="Typ"/>
    <n v="1"/>
    <s v="Gd"/>
    <s v="Detchd"/>
    <n v="1939"/>
    <s v="Unf"/>
    <n v="1"/>
    <n v="280"/>
    <s v="TA"/>
    <s v="TA"/>
    <s v="Y"/>
    <n v="45"/>
    <n v="0"/>
    <n v="0"/>
    <n v="0"/>
    <n v="0"/>
    <n v="0"/>
    <s v="NA"/>
    <s v="NA"/>
    <s v="NA"/>
    <n v="0"/>
    <n v="5"/>
    <n v="2009"/>
    <s v="WD"/>
    <s v="Normal"/>
    <n v="132500"/>
  </r>
  <r>
    <n v="1287"/>
    <n v="20"/>
    <s v="RL"/>
    <s v="NA"/>
    <n v="9790"/>
    <s v="Pave"/>
    <s v="NA"/>
    <s v="Reg"/>
    <s v="Lvl"/>
    <s v="AllPub"/>
    <s v="Inside"/>
    <s v="Gtl"/>
    <x v="6"/>
    <x v="1"/>
    <s v="Norm"/>
    <x v="0"/>
    <x v="1"/>
    <n v="6"/>
    <n v="5"/>
    <x v="37"/>
    <n v="1963"/>
    <s v="Hip"/>
    <s v="CompShg"/>
    <s v="HdBoard"/>
    <s v="HdBoard"/>
    <s v="BrkFace"/>
    <n v="451"/>
    <s v="TA"/>
    <s v="TA"/>
    <s v="CBlock"/>
    <s v="TA"/>
    <s v="TA"/>
    <s v="No"/>
    <s v="ALQ"/>
    <n v="569"/>
    <s v="Rec"/>
    <n v="81"/>
    <n v="678"/>
    <n v="1328"/>
    <s v="GasA"/>
    <s v="TA"/>
    <s v="Y"/>
    <s v="SBrkr"/>
    <n v="1328"/>
    <n v="0"/>
    <n v="0"/>
    <x v="39"/>
    <n v="1"/>
    <n v="0"/>
    <n v="1"/>
    <n v="1"/>
    <n v="3"/>
    <n v="1"/>
    <s v="TA"/>
    <n v="6"/>
    <s v="Typ"/>
    <n v="2"/>
    <s v="Gd"/>
    <s v="Attchd"/>
    <n v="1963"/>
    <s v="Unf"/>
    <n v="2"/>
    <n v="528"/>
    <s v="TA"/>
    <s v="TA"/>
    <s v="Y"/>
    <n v="0"/>
    <n v="26"/>
    <n v="0"/>
    <n v="0"/>
    <n v="0"/>
    <n v="0"/>
    <s v="NA"/>
    <s v="NA"/>
    <s v="NA"/>
    <n v="0"/>
    <n v="6"/>
    <n v="2010"/>
    <s v="WD"/>
    <s v="Normal"/>
    <n v="143000"/>
  </r>
  <r>
    <n v="1288"/>
    <n v="20"/>
    <s v="RL"/>
    <s v="NA"/>
    <n v="36500"/>
    <s v="Pave"/>
    <s v="NA"/>
    <s v="IR1"/>
    <s v="Low"/>
    <s v="AllPub"/>
    <s v="Inside"/>
    <s v="Mod"/>
    <x v="19"/>
    <x v="0"/>
    <s v="Norm"/>
    <x v="0"/>
    <x v="1"/>
    <n v="5"/>
    <n v="5"/>
    <x v="39"/>
    <n v="1964"/>
    <s v="Gable"/>
    <s v="CompShg"/>
    <s v="Wd Sdng"/>
    <s v="Wd Sdng"/>
    <s v="BrkCmn"/>
    <n v="621"/>
    <s v="TA"/>
    <s v="Gd"/>
    <s v="CBlock"/>
    <s v="TA"/>
    <s v="TA"/>
    <s v="Av"/>
    <s v="Rec"/>
    <n v="812"/>
    <s v="Unf"/>
    <n v="0"/>
    <n v="812"/>
    <n v="1624"/>
    <s v="GasA"/>
    <s v="Fa"/>
    <s v="Y"/>
    <s v="SBrkr"/>
    <n v="1582"/>
    <n v="0"/>
    <n v="0"/>
    <x v="461"/>
    <n v="0"/>
    <n v="1"/>
    <n v="2"/>
    <n v="0"/>
    <n v="4"/>
    <n v="1"/>
    <s v="TA"/>
    <n v="7"/>
    <s v="Typ"/>
    <n v="0"/>
    <s v="NA"/>
    <s v="Attchd"/>
    <n v="1964"/>
    <s v="Unf"/>
    <n v="2"/>
    <n v="390"/>
    <s v="TA"/>
    <s v="TA"/>
    <s v="N"/>
    <n v="168"/>
    <n v="198"/>
    <n v="0"/>
    <n v="0"/>
    <n v="0"/>
    <n v="0"/>
    <s v="NA"/>
    <s v="NA"/>
    <s v="NA"/>
    <n v="0"/>
    <n v="6"/>
    <n v="2006"/>
    <s v="WD"/>
    <s v="Normal"/>
    <n v="190000"/>
  </r>
  <r>
    <n v="1289"/>
    <n v="120"/>
    <s v="RL"/>
    <n v="40"/>
    <n v="5664"/>
    <s v="Pave"/>
    <s v="NA"/>
    <s v="IR1"/>
    <s v="Lvl"/>
    <s v="AllPub"/>
    <s v="Inside"/>
    <s v="Gtl"/>
    <x v="18"/>
    <x v="0"/>
    <s v="Norm"/>
    <x v="3"/>
    <x v="1"/>
    <n v="8"/>
    <n v="5"/>
    <x v="4"/>
    <n v="2000"/>
    <s v="Gable"/>
    <s v="CompShg"/>
    <s v="CemntBd"/>
    <s v="CmentBd"/>
    <s v="None"/>
    <n v="0"/>
    <s v="Gd"/>
    <s v="TA"/>
    <s v="PConc"/>
    <s v="Gd"/>
    <s v="TA"/>
    <s v="No"/>
    <s v="GLQ"/>
    <n v="1158"/>
    <s v="Unf"/>
    <n v="0"/>
    <n v="343"/>
    <n v="1501"/>
    <s v="GasA"/>
    <s v="Ex"/>
    <s v="Y"/>
    <s v="SBrkr"/>
    <n v="1659"/>
    <n v="0"/>
    <n v="0"/>
    <x v="798"/>
    <n v="1"/>
    <n v="0"/>
    <n v="2"/>
    <n v="0"/>
    <n v="2"/>
    <n v="1"/>
    <s v="Ex"/>
    <n v="5"/>
    <s v="Typ"/>
    <n v="1"/>
    <s v="Ex"/>
    <s v="Attchd"/>
    <n v="2000"/>
    <s v="Fin"/>
    <n v="2"/>
    <n v="499"/>
    <s v="TA"/>
    <s v="TA"/>
    <s v="Y"/>
    <n v="212"/>
    <n v="59"/>
    <n v="0"/>
    <n v="0"/>
    <n v="0"/>
    <n v="0"/>
    <s v="NA"/>
    <s v="NA"/>
    <s v="NA"/>
    <n v="0"/>
    <n v="10"/>
    <n v="2009"/>
    <s v="WD"/>
    <s v="Normal"/>
    <n v="278000"/>
  </r>
  <r>
    <n v="1290"/>
    <n v="60"/>
    <s v="RL"/>
    <n v="86"/>
    <n v="11065"/>
    <s v="Pave"/>
    <s v="NA"/>
    <s v="IR1"/>
    <s v="Lvl"/>
    <s v="AllPub"/>
    <s v="Inside"/>
    <s v="Gtl"/>
    <x v="10"/>
    <x v="0"/>
    <s v="Norm"/>
    <x v="0"/>
    <x v="0"/>
    <n v="8"/>
    <n v="5"/>
    <x v="13"/>
    <n v="2006"/>
    <s v="Gable"/>
    <s v="CompShg"/>
    <s v="VinylSd"/>
    <s v="VinylSd"/>
    <s v="Stone"/>
    <n v="788"/>
    <s v="Gd"/>
    <s v="TA"/>
    <s v="PConc"/>
    <s v="Gd"/>
    <s v="TA"/>
    <s v="Mn"/>
    <s v="Unf"/>
    <n v="0"/>
    <s v="Unf"/>
    <n v="0"/>
    <n v="1085"/>
    <n v="1085"/>
    <s v="GasA"/>
    <s v="Ex"/>
    <s v="Y"/>
    <s v="SBrkr"/>
    <n v="1120"/>
    <n v="850"/>
    <n v="0"/>
    <x v="799"/>
    <n v="0"/>
    <n v="0"/>
    <n v="2"/>
    <n v="1"/>
    <n v="3"/>
    <n v="1"/>
    <s v="Ex"/>
    <n v="8"/>
    <s v="Typ"/>
    <n v="1"/>
    <s v="Gd"/>
    <s v="BuiltIn"/>
    <n v="2006"/>
    <s v="Fin"/>
    <n v="3"/>
    <n v="753"/>
    <s v="TA"/>
    <s v="TA"/>
    <s v="Y"/>
    <n v="177"/>
    <n v="74"/>
    <n v="0"/>
    <n v="0"/>
    <n v="0"/>
    <n v="0"/>
    <s v="NA"/>
    <s v="NA"/>
    <s v="NA"/>
    <n v="0"/>
    <n v="10"/>
    <n v="2006"/>
    <s v="New"/>
    <s v="Partial"/>
    <n v="281000"/>
  </r>
  <r>
    <n v="1291"/>
    <n v="80"/>
    <s v="RL"/>
    <s v="NA"/>
    <n v="14112"/>
    <s v="Pave"/>
    <s v="NA"/>
    <s v="IR1"/>
    <s v="Lvl"/>
    <s v="AllPub"/>
    <s v="Corner"/>
    <s v="Gtl"/>
    <x v="11"/>
    <x v="0"/>
    <s v="Norm"/>
    <x v="0"/>
    <x v="5"/>
    <n v="5"/>
    <n v="7"/>
    <x v="39"/>
    <n v="1964"/>
    <s v="Hip"/>
    <s v="CompShg"/>
    <s v="Wd Sdng"/>
    <s v="HdBoard"/>
    <s v="BrkFace"/>
    <n v="86"/>
    <s v="TA"/>
    <s v="TA"/>
    <s v="PConc"/>
    <s v="TA"/>
    <s v="TA"/>
    <s v="Av"/>
    <s v="GLQ"/>
    <n v="1014"/>
    <s v="Unf"/>
    <n v="0"/>
    <n v="138"/>
    <n v="1152"/>
    <s v="GasA"/>
    <s v="TA"/>
    <s v="Y"/>
    <s v="SBrkr"/>
    <n v="1152"/>
    <n v="0"/>
    <n v="0"/>
    <x v="37"/>
    <n v="1"/>
    <n v="0"/>
    <n v="1"/>
    <n v="0"/>
    <n v="3"/>
    <n v="1"/>
    <s v="TA"/>
    <n v="6"/>
    <s v="Typ"/>
    <n v="1"/>
    <s v="Gd"/>
    <s v="Attchd"/>
    <n v="1964"/>
    <s v="RFn"/>
    <n v="2"/>
    <n v="484"/>
    <s v="TA"/>
    <s v="TA"/>
    <s v="Y"/>
    <n v="227"/>
    <n v="0"/>
    <n v="0"/>
    <n v="0"/>
    <n v="0"/>
    <n v="0"/>
    <s v="NA"/>
    <s v="NA"/>
    <s v="NA"/>
    <n v="0"/>
    <n v="4"/>
    <n v="2010"/>
    <s v="WD"/>
    <s v="Normal"/>
    <n v="180500"/>
  </r>
  <r>
    <n v="1292"/>
    <n v="160"/>
    <s v="RM"/>
    <n v="21"/>
    <n v="1680"/>
    <s v="Pave"/>
    <s v="NA"/>
    <s v="Reg"/>
    <s v="Lvl"/>
    <s v="AllPub"/>
    <s v="Inside"/>
    <s v="Gtl"/>
    <x v="22"/>
    <x v="0"/>
    <s v="Norm"/>
    <x v="4"/>
    <x v="0"/>
    <n v="5"/>
    <n v="7"/>
    <x v="41"/>
    <n v="1972"/>
    <s v="Gable"/>
    <s v="CompShg"/>
    <s v="CemntBd"/>
    <s v="CmentBd"/>
    <s v="BrkFace"/>
    <n v="268"/>
    <s v="TA"/>
    <s v="TA"/>
    <s v="CBlock"/>
    <s v="TA"/>
    <s v="TA"/>
    <s v="No"/>
    <s v="ALQ"/>
    <n v="231"/>
    <s v="Unf"/>
    <n v="0"/>
    <n v="399"/>
    <n v="630"/>
    <s v="GasA"/>
    <s v="TA"/>
    <s v="Y"/>
    <s v="SBrkr"/>
    <n v="630"/>
    <n v="672"/>
    <n v="0"/>
    <x v="198"/>
    <n v="0"/>
    <n v="0"/>
    <n v="2"/>
    <n v="1"/>
    <n v="3"/>
    <n v="1"/>
    <s v="TA"/>
    <n v="6"/>
    <s v="Typ"/>
    <n v="0"/>
    <s v="NA"/>
    <s v="Detchd"/>
    <n v="1972"/>
    <s v="Unf"/>
    <n v="1"/>
    <n v="264"/>
    <s v="TA"/>
    <s v="TA"/>
    <s v="Y"/>
    <n v="185"/>
    <n v="0"/>
    <n v="0"/>
    <n v="0"/>
    <n v="0"/>
    <n v="0"/>
    <s v="NA"/>
    <s v="NA"/>
    <s v="NA"/>
    <n v="0"/>
    <n v="2"/>
    <n v="2009"/>
    <s v="WD"/>
    <s v="Normal"/>
    <n v="119500"/>
  </r>
  <r>
    <n v="1293"/>
    <n v="70"/>
    <s v="RM"/>
    <n v="60"/>
    <n v="6600"/>
    <s v="Pave"/>
    <s v="NA"/>
    <s v="Reg"/>
    <s v="Lvl"/>
    <s v="AllPub"/>
    <s v="Corner"/>
    <s v="Gtl"/>
    <x v="7"/>
    <x v="0"/>
    <s v="Norm"/>
    <x v="0"/>
    <x v="0"/>
    <n v="5"/>
    <n v="4"/>
    <x v="76"/>
    <n v="1965"/>
    <s v="Gable"/>
    <s v="CompShg"/>
    <s v="Wd Sdng"/>
    <s v="Wd Sdng"/>
    <s v="None"/>
    <n v="0"/>
    <s v="TA"/>
    <s v="TA"/>
    <s v="Stone"/>
    <s v="TA"/>
    <s v="TA"/>
    <s v="No"/>
    <s v="Unf"/>
    <n v="0"/>
    <s v="Unf"/>
    <n v="0"/>
    <n v="994"/>
    <n v="994"/>
    <s v="GasA"/>
    <s v="TA"/>
    <s v="N"/>
    <s v="SBrkr"/>
    <n v="1378"/>
    <n v="994"/>
    <n v="0"/>
    <x v="800"/>
    <n v="0"/>
    <n v="0"/>
    <n v="2"/>
    <n v="0"/>
    <n v="4"/>
    <n v="2"/>
    <s v="TA"/>
    <n v="11"/>
    <s v="Min2"/>
    <n v="0"/>
    <s v="NA"/>
    <s v="Attchd"/>
    <n v="1985"/>
    <s v="RFn"/>
    <n v="1"/>
    <n v="432"/>
    <s v="TA"/>
    <s v="TA"/>
    <s v="Y"/>
    <n v="0"/>
    <n v="287"/>
    <n v="0"/>
    <n v="0"/>
    <n v="0"/>
    <n v="0"/>
    <s v="NA"/>
    <s v="NA"/>
    <s v="NA"/>
    <n v="0"/>
    <n v="12"/>
    <n v="2009"/>
    <s v="WD"/>
    <s v="Normal"/>
    <n v="107500"/>
  </r>
  <r>
    <n v="1294"/>
    <n v="60"/>
    <s v="RL"/>
    <n v="78"/>
    <n v="10140"/>
    <s v="Pave"/>
    <s v="NA"/>
    <s v="Reg"/>
    <s v="Lvl"/>
    <s v="AllPub"/>
    <s v="Inside"/>
    <s v="Gtl"/>
    <x v="6"/>
    <x v="0"/>
    <s v="Norm"/>
    <x v="0"/>
    <x v="0"/>
    <n v="7"/>
    <n v="5"/>
    <x v="1"/>
    <n v="1976"/>
    <s v="Gable"/>
    <s v="CompShg"/>
    <s v="HdBoard"/>
    <s v="HdBoard"/>
    <s v="None"/>
    <n v="0"/>
    <s v="TA"/>
    <s v="TA"/>
    <s v="PConc"/>
    <s v="Gd"/>
    <s v="TA"/>
    <s v="No"/>
    <s v="GLQ"/>
    <n v="194"/>
    <s v="Unf"/>
    <n v="0"/>
    <n v="638"/>
    <n v="832"/>
    <s v="GasA"/>
    <s v="TA"/>
    <s v="Y"/>
    <s v="SBrkr"/>
    <n v="832"/>
    <n v="832"/>
    <n v="0"/>
    <x v="307"/>
    <n v="0"/>
    <n v="0"/>
    <n v="2"/>
    <n v="1"/>
    <n v="4"/>
    <n v="1"/>
    <s v="TA"/>
    <n v="8"/>
    <s v="Typ"/>
    <n v="1"/>
    <s v="TA"/>
    <s v="Attchd"/>
    <n v="1976"/>
    <s v="RFn"/>
    <n v="2"/>
    <n v="528"/>
    <s v="TA"/>
    <s v="TA"/>
    <s v="Y"/>
    <n v="0"/>
    <n v="28"/>
    <n v="0"/>
    <n v="0"/>
    <n v="259"/>
    <n v="0"/>
    <s v="NA"/>
    <s v="GdWo"/>
    <s v="NA"/>
    <n v="0"/>
    <n v="3"/>
    <n v="2006"/>
    <s v="WD"/>
    <s v="Normal"/>
    <n v="162900"/>
  </r>
  <r>
    <n v="1295"/>
    <n v="20"/>
    <s v="RL"/>
    <n v="60"/>
    <n v="8172"/>
    <s v="Pave"/>
    <s v="NA"/>
    <s v="Reg"/>
    <s v="Lvl"/>
    <s v="AllPub"/>
    <s v="Inside"/>
    <s v="Gtl"/>
    <x v="15"/>
    <x v="0"/>
    <s v="Norm"/>
    <x v="0"/>
    <x v="1"/>
    <n v="5"/>
    <n v="7"/>
    <x v="32"/>
    <n v="1990"/>
    <s v="Hip"/>
    <s v="CompShg"/>
    <s v="WdShing"/>
    <s v="Plywood"/>
    <s v="None"/>
    <n v="0"/>
    <s v="TA"/>
    <s v="TA"/>
    <s v="CBlock"/>
    <s v="TA"/>
    <s v="TA"/>
    <s v="No"/>
    <s v="Rec"/>
    <n v="167"/>
    <s v="Unf"/>
    <n v="0"/>
    <n v="697"/>
    <n v="864"/>
    <s v="GasA"/>
    <s v="TA"/>
    <s v="Y"/>
    <s v="SBrkr"/>
    <n v="864"/>
    <n v="0"/>
    <n v="0"/>
    <x v="132"/>
    <n v="1"/>
    <n v="0"/>
    <n v="1"/>
    <n v="0"/>
    <n v="2"/>
    <n v="1"/>
    <s v="TA"/>
    <n v="5"/>
    <s v="Typ"/>
    <n v="0"/>
    <s v="NA"/>
    <s v="Detchd"/>
    <n v="1957"/>
    <s v="Unf"/>
    <n v="2"/>
    <n v="572"/>
    <s v="TA"/>
    <s v="TA"/>
    <s v="N"/>
    <n v="0"/>
    <n v="0"/>
    <n v="0"/>
    <n v="0"/>
    <n v="0"/>
    <n v="0"/>
    <s v="NA"/>
    <s v="NA"/>
    <s v="NA"/>
    <n v="0"/>
    <n v="4"/>
    <n v="2006"/>
    <s v="WD"/>
    <s v="Normal"/>
    <n v="115000"/>
  </r>
  <r>
    <n v="1296"/>
    <n v="20"/>
    <s v="RL"/>
    <n v="70"/>
    <n v="8400"/>
    <s v="Pave"/>
    <s v="NA"/>
    <s v="Reg"/>
    <s v="Lvl"/>
    <s v="AllPub"/>
    <s v="Inside"/>
    <s v="Gtl"/>
    <x v="11"/>
    <x v="1"/>
    <s v="Norm"/>
    <x v="0"/>
    <x v="1"/>
    <n v="5"/>
    <n v="5"/>
    <x v="21"/>
    <n v="1968"/>
    <s v="Hip"/>
    <s v="CompShg"/>
    <s v="HdBoard"/>
    <s v="HdBoard"/>
    <s v="BrkFace"/>
    <n v="168"/>
    <s v="TA"/>
    <s v="TA"/>
    <s v="CBlock"/>
    <s v="TA"/>
    <s v="TA"/>
    <s v="Av"/>
    <s v="BLQ"/>
    <n v="1016"/>
    <s v="Unf"/>
    <n v="0"/>
    <n v="36"/>
    <n v="1052"/>
    <s v="GasA"/>
    <s v="Gd"/>
    <s v="Y"/>
    <s v="SBrkr"/>
    <n v="1052"/>
    <n v="0"/>
    <n v="0"/>
    <x v="589"/>
    <n v="1"/>
    <n v="0"/>
    <n v="1"/>
    <n v="1"/>
    <n v="3"/>
    <n v="1"/>
    <s v="TA"/>
    <n v="5"/>
    <s v="Typ"/>
    <n v="0"/>
    <s v="NA"/>
    <s v="Attchd"/>
    <n v="1968"/>
    <s v="RFn"/>
    <n v="1"/>
    <n v="288"/>
    <s v="TA"/>
    <s v="TA"/>
    <s v="Y"/>
    <n v="356"/>
    <n v="0"/>
    <n v="0"/>
    <n v="0"/>
    <n v="0"/>
    <n v="0"/>
    <s v="NA"/>
    <s v="GdWo"/>
    <s v="NA"/>
    <n v="0"/>
    <n v="11"/>
    <n v="2006"/>
    <s v="WD"/>
    <s v="Normal"/>
    <n v="138500"/>
  </r>
  <r>
    <n v="1297"/>
    <n v="20"/>
    <s v="RL"/>
    <n v="80"/>
    <n v="8700"/>
    <s v="Pave"/>
    <s v="NA"/>
    <s v="Reg"/>
    <s v="Lvl"/>
    <s v="AllPub"/>
    <s v="Inside"/>
    <s v="Gtl"/>
    <x v="11"/>
    <x v="0"/>
    <s v="Norm"/>
    <x v="0"/>
    <x v="1"/>
    <n v="5"/>
    <n v="6"/>
    <x v="37"/>
    <n v="1963"/>
    <s v="Hip"/>
    <s v="CompShg"/>
    <s v="MetalSd"/>
    <s v="MetalSd"/>
    <s v="BrkFace"/>
    <n v="148"/>
    <s v="TA"/>
    <s v="Gd"/>
    <s v="CBlock"/>
    <s v="TA"/>
    <s v="TA"/>
    <s v="Mn"/>
    <s v="ALQ"/>
    <n v="776"/>
    <s v="Unf"/>
    <n v="0"/>
    <n v="344"/>
    <n v="1120"/>
    <s v="GasA"/>
    <s v="Gd"/>
    <s v="Y"/>
    <s v="SBrkr"/>
    <n v="1128"/>
    <n v="0"/>
    <n v="0"/>
    <x v="582"/>
    <n v="1"/>
    <n v="0"/>
    <n v="2"/>
    <n v="0"/>
    <n v="3"/>
    <n v="1"/>
    <s v="TA"/>
    <n v="6"/>
    <s v="Typ"/>
    <n v="0"/>
    <s v="NA"/>
    <s v="Attchd"/>
    <n v="1963"/>
    <s v="RFn"/>
    <n v="2"/>
    <n v="525"/>
    <s v="TA"/>
    <s v="TA"/>
    <s v="Y"/>
    <n v="192"/>
    <n v="20"/>
    <n v="123"/>
    <n v="0"/>
    <n v="0"/>
    <n v="0"/>
    <s v="NA"/>
    <s v="MnPrv"/>
    <s v="NA"/>
    <n v="0"/>
    <n v="12"/>
    <n v="2008"/>
    <s v="WD"/>
    <s v="Normal"/>
    <n v="155000"/>
  </r>
  <r>
    <n v="1298"/>
    <n v="180"/>
    <s v="RM"/>
    <n v="35"/>
    <n v="3675"/>
    <s v="Pave"/>
    <s v="NA"/>
    <s v="Reg"/>
    <s v="Lvl"/>
    <s v="AllPub"/>
    <s v="Inside"/>
    <s v="Gtl"/>
    <x v="15"/>
    <x v="0"/>
    <s v="Norm"/>
    <x v="3"/>
    <x v="4"/>
    <n v="6"/>
    <n v="5"/>
    <x v="11"/>
    <n v="2006"/>
    <s v="Gable"/>
    <s v="CompShg"/>
    <s v="VinylSd"/>
    <s v="VinylSd"/>
    <s v="BrkFace"/>
    <n v="82"/>
    <s v="TA"/>
    <s v="TA"/>
    <s v="PConc"/>
    <s v="Gd"/>
    <s v="TA"/>
    <s v="Gd"/>
    <s v="GLQ"/>
    <n v="547"/>
    <s v="Unf"/>
    <n v="0"/>
    <n v="0"/>
    <n v="547"/>
    <s v="GasA"/>
    <s v="Gd"/>
    <s v="Y"/>
    <s v="SBrkr"/>
    <n v="1072"/>
    <n v="0"/>
    <n v="0"/>
    <x v="379"/>
    <n v="1"/>
    <n v="0"/>
    <n v="2"/>
    <n v="0"/>
    <n v="2"/>
    <n v="1"/>
    <s v="TA"/>
    <n v="5"/>
    <s v="Typ"/>
    <n v="0"/>
    <s v="NA"/>
    <s v="Basment"/>
    <n v="2005"/>
    <s v="Fin"/>
    <n v="2"/>
    <n v="525"/>
    <s v="TA"/>
    <s v="TA"/>
    <s v="Y"/>
    <n v="0"/>
    <n v="44"/>
    <n v="0"/>
    <n v="0"/>
    <n v="0"/>
    <n v="0"/>
    <s v="NA"/>
    <s v="NA"/>
    <s v="NA"/>
    <n v="0"/>
    <n v="6"/>
    <n v="2006"/>
    <s v="New"/>
    <s v="Partial"/>
    <n v="140000"/>
  </r>
  <r>
    <n v="1299"/>
    <n v="60"/>
    <s v="RL"/>
    <n v="313"/>
    <n v="63887"/>
    <s v="Pave"/>
    <s v="NA"/>
    <s v="IR3"/>
    <s v="Bnk"/>
    <s v="AllPub"/>
    <s v="Corner"/>
    <s v="Gtl"/>
    <x v="15"/>
    <x v="1"/>
    <s v="Norm"/>
    <x v="0"/>
    <x v="0"/>
    <n v="10"/>
    <n v="5"/>
    <x v="74"/>
    <n v="2008"/>
    <s v="Hip"/>
    <s v="ClyTile"/>
    <s v="Stucco"/>
    <s v="Stucco"/>
    <s v="Stone"/>
    <n v="796"/>
    <s v="Ex"/>
    <s v="TA"/>
    <s v="PConc"/>
    <s v="Ex"/>
    <s v="TA"/>
    <s v="Gd"/>
    <s v="GLQ"/>
    <n v="5644"/>
    <s v="Unf"/>
    <n v="0"/>
    <n v="466"/>
    <n v="6110"/>
    <s v="GasA"/>
    <s v="Ex"/>
    <s v="Y"/>
    <s v="SBrkr"/>
    <n v="4692"/>
    <n v="950"/>
    <n v="0"/>
    <x v="801"/>
    <n v="2"/>
    <n v="0"/>
    <n v="2"/>
    <n v="1"/>
    <n v="3"/>
    <n v="1"/>
    <s v="Ex"/>
    <n v="12"/>
    <s v="Typ"/>
    <n v="3"/>
    <s v="Gd"/>
    <s v="Attchd"/>
    <n v="2008"/>
    <s v="Fin"/>
    <n v="2"/>
    <n v="1418"/>
    <s v="TA"/>
    <s v="TA"/>
    <s v="Y"/>
    <n v="214"/>
    <n v="292"/>
    <n v="0"/>
    <n v="0"/>
    <n v="0"/>
    <n v="480"/>
    <s v="Gd"/>
    <s v="NA"/>
    <s v="NA"/>
    <n v="0"/>
    <n v="1"/>
    <n v="2008"/>
    <s v="New"/>
    <s v="Partial"/>
    <n v="160000"/>
  </r>
  <r>
    <n v="1300"/>
    <n v="20"/>
    <s v="RL"/>
    <n v="75"/>
    <n v="7500"/>
    <s v="Pave"/>
    <s v="NA"/>
    <s v="Reg"/>
    <s v="Lvl"/>
    <s v="AllPub"/>
    <s v="Inside"/>
    <s v="Gtl"/>
    <x v="11"/>
    <x v="0"/>
    <s v="Norm"/>
    <x v="0"/>
    <x v="1"/>
    <n v="5"/>
    <n v="7"/>
    <x v="28"/>
    <n v="1994"/>
    <s v="Hip"/>
    <s v="CompShg"/>
    <s v="BrkFace"/>
    <s v="BrkFace"/>
    <s v="None"/>
    <n v="0"/>
    <s v="TA"/>
    <s v="TA"/>
    <s v="CBlock"/>
    <s v="TA"/>
    <s v="TA"/>
    <s v="No"/>
    <s v="LwQ"/>
    <n v="340"/>
    <s v="Rec"/>
    <n v="906"/>
    <n v="0"/>
    <n v="1246"/>
    <s v="GasA"/>
    <s v="Ex"/>
    <s v="Y"/>
    <s v="SBrkr"/>
    <n v="1246"/>
    <n v="0"/>
    <n v="0"/>
    <x v="802"/>
    <n v="1"/>
    <n v="0"/>
    <n v="1"/>
    <n v="1"/>
    <n v="3"/>
    <n v="1"/>
    <s v="Gd"/>
    <n v="6"/>
    <s v="Typ"/>
    <n v="0"/>
    <s v="NA"/>
    <s v="Attchd"/>
    <n v="1959"/>
    <s v="RFn"/>
    <n v="1"/>
    <n v="305"/>
    <s v="TA"/>
    <s v="TA"/>
    <s v="Y"/>
    <n v="218"/>
    <n v="0"/>
    <n v="0"/>
    <n v="0"/>
    <n v="0"/>
    <n v="0"/>
    <s v="NA"/>
    <s v="GdPrv"/>
    <s v="NA"/>
    <n v="0"/>
    <n v="5"/>
    <n v="2010"/>
    <s v="WD"/>
    <s v="Normal"/>
    <n v="154000"/>
  </r>
  <r>
    <n v="1301"/>
    <n v="60"/>
    <s v="RL"/>
    <s v="NA"/>
    <n v="10762"/>
    <s v="Pave"/>
    <s v="NA"/>
    <s v="IR1"/>
    <s v="Lvl"/>
    <s v="AllPub"/>
    <s v="CulDSac"/>
    <s v="Gtl"/>
    <x v="17"/>
    <x v="0"/>
    <s v="Norm"/>
    <x v="0"/>
    <x v="0"/>
    <n v="7"/>
    <n v="5"/>
    <x v="40"/>
    <n v="1999"/>
    <s v="Gable"/>
    <s v="CompShg"/>
    <s v="VinylSd"/>
    <s v="VinylSd"/>
    <s v="None"/>
    <n v="344"/>
    <s v="Gd"/>
    <s v="TA"/>
    <s v="PConc"/>
    <s v="Gd"/>
    <s v="TA"/>
    <s v="No"/>
    <s v="GLQ"/>
    <n v="694"/>
    <s v="Unf"/>
    <n v="0"/>
    <n v="284"/>
    <n v="978"/>
    <s v="GasA"/>
    <s v="Ex"/>
    <s v="Y"/>
    <s v="SBrkr"/>
    <n v="1005"/>
    <n v="978"/>
    <n v="0"/>
    <x v="803"/>
    <n v="0"/>
    <n v="0"/>
    <n v="2"/>
    <n v="1"/>
    <n v="3"/>
    <n v="1"/>
    <s v="Gd"/>
    <n v="9"/>
    <s v="Typ"/>
    <n v="1"/>
    <s v="TA"/>
    <s v="Attchd"/>
    <n v="1999"/>
    <s v="Fin"/>
    <n v="2"/>
    <n v="490"/>
    <s v="TA"/>
    <s v="TA"/>
    <s v="Y"/>
    <n v="0"/>
    <n v="0"/>
    <n v="0"/>
    <n v="0"/>
    <n v="0"/>
    <n v="0"/>
    <s v="NA"/>
    <s v="NA"/>
    <s v="NA"/>
    <n v="0"/>
    <n v="5"/>
    <n v="2009"/>
    <s v="WD"/>
    <s v="Normal"/>
    <n v="225000"/>
  </r>
  <r>
    <n v="1302"/>
    <n v="70"/>
    <s v="RL"/>
    <s v="NA"/>
    <n v="7500"/>
    <s v="Pave"/>
    <s v="NA"/>
    <s v="IR1"/>
    <s v="Bnk"/>
    <s v="AllPub"/>
    <s v="Inside"/>
    <s v="Gtl"/>
    <x v="2"/>
    <x v="0"/>
    <s v="Norm"/>
    <x v="0"/>
    <x v="0"/>
    <n v="6"/>
    <n v="7"/>
    <x v="97"/>
    <n v="1950"/>
    <s v="Gable"/>
    <s v="CompShg"/>
    <s v="Wd Sdng"/>
    <s v="Wd Sdng"/>
    <s v="None"/>
    <n v="0"/>
    <s v="TA"/>
    <s v="TA"/>
    <s v="CBlock"/>
    <s v="TA"/>
    <s v="TA"/>
    <s v="No"/>
    <s v="BLQ"/>
    <n v="547"/>
    <s v="Unf"/>
    <n v="0"/>
    <n v="224"/>
    <n v="771"/>
    <s v="GasA"/>
    <s v="Fa"/>
    <s v="Y"/>
    <s v="SBrkr"/>
    <n v="753"/>
    <n v="741"/>
    <n v="0"/>
    <x v="13"/>
    <n v="0"/>
    <n v="0"/>
    <n v="1"/>
    <n v="0"/>
    <n v="3"/>
    <n v="1"/>
    <s v="Gd"/>
    <n v="7"/>
    <s v="Typ"/>
    <n v="2"/>
    <s v="Gd"/>
    <s v="Attchd"/>
    <n v="1942"/>
    <s v="Unf"/>
    <n v="1"/>
    <n v="213"/>
    <s v="TA"/>
    <s v="TA"/>
    <s v="P"/>
    <n v="0"/>
    <n v="0"/>
    <n v="0"/>
    <n v="0"/>
    <n v="224"/>
    <n v="0"/>
    <s v="NA"/>
    <s v="NA"/>
    <s v="NA"/>
    <n v="0"/>
    <n v="11"/>
    <n v="2009"/>
    <s v="WD"/>
    <s v="Normal"/>
    <n v="177500"/>
  </r>
  <r>
    <n v="1303"/>
    <n v="60"/>
    <s v="RL"/>
    <n v="92"/>
    <n v="10120"/>
    <s v="Pave"/>
    <s v="NA"/>
    <s v="Reg"/>
    <s v="Lvl"/>
    <s v="AllPub"/>
    <s v="Inside"/>
    <s v="Gtl"/>
    <x v="3"/>
    <x v="0"/>
    <s v="Norm"/>
    <x v="0"/>
    <x v="0"/>
    <n v="8"/>
    <n v="5"/>
    <x v="29"/>
    <n v="1994"/>
    <s v="Hip"/>
    <s v="CompShg"/>
    <s v="VinylSd"/>
    <s v="VinylSd"/>
    <s v="BrkFace"/>
    <n v="391"/>
    <s v="Gd"/>
    <s v="TA"/>
    <s v="PConc"/>
    <s v="Gd"/>
    <s v="TA"/>
    <s v="No"/>
    <s v="GLQ"/>
    <n v="740"/>
    <s v="Unf"/>
    <n v="0"/>
    <n v="425"/>
    <n v="1165"/>
    <s v="GasA"/>
    <s v="Ex"/>
    <s v="Y"/>
    <s v="SBrkr"/>
    <n v="1203"/>
    <n v="1323"/>
    <n v="0"/>
    <x v="804"/>
    <n v="1"/>
    <n v="0"/>
    <n v="2"/>
    <n v="1"/>
    <n v="4"/>
    <n v="1"/>
    <s v="Gd"/>
    <n v="8"/>
    <s v="Typ"/>
    <n v="1"/>
    <s v="TA"/>
    <s v="Attchd"/>
    <n v="1994"/>
    <s v="RFn"/>
    <n v="3"/>
    <n v="844"/>
    <s v="TA"/>
    <s v="TA"/>
    <s v="Y"/>
    <n v="309"/>
    <n v="78"/>
    <n v="0"/>
    <n v="0"/>
    <n v="0"/>
    <n v="0"/>
    <s v="NA"/>
    <s v="NA"/>
    <s v="NA"/>
    <n v="0"/>
    <n v="12"/>
    <n v="2006"/>
    <s v="WD"/>
    <s v="Normal"/>
    <n v="290000"/>
  </r>
  <r>
    <n v="1304"/>
    <n v="20"/>
    <s v="RL"/>
    <n v="73"/>
    <n v="8688"/>
    <s v="Pave"/>
    <s v="NA"/>
    <s v="Reg"/>
    <s v="Lvl"/>
    <s v="AllPub"/>
    <s v="Inside"/>
    <s v="Gtl"/>
    <x v="5"/>
    <x v="0"/>
    <s v="Norm"/>
    <x v="0"/>
    <x v="1"/>
    <n v="7"/>
    <n v="5"/>
    <x v="11"/>
    <n v="2005"/>
    <s v="Gable"/>
    <s v="CompShg"/>
    <s v="VinylSd"/>
    <s v="VinylSd"/>
    <s v="BrkFace"/>
    <n v="228"/>
    <s v="Gd"/>
    <s v="TA"/>
    <s v="PConc"/>
    <s v="Gd"/>
    <s v="TA"/>
    <s v="Av"/>
    <s v="Unf"/>
    <n v="0"/>
    <s v="Unf"/>
    <n v="0"/>
    <n v="1616"/>
    <n v="1616"/>
    <s v="GasA"/>
    <s v="Ex"/>
    <s v="Y"/>
    <s v="SBrkr"/>
    <n v="1616"/>
    <n v="0"/>
    <n v="0"/>
    <x v="153"/>
    <n v="0"/>
    <n v="0"/>
    <n v="2"/>
    <n v="0"/>
    <n v="3"/>
    <n v="1"/>
    <s v="Gd"/>
    <n v="7"/>
    <s v="Typ"/>
    <n v="0"/>
    <s v="NA"/>
    <s v="Attchd"/>
    <n v="2005"/>
    <s v="RFn"/>
    <n v="3"/>
    <n v="834"/>
    <s v="TA"/>
    <s v="TA"/>
    <s v="Y"/>
    <n v="208"/>
    <n v="59"/>
    <n v="0"/>
    <n v="0"/>
    <n v="0"/>
    <n v="0"/>
    <s v="NA"/>
    <s v="NA"/>
    <s v="NA"/>
    <n v="0"/>
    <n v="4"/>
    <n v="2006"/>
    <s v="WD"/>
    <s v="Normal"/>
    <n v="232000"/>
  </r>
  <r>
    <n v="1305"/>
    <n v="160"/>
    <s v="RM"/>
    <n v="32"/>
    <n v="3363"/>
    <s v="Pave"/>
    <s v="NA"/>
    <s v="Reg"/>
    <s v="Lvl"/>
    <s v="AllPub"/>
    <s v="Inside"/>
    <s v="Gtl"/>
    <x v="15"/>
    <x v="0"/>
    <s v="Norm"/>
    <x v="3"/>
    <x v="0"/>
    <n v="7"/>
    <n v="5"/>
    <x v="6"/>
    <n v="2004"/>
    <s v="Gable"/>
    <s v="CompShg"/>
    <s v="VinylSd"/>
    <s v="VinylSd"/>
    <s v="Stone"/>
    <n v="117"/>
    <s v="Gd"/>
    <s v="TA"/>
    <s v="PConc"/>
    <s v="Gd"/>
    <s v="TA"/>
    <s v="No"/>
    <s v="Unf"/>
    <n v="0"/>
    <s v="Unf"/>
    <n v="0"/>
    <n v="976"/>
    <n v="976"/>
    <s v="GasA"/>
    <s v="Ex"/>
    <s v="Y"/>
    <s v="SBrkr"/>
    <n v="976"/>
    <n v="732"/>
    <n v="0"/>
    <x v="805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4"/>
    <n v="2006"/>
    <s v="WD"/>
    <s v="Normal"/>
    <n v="130000"/>
  </r>
  <r>
    <n v="1306"/>
    <n v="20"/>
    <s v="RL"/>
    <n v="108"/>
    <n v="13173"/>
    <s v="Pave"/>
    <s v="NA"/>
    <s v="IR1"/>
    <s v="Lvl"/>
    <s v="AllPub"/>
    <s v="Corner"/>
    <s v="Gtl"/>
    <x v="10"/>
    <x v="0"/>
    <s v="Norm"/>
    <x v="0"/>
    <x v="1"/>
    <n v="9"/>
    <n v="5"/>
    <x v="13"/>
    <n v="2007"/>
    <s v="Hip"/>
    <s v="CompShg"/>
    <s v="VinylSd"/>
    <s v="VinylSd"/>
    <s v="Stone"/>
    <n v="300"/>
    <s v="Gd"/>
    <s v="TA"/>
    <s v="PConc"/>
    <s v="Ex"/>
    <s v="TA"/>
    <s v="No"/>
    <s v="GLQ"/>
    <n v="1572"/>
    <s v="Unf"/>
    <n v="0"/>
    <n v="80"/>
    <n v="1652"/>
    <s v="GasA"/>
    <s v="Ex"/>
    <s v="Y"/>
    <s v="SBrkr"/>
    <n v="1652"/>
    <n v="0"/>
    <n v="0"/>
    <x v="381"/>
    <n v="1"/>
    <n v="0"/>
    <n v="2"/>
    <n v="0"/>
    <n v="2"/>
    <n v="1"/>
    <s v="Ex"/>
    <n v="6"/>
    <s v="Typ"/>
    <n v="2"/>
    <s v="Ex"/>
    <s v="Attchd"/>
    <n v="2006"/>
    <s v="Fin"/>
    <n v="2"/>
    <n v="840"/>
    <s v="TA"/>
    <s v="TA"/>
    <s v="Y"/>
    <n v="404"/>
    <n v="102"/>
    <n v="0"/>
    <n v="0"/>
    <n v="0"/>
    <n v="0"/>
    <s v="NA"/>
    <s v="NA"/>
    <s v="NA"/>
    <n v="0"/>
    <n v="11"/>
    <n v="2009"/>
    <s v="WD"/>
    <s v="Normal"/>
    <n v="325000"/>
  </r>
  <r>
    <n v="1307"/>
    <n v="120"/>
    <s v="RL"/>
    <n v="48"/>
    <n v="6955"/>
    <s v="Pave"/>
    <s v="NA"/>
    <s v="IR1"/>
    <s v="Lvl"/>
    <s v="AllPub"/>
    <s v="Inside"/>
    <s v="Gtl"/>
    <x v="10"/>
    <x v="0"/>
    <s v="Norm"/>
    <x v="3"/>
    <x v="1"/>
    <n v="7"/>
    <n v="5"/>
    <x v="11"/>
    <n v="2006"/>
    <s v="Gable"/>
    <s v="CompShg"/>
    <s v="VinylSd"/>
    <s v="VinylSd"/>
    <s v="Stone"/>
    <n v="94"/>
    <s v="Gd"/>
    <s v="TA"/>
    <s v="PConc"/>
    <s v="Gd"/>
    <s v="TA"/>
    <s v="No"/>
    <s v="Unf"/>
    <n v="0"/>
    <s v="Unf"/>
    <n v="0"/>
    <n v="1368"/>
    <n v="1368"/>
    <s v="GasA"/>
    <s v="Ex"/>
    <s v="Y"/>
    <s v="SBrkr"/>
    <n v="1368"/>
    <n v="0"/>
    <n v="0"/>
    <x v="405"/>
    <n v="0"/>
    <n v="0"/>
    <n v="2"/>
    <n v="0"/>
    <n v="2"/>
    <n v="1"/>
    <s v="Gd"/>
    <n v="6"/>
    <s v="Typ"/>
    <n v="1"/>
    <s v="Gd"/>
    <s v="Attchd"/>
    <n v="2005"/>
    <s v="RFn"/>
    <n v="2"/>
    <n v="474"/>
    <s v="TA"/>
    <s v="TA"/>
    <s v="Y"/>
    <n v="132"/>
    <n v="35"/>
    <n v="0"/>
    <n v="0"/>
    <n v="0"/>
    <n v="0"/>
    <s v="NA"/>
    <s v="NA"/>
    <s v="NA"/>
    <n v="0"/>
    <n v="9"/>
    <n v="2006"/>
    <s v="New"/>
    <s v="Partial"/>
    <n v="202500"/>
  </r>
  <r>
    <n v="1308"/>
    <n v="20"/>
    <s v="RL"/>
    <n v="60"/>
    <n v="8072"/>
    <s v="Pave"/>
    <s v="NA"/>
    <s v="Reg"/>
    <s v="Lvl"/>
    <s v="AllPub"/>
    <s v="Inside"/>
    <s v="Gtl"/>
    <x v="0"/>
    <x v="0"/>
    <s v="Norm"/>
    <x v="0"/>
    <x v="1"/>
    <n v="5"/>
    <n v="5"/>
    <x v="29"/>
    <n v="1995"/>
    <s v="Gable"/>
    <s v="CompShg"/>
    <s v="VinylSd"/>
    <s v="VinylSd"/>
    <s v="None"/>
    <n v="0"/>
    <s v="TA"/>
    <s v="Gd"/>
    <s v="PConc"/>
    <s v="Gd"/>
    <s v="Gd"/>
    <s v="No"/>
    <s v="ALQ"/>
    <n v="746"/>
    <s v="Unf"/>
    <n v="0"/>
    <n v="244"/>
    <n v="990"/>
    <s v="GasA"/>
    <s v="Ex"/>
    <s v="Y"/>
    <s v="SBrkr"/>
    <n v="990"/>
    <n v="0"/>
    <n v="0"/>
    <x v="86"/>
    <n v="1"/>
    <n v="0"/>
    <n v="1"/>
    <n v="0"/>
    <n v="3"/>
    <n v="1"/>
    <s v="TA"/>
    <n v="5"/>
    <s v="Typ"/>
    <n v="0"/>
    <s v="NA"/>
    <s v="Detchd"/>
    <n v="2000"/>
    <s v="Unf"/>
    <n v="2"/>
    <n v="480"/>
    <s v="TA"/>
    <s v="TA"/>
    <s v="Y"/>
    <n v="0"/>
    <n v="64"/>
    <n v="0"/>
    <n v="0"/>
    <n v="0"/>
    <n v="0"/>
    <s v="NA"/>
    <s v="NA"/>
    <s v="NA"/>
    <n v="0"/>
    <n v="5"/>
    <n v="2009"/>
    <s v="WD"/>
    <s v="Normal"/>
    <n v="138000"/>
  </r>
  <r>
    <n v="1309"/>
    <n v="20"/>
    <s v="RM"/>
    <n v="100"/>
    <n v="12000"/>
    <s v="Pave"/>
    <s v="NA"/>
    <s v="Reg"/>
    <s v="Lvl"/>
    <s v="AllPub"/>
    <s v="Inside"/>
    <s v="Gtl"/>
    <x v="7"/>
    <x v="0"/>
    <s v="Norm"/>
    <x v="0"/>
    <x v="1"/>
    <n v="5"/>
    <n v="7"/>
    <x v="47"/>
    <n v="2005"/>
    <s v="Gable"/>
    <s v="CompShg"/>
    <s v="MetalSd"/>
    <s v="MetalSd"/>
    <s v="None"/>
    <n v="0"/>
    <s v="TA"/>
    <s v="TA"/>
    <s v="CBlock"/>
    <s v="TA"/>
    <s v="TA"/>
    <s v="No"/>
    <s v="GLQ"/>
    <n v="144"/>
    <s v="ALQ"/>
    <n v="608"/>
    <n v="172"/>
    <n v="924"/>
    <s v="GasA"/>
    <s v="Ex"/>
    <s v="Y"/>
    <s v="SBrkr"/>
    <n v="1122"/>
    <n v="0"/>
    <n v="0"/>
    <x v="806"/>
    <n v="1"/>
    <n v="0"/>
    <n v="1"/>
    <n v="0"/>
    <n v="2"/>
    <n v="1"/>
    <s v="Gd"/>
    <n v="6"/>
    <s v="Typ"/>
    <n v="0"/>
    <s v="NA"/>
    <s v="Attchd"/>
    <n v="1948"/>
    <s v="Unf"/>
    <n v="2"/>
    <n v="528"/>
    <s v="TA"/>
    <s v="TA"/>
    <s v="Y"/>
    <n v="0"/>
    <n v="36"/>
    <n v="0"/>
    <n v="0"/>
    <n v="0"/>
    <n v="0"/>
    <s v="NA"/>
    <s v="GdWo"/>
    <s v="NA"/>
    <n v="0"/>
    <n v="5"/>
    <n v="2008"/>
    <s v="WD"/>
    <s v="Normal"/>
    <n v="147000"/>
  </r>
  <r>
    <n v="1310"/>
    <n v="20"/>
    <s v="RL"/>
    <s v="NA"/>
    <n v="7153"/>
    <s v="Pave"/>
    <s v="NA"/>
    <s v="Reg"/>
    <s v="Lvl"/>
    <s v="AllPub"/>
    <s v="Inside"/>
    <s v="Gtl"/>
    <x v="12"/>
    <x v="0"/>
    <s v="Norm"/>
    <x v="0"/>
    <x v="1"/>
    <n v="6"/>
    <n v="5"/>
    <x v="50"/>
    <n v="1991"/>
    <s v="Gable"/>
    <s v="CompShg"/>
    <s v="HdBoard"/>
    <s v="HdBoard"/>
    <s v="BrkFace"/>
    <n v="88"/>
    <s v="TA"/>
    <s v="TA"/>
    <s v="CBlock"/>
    <s v="Gd"/>
    <s v="TA"/>
    <s v="No"/>
    <s v="GLQ"/>
    <n v="1200"/>
    <s v="Unf"/>
    <n v="0"/>
    <n v="78"/>
    <n v="1278"/>
    <s v="GasA"/>
    <s v="Gd"/>
    <s v="Y"/>
    <s v="SBrkr"/>
    <n v="1294"/>
    <n v="0"/>
    <n v="0"/>
    <x v="411"/>
    <n v="1"/>
    <n v="0"/>
    <n v="2"/>
    <n v="0"/>
    <n v="3"/>
    <n v="1"/>
    <s v="Gd"/>
    <n v="6"/>
    <s v="Typ"/>
    <n v="0"/>
    <s v="NA"/>
    <s v="Attchd"/>
    <n v="1991"/>
    <s v="RFn"/>
    <n v="2"/>
    <n v="496"/>
    <s v="TA"/>
    <s v="TA"/>
    <s v="Y"/>
    <n v="112"/>
    <n v="51"/>
    <n v="0"/>
    <n v="0"/>
    <n v="0"/>
    <n v="0"/>
    <s v="NA"/>
    <s v="GdWo"/>
    <s v="NA"/>
    <n v="0"/>
    <n v="6"/>
    <n v="2008"/>
    <s v="WD"/>
    <s v="Normal"/>
    <n v="179200"/>
  </r>
  <r>
    <n v="1311"/>
    <n v="20"/>
    <s v="RL"/>
    <n v="100"/>
    <n v="17500"/>
    <s v="Pave"/>
    <s v="NA"/>
    <s v="Reg"/>
    <s v="Lvl"/>
    <s v="AllPub"/>
    <s v="Inside"/>
    <s v="Gtl"/>
    <x v="2"/>
    <x v="7"/>
    <s v="Norm"/>
    <x v="0"/>
    <x v="1"/>
    <n v="7"/>
    <n v="8"/>
    <x v="28"/>
    <n v="2002"/>
    <s v="Gable"/>
    <s v="CompShg"/>
    <s v="BrkFace"/>
    <s v="HdBoard"/>
    <s v="None"/>
    <n v="0"/>
    <s v="Gd"/>
    <s v="Gd"/>
    <s v="PConc"/>
    <s v="Gd"/>
    <s v="TA"/>
    <s v="Av"/>
    <s v="GLQ"/>
    <n v="1406"/>
    <s v="Unf"/>
    <n v="0"/>
    <n v="496"/>
    <n v="1902"/>
    <s v="GasA"/>
    <s v="TA"/>
    <s v="Y"/>
    <s v="SBrkr"/>
    <n v="1902"/>
    <n v="0"/>
    <n v="0"/>
    <x v="766"/>
    <n v="1"/>
    <n v="0"/>
    <n v="2"/>
    <n v="0"/>
    <n v="3"/>
    <n v="1"/>
    <s v="Ex"/>
    <n v="7"/>
    <s v="Typ"/>
    <n v="2"/>
    <s v="TA"/>
    <s v="Attchd"/>
    <n v="1959"/>
    <s v="Fin"/>
    <n v="2"/>
    <n v="567"/>
    <s v="TA"/>
    <s v="TA"/>
    <s v="Y"/>
    <n v="0"/>
    <n v="207"/>
    <n v="162"/>
    <n v="0"/>
    <n v="0"/>
    <n v="0"/>
    <s v="NA"/>
    <s v="NA"/>
    <s v="NA"/>
    <n v="0"/>
    <n v="5"/>
    <n v="2010"/>
    <s v="WD"/>
    <s v="Normal"/>
    <n v="335000"/>
  </r>
  <r>
    <n v="1312"/>
    <n v="20"/>
    <s v="RL"/>
    <n v="68"/>
    <n v="8814"/>
    <s v="Pave"/>
    <s v="NA"/>
    <s v="Reg"/>
    <s v="Lvl"/>
    <s v="AllPub"/>
    <s v="Inside"/>
    <s v="Gtl"/>
    <x v="0"/>
    <x v="0"/>
    <s v="Norm"/>
    <x v="0"/>
    <x v="1"/>
    <n v="7"/>
    <n v="5"/>
    <x v="11"/>
    <n v="2007"/>
    <s v="Gable"/>
    <s v="CompShg"/>
    <s v="VinylSd"/>
    <s v="VinylSd"/>
    <s v="BrkFace"/>
    <n v="80"/>
    <s v="Gd"/>
    <s v="TA"/>
    <s v="PConc"/>
    <s v="Gd"/>
    <s v="TA"/>
    <s v="No"/>
    <s v="GLQ"/>
    <n v="925"/>
    <s v="Unf"/>
    <n v="0"/>
    <n v="349"/>
    <n v="1274"/>
    <s v="GasA"/>
    <s v="Ex"/>
    <s v="Y"/>
    <s v="SBrkr"/>
    <n v="1274"/>
    <n v="0"/>
    <n v="0"/>
    <x v="807"/>
    <n v="1"/>
    <n v="0"/>
    <n v="2"/>
    <n v="0"/>
    <n v="3"/>
    <n v="1"/>
    <s v="Gd"/>
    <n v="6"/>
    <s v="Typ"/>
    <n v="0"/>
    <s v="NA"/>
    <s v="Attchd"/>
    <n v="2005"/>
    <s v="RFn"/>
    <n v="2"/>
    <n v="508"/>
    <s v="TA"/>
    <s v="TA"/>
    <s v="Y"/>
    <n v="264"/>
    <n v="98"/>
    <n v="0"/>
    <n v="0"/>
    <n v="0"/>
    <n v="0"/>
    <s v="NA"/>
    <s v="NA"/>
    <s v="NA"/>
    <n v="0"/>
    <n v="1"/>
    <n v="2007"/>
    <s v="New"/>
    <s v="Partial"/>
    <n v="203000"/>
  </r>
  <r>
    <n v="1313"/>
    <n v="60"/>
    <s v="RL"/>
    <s v="NA"/>
    <n v="9572"/>
    <s v="Pave"/>
    <s v="NA"/>
    <s v="IR1"/>
    <s v="Lvl"/>
    <s v="AllPub"/>
    <s v="Inside"/>
    <s v="Gtl"/>
    <x v="3"/>
    <x v="0"/>
    <s v="Norm"/>
    <x v="0"/>
    <x v="0"/>
    <n v="8"/>
    <n v="5"/>
    <x v="59"/>
    <n v="1990"/>
    <s v="Gable"/>
    <s v="CompShg"/>
    <s v="Wd Sdng"/>
    <s v="Wd Sdng"/>
    <s v="BrkFace"/>
    <n v="336"/>
    <s v="Gd"/>
    <s v="TA"/>
    <s v="PConc"/>
    <s v="Ex"/>
    <s v="TA"/>
    <s v="No"/>
    <s v="GLQ"/>
    <n v="482"/>
    <s v="Unf"/>
    <n v="0"/>
    <n v="971"/>
    <n v="1453"/>
    <s v="GasA"/>
    <s v="Ex"/>
    <s v="Y"/>
    <s v="SBrkr"/>
    <n v="1453"/>
    <n v="1357"/>
    <n v="0"/>
    <x v="808"/>
    <n v="0"/>
    <n v="0"/>
    <n v="2"/>
    <n v="1"/>
    <n v="4"/>
    <n v="1"/>
    <s v="Gd"/>
    <n v="9"/>
    <s v="Typ"/>
    <n v="1"/>
    <s v="Ex"/>
    <s v="Attchd"/>
    <n v="1990"/>
    <s v="RFn"/>
    <n v="2"/>
    <n v="750"/>
    <s v="Gd"/>
    <s v="Gd"/>
    <s v="Y"/>
    <n v="500"/>
    <n v="0"/>
    <n v="0"/>
    <n v="0"/>
    <n v="0"/>
    <n v="0"/>
    <s v="NA"/>
    <s v="NA"/>
    <s v="NA"/>
    <n v="0"/>
    <n v="6"/>
    <n v="2007"/>
    <s v="WD"/>
    <s v="Normal"/>
    <n v="302000"/>
  </r>
  <r>
    <n v="1314"/>
    <n v="60"/>
    <s v="RL"/>
    <n v="108"/>
    <n v="14774"/>
    <s v="Pave"/>
    <s v="NA"/>
    <s v="IR1"/>
    <s v="Lvl"/>
    <s v="AllPub"/>
    <s v="Corner"/>
    <s v="Gtl"/>
    <x v="3"/>
    <x v="0"/>
    <s v="Norm"/>
    <x v="0"/>
    <x v="0"/>
    <n v="9"/>
    <n v="5"/>
    <x v="40"/>
    <n v="1999"/>
    <s v="Gable"/>
    <s v="CompShg"/>
    <s v="VinylSd"/>
    <s v="VinylSd"/>
    <s v="BrkFace"/>
    <n v="165"/>
    <s v="Gd"/>
    <s v="TA"/>
    <s v="PConc"/>
    <s v="Gd"/>
    <s v="TA"/>
    <s v="No"/>
    <s v="Unf"/>
    <n v="0"/>
    <s v="Unf"/>
    <n v="0"/>
    <n v="1393"/>
    <n v="1393"/>
    <s v="GasA"/>
    <s v="Ex"/>
    <s v="Y"/>
    <s v="SBrkr"/>
    <n v="1422"/>
    <n v="1177"/>
    <n v="0"/>
    <x v="809"/>
    <n v="0"/>
    <n v="0"/>
    <n v="2"/>
    <n v="1"/>
    <n v="4"/>
    <n v="1"/>
    <s v="Gd"/>
    <n v="10"/>
    <s v="Typ"/>
    <n v="1"/>
    <s v="TA"/>
    <s v="BuiltIn"/>
    <n v="1999"/>
    <s v="Fin"/>
    <n v="3"/>
    <n v="779"/>
    <s v="TA"/>
    <s v="TA"/>
    <s v="Y"/>
    <n v="668"/>
    <n v="30"/>
    <n v="0"/>
    <n v="0"/>
    <n v="0"/>
    <n v="0"/>
    <s v="NA"/>
    <s v="NA"/>
    <s v="NA"/>
    <n v="0"/>
    <n v="5"/>
    <n v="2010"/>
    <s v="WD"/>
    <s v="Normal"/>
    <n v="333168"/>
  </r>
  <r>
    <n v="1315"/>
    <n v="20"/>
    <s v="RL"/>
    <n v="60"/>
    <n v="8190"/>
    <s v="Pave"/>
    <s v="NA"/>
    <s v="Reg"/>
    <s v="Lvl"/>
    <s v="AllPub"/>
    <s v="Inside"/>
    <s v="Gtl"/>
    <x v="15"/>
    <x v="0"/>
    <s v="Norm"/>
    <x v="0"/>
    <x v="1"/>
    <n v="4"/>
    <n v="6"/>
    <x v="30"/>
    <n v="1954"/>
    <s v="Hip"/>
    <s v="CompShg"/>
    <s v="Wd Sdng"/>
    <s v="Wd Sdng"/>
    <s v="None"/>
    <n v="0"/>
    <s v="TA"/>
    <s v="TA"/>
    <s v="CBlock"/>
    <s v="TA"/>
    <s v="TA"/>
    <s v="No"/>
    <s v="Rec"/>
    <n v="732"/>
    <s v="Unf"/>
    <n v="0"/>
    <n v="216"/>
    <n v="948"/>
    <s v="GasA"/>
    <s v="Ex"/>
    <s v="Y"/>
    <s v="SBrkr"/>
    <n v="948"/>
    <n v="0"/>
    <n v="0"/>
    <x v="543"/>
    <n v="1"/>
    <n v="0"/>
    <n v="1"/>
    <n v="0"/>
    <n v="3"/>
    <n v="1"/>
    <s v="TA"/>
    <n v="5"/>
    <s v="Typ"/>
    <n v="1"/>
    <s v="TA"/>
    <s v="Detchd"/>
    <n v="1956"/>
    <s v="Unf"/>
    <n v="1"/>
    <n v="280"/>
    <s v="TA"/>
    <s v="TA"/>
    <s v="Y"/>
    <n v="0"/>
    <n v="36"/>
    <n v="0"/>
    <n v="0"/>
    <n v="0"/>
    <n v="0"/>
    <s v="NA"/>
    <s v="NA"/>
    <s v="NA"/>
    <n v="0"/>
    <n v="10"/>
    <n v="2007"/>
    <s v="WD"/>
    <s v="Normal"/>
    <n v="119000"/>
  </r>
  <r>
    <n v="1316"/>
    <n v="60"/>
    <s v="RL"/>
    <n v="85"/>
    <n v="11075"/>
    <s v="Pave"/>
    <s v="NA"/>
    <s v="Reg"/>
    <s v="Lvl"/>
    <s v="AllPub"/>
    <s v="Inside"/>
    <s v="Gtl"/>
    <x v="11"/>
    <x v="0"/>
    <s v="Norm"/>
    <x v="0"/>
    <x v="0"/>
    <n v="6"/>
    <n v="5"/>
    <x v="60"/>
    <n v="1969"/>
    <s v="Gable"/>
    <s v="CompShg"/>
    <s v="HdBoard"/>
    <s v="HdBoard"/>
    <s v="None"/>
    <n v="0"/>
    <s v="TA"/>
    <s v="TA"/>
    <s v="CBlock"/>
    <s v="Fa"/>
    <s v="TA"/>
    <s v="Mn"/>
    <s v="ALQ"/>
    <n v="500"/>
    <s v="LwQ"/>
    <n v="276"/>
    <n v="176"/>
    <n v="952"/>
    <s v="GasA"/>
    <s v="TA"/>
    <s v="Y"/>
    <s v="SBrkr"/>
    <n v="1092"/>
    <n v="1020"/>
    <n v="0"/>
    <x v="810"/>
    <n v="0"/>
    <n v="0"/>
    <n v="2"/>
    <n v="1"/>
    <n v="4"/>
    <n v="1"/>
    <s v="TA"/>
    <n v="9"/>
    <s v="Typ"/>
    <n v="2"/>
    <s v="Gd"/>
    <s v="Attchd"/>
    <n v="1969"/>
    <s v="Unf"/>
    <n v="2"/>
    <n v="576"/>
    <s v="TA"/>
    <s v="TA"/>
    <s v="Y"/>
    <n v="280"/>
    <n v="0"/>
    <n v="0"/>
    <n v="0"/>
    <n v="0"/>
    <n v="0"/>
    <s v="NA"/>
    <s v="NA"/>
    <s v="NA"/>
    <n v="0"/>
    <n v="6"/>
    <n v="2008"/>
    <s v="WD"/>
    <s v="Normal"/>
    <n v="206900"/>
  </r>
  <r>
    <n v="1317"/>
    <n v="20"/>
    <s v="RL"/>
    <n v="61"/>
    <n v="10226"/>
    <s v="Pave"/>
    <s v="NA"/>
    <s v="IR1"/>
    <s v="Lvl"/>
    <s v="AllPub"/>
    <s v="Inside"/>
    <s v="Gtl"/>
    <x v="0"/>
    <x v="0"/>
    <s v="Norm"/>
    <x v="0"/>
    <x v="1"/>
    <n v="8"/>
    <n v="5"/>
    <x v="74"/>
    <n v="2008"/>
    <s v="Gable"/>
    <s v="CompShg"/>
    <s v="VinylSd"/>
    <s v="VinylSd"/>
    <s v="Stone"/>
    <n v="270"/>
    <s v="Gd"/>
    <s v="TA"/>
    <s v="PConc"/>
    <s v="Ex"/>
    <s v="TA"/>
    <s v="Gd"/>
    <s v="Unf"/>
    <n v="0"/>
    <s v="Unf"/>
    <n v="0"/>
    <n v="1622"/>
    <n v="1622"/>
    <s v="GasA"/>
    <s v="Ex"/>
    <s v="Y"/>
    <s v="SBrkr"/>
    <n v="1630"/>
    <n v="0"/>
    <n v="0"/>
    <x v="761"/>
    <n v="1"/>
    <n v="0"/>
    <n v="2"/>
    <n v="0"/>
    <n v="3"/>
    <n v="1"/>
    <s v="Ex"/>
    <n v="8"/>
    <s v="Typ"/>
    <n v="1"/>
    <s v="Gd"/>
    <s v="Attchd"/>
    <n v="2008"/>
    <s v="RFn"/>
    <n v="3"/>
    <n v="860"/>
    <s v="TA"/>
    <s v="TA"/>
    <s v="Y"/>
    <n v="172"/>
    <n v="42"/>
    <n v="0"/>
    <n v="0"/>
    <n v="0"/>
    <n v="0"/>
    <s v="NA"/>
    <s v="NA"/>
    <s v="NA"/>
    <n v="0"/>
    <n v="1"/>
    <n v="2009"/>
    <s v="WD"/>
    <s v="Normal"/>
    <n v="295493"/>
  </r>
  <r>
    <n v="1318"/>
    <n v="120"/>
    <s v="FV"/>
    <n v="47"/>
    <n v="4230"/>
    <s v="Pave"/>
    <s v="Pave"/>
    <s v="Reg"/>
    <s v="Lvl"/>
    <s v="AllPub"/>
    <s v="Corner"/>
    <s v="Gtl"/>
    <x v="5"/>
    <x v="0"/>
    <s v="Norm"/>
    <x v="3"/>
    <x v="1"/>
    <n v="7"/>
    <n v="5"/>
    <x v="13"/>
    <n v="2007"/>
    <s v="Gable"/>
    <s v="CompShg"/>
    <s v="VinylSd"/>
    <s v="VinylSd"/>
    <s v="None"/>
    <n v="0"/>
    <s v="Gd"/>
    <s v="TA"/>
    <s v="PConc"/>
    <s v="Ex"/>
    <s v="Gd"/>
    <s v="No"/>
    <s v="Unf"/>
    <n v="0"/>
    <s v="Unf"/>
    <n v="0"/>
    <n v="1352"/>
    <n v="1352"/>
    <s v="GasA"/>
    <s v="Ex"/>
    <s v="Y"/>
    <s v="SBrkr"/>
    <n v="1352"/>
    <n v="0"/>
    <n v="0"/>
    <x v="300"/>
    <n v="0"/>
    <n v="0"/>
    <n v="2"/>
    <n v="0"/>
    <n v="2"/>
    <n v="1"/>
    <s v="Gd"/>
    <n v="5"/>
    <s v="Typ"/>
    <n v="1"/>
    <s v="Gd"/>
    <s v="Attchd"/>
    <n v="2006"/>
    <s v="RFn"/>
    <n v="2"/>
    <n v="466"/>
    <s v="TA"/>
    <s v="TA"/>
    <s v="Y"/>
    <n v="0"/>
    <n v="241"/>
    <n v="0"/>
    <n v="0"/>
    <n v="0"/>
    <n v="0"/>
    <s v="NA"/>
    <s v="NA"/>
    <s v="NA"/>
    <n v="0"/>
    <n v="4"/>
    <n v="2007"/>
    <s v="New"/>
    <s v="Partial"/>
    <n v="208900"/>
  </r>
  <r>
    <n v="1319"/>
    <n v="20"/>
    <s v="RL"/>
    <s v="NA"/>
    <n v="14781"/>
    <s v="Pave"/>
    <s v="NA"/>
    <s v="IR2"/>
    <s v="Lvl"/>
    <s v="AllPub"/>
    <s v="CulDSac"/>
    <s v="Gtl"/>
    <x v="0"/>
    <x v="0"/>
    <s v="Norm"/>
    <x v="0"/>
    <x v="1"/>
    <n v="8"/>
    <n v="5"/>
    <x v="2"/>
    <n v="2002"/>
    <s v="Hip"/>
    <s v="CompShg"/>
    <s v="VinylSd"/>
    <s v="VinylSd"/>
    <s v="BrkFace"/>
    <n v="178"/>
    <s v="Gd"/>
    <s v="TA"/>
    <s v="PConc"/>
    <s v="Gd"/>
    <s v="TA"/>
    <s v="Gd"/>
    <s v="Unf"/>
    <n v="0"/>
    <s v="Unf"/>
    <n v="0"/>
    <n v="1753"/>
    <n v="1753"/>
    <s v="GasA"/>
    <s v="Ex"/>
    <s v="Y"/>
    <s v="SBrkr"/>
    <n v="1787"/>
    <n v="0"/>
    <n v="0"/>
    <x v="811"/>
    <n v="0"/>
    <n v="0"/>
    <n v="2"/>
    <n v="0"/>
    <n v="3"/>
    <n v="1"/>
    <s v="Gd"/>
    <n v="7"/>
    <s v="Typ"/>
    <n v="1"/>
    <s v="TA"/>
    <s v="Attchd"/>
    <n v="2001"/>
    <s v="RFn"/>
    <n v="3"/>
    <n v="748"/>
    <s v="TA"/>
    <s v="TA"/>
    <s v="Y"/>
    <n v="198"/>
    <n v="150"/>
    <n v="0"/>
    <n v="0"/>
    <n v="0"/>
    <n v="0"/>
    <s v="NA"/>
    <s v="NA"/>
    <s v="NA"/>
    <n v="0"/>
    <n v="8"/>
    <n v="2006"/>
    <s v="WD"/>
    <s v="Normal"/>
    <n v="275000"/>
  </r>
  <r>
    <n v="1320"/>
    <n v="20"/>
    <s v="RL"/>
    <n v="75"/>
    <n v="10215"/>
    <s v="Pave"/>
    <s v="NA"/>
    <s v="Reg"/>
    <s v="Bnk"/>
    <s v="AllPub"/>
    <s v="Inside"/>
    <s v="Gtl"/>
    <x v="15"/>
    <x v="0"/>
    <s v="Norm"/>
    <x v="0"/>
    <x v="1"/>
    <n v="4"/>
    <n v="5"/>
    <x v="30"/>
    <n v="1954"/>
    <s v="Hip"/>
    <s v="CompShg"/>
    <s v="Wd Sdng"/>
    <s v="Wd Sdng"/>
    <s v="BrkFace"/>
    <n v="132"/>
    <s v="TA"/>
    <s v="TA"/>
    <s v="PConc"/>
    <s v="TA"/>
    <s v="TA"/>
    <s v="No"/>
    <s v="ALQ"/>
    <n v="492"/>
    <s v="Unf"/>
    <n v="0"/>
    <n v="372"/>
    <n v="864"/>
    <s v="GasA"/>
    <s v="Ex"/>
    <s v="Y"/>
    <s v="SBrkr"/>
    <n v="948"/>
    <n v="0"/>
    <n v="0"/>
    <x v="543"/>
    <n v="0"/>
    <n v="0"/>
    <n v="1"/>
    <n v="0"/>
    <n v="3"/>
    <n v="1"/>
    <s v="TA"/>
    <n v="5"/>
    <s v="Typ"/>
    <n v="0"/>
    <s v="NA"/>
    <s v="Attchd"/>
    <n v="1954"/>
    <s v="Unf"/>
    <n v="1"/>
    <n v="248"/>
    <s v="TA"/>
    <s v="TA"/>
    <s v="Y"/>
    <n v="0"/>
    <n v="0"/>
    <n v="0"/>
    <n v="0"/>
    <n v="0"/>
    <n v="0"/>
    <s v="NA"/>
    <s v="NA"/>
    <s v="NA"/>
    <n v="0"/>
    <n v="2"/>
    <n v="2007"/>
    <s v="WD"/>
    <s v="Normal"/>
    <n v="111000"/>
  </r>
  <r>
    <n v="1321"/>
    <n v="20"/>
    <s v="RL"/>
    <n v="70"/>
    <n v="8400"/>
    <s v="Pave"/>
    <s v="NA"/>
    <s v="Reg"/>
    <s v="Lvl"/>
    <s v="AllPub"/>
    <s v="Inside"/>
    <s v="Gtl"/>
    <x v="11"/>
    <x v="0"/>
    <s v="Norm"/>
    <x v="0"/>
    <x v="1"/>
    <n v="6"/>
    <n v="3"/>
    <x v="24"/>
    <n v="1957"/>
    <s v="Hip"/>
    <s v="CompShg"/>
    <s v="BrkFace"/>
    <s v="BrkFace"/>
    <s v="None"/>
    <n v="0"/>
    <s v="TA"/>
    <s v="TA"/>
    <s v="CBlock"/>
    <s v="TA"/>
    <s v="TA"/>
    <s v="No"/>
    <s v="ALQ"/>
    <n v="189"/>
    <s v="Rec"/>
    <n v="661"/>
    <n v="628"/>
    <n v="1478"/>
    <s v="GasA"/>
    <s v="Gd"/>
    <s v="Y"/>
    <s v="SBrkr"/>
    <n v="1478"/>
    <n v="0"/>
    <n v="0"/>
    <x v="291"/>
    <n v="1"/>
    <n v="0"/>
    <n v="1"/>
    <n v="1"/>
    <n v="3"/>
    <n v="1"/>
    <s v="TA"/>
    <n v="6"/>
    <s v="Typ"/>
    <n v="2"/>
    <s v="Gd"/>
    <s v="Attchd"/>
    <n v="1957"/>
    <s v="RFn"/>
    <n v="2"/>
    <n v="442"/>
    <s v="TA"/>
    <s v="TA"/>
    <s v="Y"/>
    <n v="114"/>
    <n v="0"/>
    <n v="0"/>
    <n v="0"/>
    <n v="216"/>
    <n v="0"/>
    <s v="NA"/>
    <s v="NA"/>
    <s v="NA"/>
    <n v="0"/>
    <n v="6"/>
    <n v="2009"/>
    <s v="WD"/>
    <s v="Normal"/>
    <n v="156500"/>
  </r>
  <r>
    <n v="1322"/>
    <n v="20"/>
    <s v="RL"/>
    <s v="NA"/>
    <n v="6627"/>
    <s v="Pave"/>
    <s v="NA"/>
    <s v="IR1"/>
    <s v="Lvl"/>
    <s v="AllPub"/>
    <s v="Corner"/>
    <s v="Gtl"/>
    <x v="8"/>
    <x v="1"/>
    <s v="Norm"/>
    <x v="0"/>
    <x v="1"/>
    <n v="3"/>
    <n v="6"/>
    <x v="87"/>
    <n v="1950"/>
    <s v="Hip"/>
    <s v="CompShg"/>
    <s v="VinylSd"/>
    <s v="VinylSd"/>
    <s v="None"/>
    <n v="0"/>
    <s v="TA"/>
    <s v="TA"/>
    <s v="CBlock"/>
    <s v="NA"/>
    <s v="NA"/>
    <s v="NA"/>
    <s v="NA"/>
    <n v="0"/>
    <s v="NA"/>
    <n v="0"/>
    <n v="0"/>
    <n v="0"/>
    <s v="Floor"/>
    <s v="TA"/>
    <s v="N"/>
    <s v="SBrkr"/>
    <n v="720"/>
    <n v="0"/>
    <n v="0"/>
    <x v="296"/>
    <n v="0"/>
    <n v="0"/>
    <n v="1"/>
    <n v="0"/>
    <n v="2"/>
    <n v="1"/>
    <s v="TA"/>
    <n v="4"/>
    <s v="Typ"/>
    <n v="0"/>
    <s v="NA"/>
    <s v="Detchd"/>
    <n v="1955"/>
    <s v="Unf"/>
    <n v="1"/>
    <n v="287"/>
    <s v="TA"/>
    <s v="Fa"/>
    <s v="Y"/>
    <n v="0"/>
    <n v="0"/>
    <n v="0"/>
    <n v="0"/>
    <n v="0"/>
    <n v="0"/>
    <s v="NA"/>
    <s v="NA"/>
    <s v="NA"/>
    <n v="0"/>
    <n v="7"/>
    <n v="2008"/>
    <s v="WD"/>
    <s v="Normal"/>
    <n v="72500"/>
  </r>
  <r>
    <n v="1323"/>
    <n v="60"/>
    <s v="RL"/>
    <n v="107"/>
    <n v="10186"/>
    <s v="Pave"/>
    <s v="NA"/>
    <s v="IR1"/>
    <s v="Lvl"/>
    <s v="AllPub"/>
    <s v="Inside"/>
    <s v="Gtl"/>
    <x v="3"/>
    <x v="0"/>
    <s v="Norm"/>
    <x v="0"/>
    <x v="0"/>
    <n v="7"/>
    <n v="5"/>
    <x v="86"/>
    <n v="1992"/>
    <s v="Gable"/>
    <s v="CompShg"/>
    <s v="HdBoard"/>
    <s v="HdBoard"/>
    <s v="None"/>
    <n v="0"/>
    <s v="Gd"/>
    <s v="TA"/>
    <s v="PConc"/>
    <s v="Gd"/>
    <s v="TA"/>
    <s v="No"/>
    <s v="GLQ"/>
    <n v="674"/>
    <s v="Unf"/>
    <n v="0"/>
    <n v="76"/>
    <n v="750"/>
    <s v="GasA"/>
    <s v="Ex"/>
    <s v="Y"/>
    <s v="SBrkr"/>
    <n v="1061"/>
    <n v="862"/>
    <n v="0"/>
    <x v="812"/>
    <n v="1"/>
    <n v="0"/>
    <n v="2"/>
    <n v="1"/>
    <n v="3"/>
    <n v="1"/>
    <s v="Gd"/>
    <n v="8"/>
    <s v="Typ"/>
    <n v="1"/>
    <s v="TA"/>
    <s v="Attchd"/>
    <n v="1992"/>
    <s v="RFn"/>
    <n v="2"/>
    <n v="564"/>
    <s v="TA"/>
    <s v="TA"/>
    <s v="Y"/>
    <n v="240"/>
    <n v="39"/>
    <n v="0"/>
    <n v="0"/>
    <n v="0"/>
    <n v="0"/>
    <s v="NA"/>
    <s v="NA"/>
    <s v="NA"/>
    <n v="0"/>
    <n v="6"/>
    <n v="2010"/>
    <s v="WD"/>
    <s v="Normal"/>
    <n v="190000"/>
  </r>
  <r>
    <n v="1324"/>
    <n v="30"/>
    <s v="RL"/>
    <n v="50"/>
    <n v="5330"/>
    <s v="Pave"/>
    <s v="NA"/>
    <s v="Reg"/>
    <s v="HLS"/>
    <s v="AllPub"/>
    <s v="Inside"/>
    <s v="Gtl"/>
    <x v="8"/>
    <x v="0"/>
    <s v="Norm"/>
    <x v="0"/>
    <x v="1"/>
    <n v="4"/>
    <n v="7"/>
    <x v="70"/>
    <n v="1950"/>
    <s v="Hip"/>
    <s v="CompShg"/>
    <s v="VinylSd"/>
    <s v="VinylSd"/>
    <s v="None"/>
    <n v="0"/>
    <s v="Fa"/>
    <s v="TA"/>
    <s v="CBlock"/>
    <s v="TA"/>
    <s v="TA"/>
    <s v="No"/>
    <s v="LwQ"/>
    <n v="280"/>
    <s v="Unf"/>
    <n v="0"/>
    <n v="140"/>
    <n v="420"/>
    <s v="GasA"/>
    <s v="Gd"/>
    <s v="Y"/>
    <s v="SBrkr"/>
    <n v="708"/>
    <n v="0"/>
    <n v="0"/>
    <x v="813"/>
    <n v="0"/>
    <n v="0"/>
    <n v="1"/>
    <n v="0"/>
    <n v="2"/>
    <n v="1"/>
    <s v="Fa"/>
    <n v="5"/>
    <s v="Typ"/>
    <n v="0"/>
    <s v="NA"/>
    <s v="NA"/>
    <s v="NA"/>
    <s v="NA"/>
    <n v="0"/>
    <n v="0"/>
    <s v="NA"/>
    <s v="NA"/>
    <s v="Y"/>
    <n v="164"/>
    <n v="0"/>
    <n v="0"/>
    <n v="0"/>
    <n v="0"/>
    <n v="0"/>
    <s v="NA"/>
    <s v="NA"/>
    <s v="NA"/>
    <n v="0"/>
    <n v="12"/>
    <n v="2009"/>
    <s v="WD"/>
    <s v="Normal"/>
    <n v="82500"/>
  </r>
  <r>
    <n v="1325"/>
    <n v="20"/>
    <s v="RL"/>
    <n v="75"/>
    <n v="9986"/>
    <s v="Pave"/>
    <s v="NA"/>
    <s v="Reg"/>
    <s v="Lvl"/>
    <s v="AllPub"/>
    <s v="Inside"/>
    <s v="Gtl"/>
    <x v="5"/>
    <x v="0"/>
    <s v="Norm"/>
    <x v="0"/>
    <x v="1"/>
    <n v="8"/>
    <n v="5"/>
    <x v="13"/>
    <n v="2007"/>
    <s v="Gable"/>
    <s v="CompShg"/>
    <s v="VinylSd"/>
    <s v="VinylSd"/>
    <s v="BrkFace"/>
    <n v="428"/>
    <s v="Gd"/>
    <s v="TA"/>
    <s v="PConc"/>
    <s v="Ex"/>
    <s v="TA"/>
    <s v="Av"/>
    <s v="Unf"/>
    <n v="0"/>
    <s v="Unf"/>
    <n v="0"/>
    <n v="1795"/>
    <n v="1795"/>
    <s v="GasA"/>
    <s v="Ex"/>
    <s v="Y"/>
    <s v="SBrkr"/>
    <n v="1795"/>
    <n v="0"/>
    <n v="0"/>
    <x v="22"/>
    <n v="0"/>
    <n v="0"/>
    <n v="2"/>
    <n v="0"/>
    <n v="2"/>
    <n v="1"/>
    <s v="Gd"/>
    <n v="7"/>
    <s v="Typ"/>
    <n v="1"/>
    <s v="Gd"/>
    <s v="Attchd"/>
    <n v="2007"/>
    <s v="RFn"/>
    <n v="3"/>
    <n v="895"/>
    <s v="TA"/>
    <s v="TA"/>
    <s v="Y"/>
    <n v="0"/>
    <n v="49"/>
    <n v="0"/>
    <n v="0"/>
    <n v="0"/>
    <n v="0"/>
    <s v="NA"/>
    <s v="NA"/>
    <s v="NA"/>
    <n v="0"/>
    <n v="2"/>
    <n v="2007"/>
    <s v="New"/>
    <s v="Partial"/>
    <n v="147000"/>
  </r>
  <r>
    <n v="1326"/>
    <n v="30"/>
    <s v="RM"/>
    <n v="40"/>
    <n v="3636"/>
    <s v="Pave"/>
    <s v="NA"/>
    <s v="Reg"/>
    <s v="Lvl"/>
    <s v="AllPub"/>
    <s v="Inside"/>
    <s v="Gtl"/>
    <x v="13"/>
    <x v="0"/>
    <s v="Norm"/>
    <x v="0"/>
    <x v="1"/>
    <n v="4"/>
    <n v="4"/>
    <x v="91"/>
    <n v="1950"/>
    <s v="Gable"/>
    <s v="CompShg"/>
    <s v="AsbShng"/>
    <s v="AsbShng"/>
    <s v="None"/>
    <n v="0"/>
    <s v="TA"/>
    <s v="TA"/>
    <s v="BrkTil"/>
    <s v="TA"/>
    <s v="Fa"/>
    <s v="No"/>
    <s v="Unf"/>
    <n v="0"/>
    <s v="Unf"/>
    <n v="0"/>
    <n v="796"/>
    <n v="796"/>
    <s v="GasA"/>
    <s v="Fa"/>
    <s v="N"/>
    <s v="SBrkr"/>
    <n v="796"/>
    <n v="0"/>
    <n v="0"/>
    <x v="492"/>
    <n v="0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0"/>
    <n v="100"/>
    <n v="0"/>
    <n v="0"/>
    <n v="0"/>
    <s v="NA"/>
    <s v="MnPrv"/>
    <s v="NA"/>
    <n v="0"/>
    <n v="1"/>
    <n v="2008"/>
    <s v="WD"/>
    <s v="Normal"/>
    <n v="55000"/>
  </r>
  <r>
    <n v="1327"/>
    <n v="30"/>
    <s v="RH"/>
    <n v="70"/>
    <n v="4270"/>
    <s v="Pave"/>
    <s v="NA"/>
    <s v="Reg"/>
    <s v="Bnk"/>
    <s v="AllPub"/>
    <s v="Inside"/>
    <s v="Mod"/>
    <x v="15"/>
    <x v="0"/>
    <s v="Norm"/>
    <x v="0"/>
    <x v="1"/>
    <n v="3"/>
    <n v="6"/>
    <x v="8"/>
    <n v="2006"/>
    <s v="Gable"/>
    <s v="CompShg"/>
    <s v="MetalSd"/>
    <s v="MetalSd"/>
    <s v="None"/>
    <n v="0"/>
    <s v="TA"/>
    <s v="TA"/>
    <s v="BrkTil"/>
    <s v="TA"/>
    <s v="TA"/>
    <s v="No"/>
    <s v="Rec"/>
    <n v="544"/>
    <s v="Unf"/>
    <n v="0"/>
    <n v="0"/>
    <n v="544"/>
    <s v="GasA"/>
    <s v="Ex"/>
    <s v="Y"/>
    <s v="SBrkr"/>
    <n v="774"/>
    <n v="0"/>
    <n v="0"/>
    <x v="814"/>
    <n v="0"/>
    <n v="0"/>
    <n v="1"/>
    <n v="0"/>
    <n v="3"/>
    <n v="1"/>
    <s v="Gd"/>
    <n v="6"/>
    <s v="Typ"/>
    <n v="0"/>
    <s v="NA"/>
    <s v="NA"/>
    <s v="NA"/>
    <s v="NA"/>
    <n v="0"/>
    <n v="0"/>
    <s v="NA"/>
    <s v="NA"/>
    <s v="Y"/>
    <n v="0"/>
    <n v="0"/>
    <n v="286"/>
    <n v="0"/>
    <n v="0"/>
    <n v="0"/>
    <s v="NA"/>
    <s v="NA"/>
    <s v="NA"/>
    <n v="0"/>
    <n v="5"/>
    <n v="2007"/>
    <s v="WD"/>
    <s v="Normal"/>
    <n v="79000"/>
  </r>
  <r>
    <n v="1328"/>
    <n v="20"/>
    <s v="RL"/>
    <n v="60"/>
    <n v="6600"/>
    <s v="Pave"/>
    <s v="NA"/>
    <s v="Reg"/>
    <s v="Lvl"/>
    <s v="AllPub"/>
    <s v="Inside"/>
    <s v="Gtl"/>
    <x v="4"/>
    <x v="0"/>
    <s v="Norm"/>
    <x v="0"/>
    <x v="1"/>
    <n v="5"/>
    <n v="9"/>
    <x v="44"/>
    <n v="2008"/>
    <s v="Gable"/>
    <s v="CompShg"/>
    <s v="VinylSd"/>
    <s v="VinylSd"/>
    <s v="None"/>
    <n v="0"/>
    <s v="Gd"/>
    <s v="Gd"/>
    <s v="CBlock"/>
    <s v="TA"/>
    <s v="TA"/>
    <s v="No"/>
    <s v="ALQ"/>
    <n v="641"/>
    <s v="Unf"/>
    <n v="0"/>
    <n v="175"/>
    <n v="816"/>
    <s v="GasA"/>
    <s v="Ex"/>
    <s v="Y"/>
    <s v="SBrkr"/>
    <n v="816"/>
    <n v="0"/>
    <n v="0"/>
    <x v="50"/>
    <n v="0"/>
    <n v="1"/>
    <n v="1"/>
    <n v="0"/>
    <n v="3"/>
    <n v="1"/>
    <s v="Gd"/>
    <n v="5"/>
    <s v="Typ"/>
    <n v="1"/>
    <s v="Ex"/>
    <s v="Attchd"/>
    <n v="1982"/>
    <s v="Unf"/>
    <n v="1"/>
    <n v="264"/>
    <s v="TA"/>
    <s v="TA"/>
    <s v="Y"/>
    <n v="0"/>
    <n v="0"/>
    <n v="0"/>
    <n v="0"/>
    <n v="0"/>
    <n v="0"/>
    <s v="NA"/>
    <s v="MnPrv"/>
    <s v="NA"/>
    <n v="0"/>
    <n v="10"/>
    <n v="2008"/>
    <s v="WD"/>
    <s v="Normal"/>
    <n v="130500"/>
  </r>
  <r>
    <n v="1329"/>
    <n v="50"/>
    <s v="RM"/>
    <n v="60"/>
    <n v="10440"/>
    <s v="Pave"/>
    <s v="Grvl"/>
    <s v="Reg"/>
    <s v="Lvl"/>
    <s v="AllPub"/>
    <s v="Corner"/>
    <s v="Gtl"/>
    <x v="7"/>
    <x v="0"/>
    <s v="Norm"/>
    <x v="0"/>
    <x v="2"/>
    <n v="6"/>
    <n v="7"/>
    <x v="26"/>
    <n v="1950"/>
    <s v="Gable"/>
    <s v="CompShg"/>
    <s v="BrkFace"/>
    <s v="Wd Sdng"/>
    <s v="None"/>
    <n v="0"/>
    <s v="Gd"/>
    <s v="Gd"/>
    <s v="BrkTil"/>
    <s v="Gd"/>
    <s v="TA"/>
    <s v="No"/>
    <s v="LwQ"/>
    <n v="493"/>
    <s v="Unf"/>
    <n v="0"/>
    <n v="1017"/>
    <n v="1510"/>
    <s v="GasW"/>
    <s v="Ex"/>
    <s v="Y"/>
    <s v="SBrkr"/>
    <n v="1584"/>
    <n v="1208"/>
    <n v="0"/>
    <x v="815"/>
    <n v="0"/>
    <n v="0"/>
    <n v="2"/>
    <n v="0"/>
    <n v="5"/>
    <n v="1"/>
    <s v="TA"/>
    <n v="8"/>
    <s v="Mod"/>
    <n v="2"/>
    <s v="TA"/>
    <s v="Detchd"/>
    <n v="1920"/>
    <s v="Unf"/>
    <n v="2"/>
    <n v="520"/>
    <s v="Fa"/>
    <s v="TA"/>
    <s v="Y"/>
    <n v="0"/>
    <n v="547"/>
    <n v="0"/>
    <n v="0"/>
    <n v="480"/>
    <n v="0"/>
    <s v="NA"/>
    <s v="MnPrv"/>
    <s v="Shed"/>
    <n v="1150"/>
    <n v="6"/>
    <n v="2008"/>
    <s v="WD"/>
    <s v="Normal"/>
    <n v="256000"/>
  </r>
  <r>
    <n v="1330"/>
    <n v="60"/>
    <s v="RL"/>
    <n v="63"/>
    <n v="9084"/>
    <s v="Pave"/>
    <s v="NA"/>
    <s v="IR1"/>
    <s v="Lvl"/>
    <s v="AllPub"/>
    <s v="Inside"/>
    <s v="Gtl"/>
    <x v="17"/>
    <x v="0"/>
    <s v="Norm"/>
    <x v="0"/>
    <x v="0"/>
    <n v="7"/>
    <n v="5"/>
    <x v="45"/>
    <n v="1998"/>
    <s v="Hip"/>
    <s v="CompShg"/>
    <s v="VinylSd"/>
    <s v="VinylSd"/>
    <s v="None"/>
    <n v="0"/>
    <s v="TA"/>
    <s v="TA"/>
    <s v="PConc"/>
    <s v="Gd"/>
    <s v="TA"/>
    <s v="No"/>
    <s v="Unf"/>
    <n v="0"/>
    <s v="Unf"/>
    <n v="0"/>
    <n v="935"/>
    <n v="935"/>
    <s v="GasA"/>
    <s v="Gd"/>
    <s v="Y"/>
    <s v="SBrkr"/>
    <n v="955"/>
    <n v="677"/>
    <n v="0"/>
    <x v="235"/>
    <n v="0"/>
    <n v="0"/>
    <n v="2"/>
    <n v="1"/>
    <n v="3"/>
    <n v="1"/>
    <s v="TA"/>
    <n v="8"/>
    <s v="Typ"/>
    <n v="1"/>
    <s v="TA"/>
    <s v="Attchd"/>
    <n v="1998"/>
    <s v="Fin"/>
    <n v="2"/>
    <n v="462"/>
    <s v="TA"/>
    <s v="TA"/>
    <s v="Y"/>
    <n v="0"/>
    <n v="28"/>
    <n v="0"/>
    <n v="0"/>
    <n v="0"/>
    <n v="0"/>
    <s v="NA"/>
    <s v="NA"/>
    <s v="NA"/>
    <n v="0"/>
    <n v="6"/>
    <n v="2006"/>
    <s v="WD"/>
    <s v="Normal"/>
    <n v="176500"/>
  </r>
  <r>
    <n v="1331"/>
    <n v="20"/>
    <s v="RL"/>
    <n v="85"/>
    <n v="10000"/>
    <s v="Pave"/>
    <s v="NA"/>
    <s v="Reg"/>
    <s v="Lvl"/>
    <s v="AllPub"/>
    <s v="Inside"/>
    <s v="Gtl"/>
    <x v="5"/>
    <x v="0"/>
    <s v="Norm"/>
    <x v="0"/>
    <x v="1"/>
    <n v="8"/>
    <n v="5"/>
    <x v="13"/>
    <n v="2006"/>
    <s v="Hip"/>
    <s v="CompShg"/>
    <s v="VinylSd"/>
    <s v="VinylSd"/>
    <s v="Stone"/>
    <n v="410"/>
    <s v="Gd"/>
    <s v="TA"/>
    <s v="PConc"/>
    <s v="Gd"/>
    <s v="Gd"/>
    <s v="Av"/>
    <s v="Unf"/>
    <n v="0"/>
    <s v="Unf"/>
    <n v="0"/>
    <n v="1588"/>
    <n v="1588"/>
    <s v="GasA"/>
    <s v="Ex"/>
    <s v="Y"/>
    <s v="SBrkr"/>
    <n v="1588"/>
    <n v="0"/>
    <n v="0"/>
    <x v="90"/>
    <n v="0"/>
    <n v="0"/>
    <n v="2"/>
    <n v="0"/>
    <n v="3"/>
    <n v="1"/>
    <s v="Gd"/>
    <n v="7"/>
    <s v="Typ"/>
    <n v="1"/>
    <s v="Gd"/>
    <s v="Attchd"/>
    <n v="2006"/>
    <s v="RFn"/>
    <n v="3"/>
    <n v="825"/>
    <s v="TA"/>
    <s v="TA"/>
    <s v="Y"/>
    <n v="144"/>
    <n v="45"/>
    <n v="0"/>
    <n v="0"/>
    <n v="0"/>
    <n v="0"/>
    <s v="NA"/>
    <s v="NA"/>
    <s v="NA"/>
    <n v="0"/>
    <n v="12"/>
    <n v="2007"/>
    <s v="WD"/>
    <s v="Normal"/>
    <n v="227000"/>
  </r>
  <r>
    <n v="1332"/>
    <n v="80"/>
    <s v="RL"/>
    <n v="55"/>
    <n v="10780"/>
    <s v="Pave"/>
    <s v="NA"/>
    <s v="IR1"/>
    <s v="Lvl"/>
    <s v="AllPub"/>
    <s v="Inside"/>
    <s v="Gtl"/>
    <x v="0"/>
    <x v="0"/>
    <s v="Norm"/>
    <x v="0"/>
    <x v="5"/>
    <n v="5"/>
    <n v="5"/>
    <x v="1"/>
    <n v="1976"/>
    <s v="Gable"/>
    <s v="CompShg"/>
    <s v="MetalSd"/>
    <s v="MetalSd"/>
    <s v="None"/>
    <n v="0"/>
    <s v="TA"/>
    <s v="TA"/>
    <s v="CBlock"/>
    <s v="TA"/>
    <s v="TA"/>
    <s v="Av"/>
    <s v="ALQ"/>
    <n v="483"/>
    <s v="Unf"/>
    <n v="0"/>
    <n v="428"/>
    <n v="911"/>
    <s v="GasA"/>
    <s v="Gd"/>
    <s v="Y"/>
    <s v="SBrkr"/>
    <n v="954"/>
    <n v="0"/>
    <n v="0"/>
    <x v="690"/>
    <n v="0"/>
    <n v="0"/>
    <n v="1"/>
    <n v="0"/>
    <n v="3"/>
    <n v="1"/>
    <s v="TA"/>
    <n v="6"/>
    <s v="Typ"/>
    <n v="0"/>
    <s v="NA"/>
    <s v="Detchd"/>
    <n v="1976"/>
    <s v="Unf"/>
    <n v="2"/>
    <n v="576"/>
    <s v="TA"/>
    <s v="TA"/>
    <s v="Y"/>
    <n v="0"/>
    <n v="0"/>
    <n v="0"/>
    <n v="0"/>
    <n v="0"/>
    <n v="0"/>
    <s v="NA"/>
    <s v="NA"/>
    <s v="NA"/>
    <n v="0"/>
    <n v="7"/>
    <n v="2006"/>
    <s v="WD"/>
    <s v="Normal"/>
    <n v="132500"/>
  </r>
  <r>
    <n v="1333"/>
    <n v="20"/>
    <s v="RL"/>
    <n v="67"/>
    <n v="8877"/>
    <s v="Pave"/>
    <s v="NA"/>
    <s v="Reg"/>
    <s v="Lvl"/>
    <s v="AllPub"/>
    <s v="Inside"/>
    <s v="Mod"/>
    <x v="15"/>
    <x v="0"/>
    <s v="Norm"/>
    <x v="0"/>
    <x v="1"/>
    <n v="4"/>
    <n v="6"/>
    <x v="98"/>
    <n v="1958"/>
    <s v="Gable"/>
    <s v="CompShg"/>
    <s v="MetalSd"/>
    <s v="MetalSd"/>
    <s v="None"/>
    <n v="0"/>
    <s v="TA"/>
    <s v="TA"/>
    <s v="CBlock"/>
    <s v="TA"/>
    <s v="TA"/>
    <s v="Mn"/>
    <s v="ALQ"/>
    <n v="690"/>
    <s v="Unf"/>
    <n v="0"/>
    <n v="126"/>
    <n v="816"/>
    <s v="GasA"/>
    <s v="Ex"/>
    <s v="Y"/>
    <s v="SBrkr"/>
    <n v="816"/>
    <n v="0"/>
    <n v="0"/>
    <x v="50"/>
    <n v="1"/>
    <n v="0"/>
    <n v="1"/>
    <n v="0"/>
    <n v="2"/>
    <n v="1"/>
    <s v="TA"/>
    <n v="3"/>
    <s v="Typ"/>
    <n v="1"/>
    <s v="Gd"/>
    <s v="Detchd"/>
    <n v="1958"/>
    <s v="Unf"/>
    <n v="1"/>
    <n v="288"/>
    <s v="Fa"/>
    <s v="Fa"/>
    <s v="Y"/>
    <n v="0"/>
    <n v="0"/>
    <n v="0"/>
    <n v="0"/>
    <n v="0"/>
    <n v="0"/>
    <s v="NA"/>
    <s v="NA"/>
    <s v="NA"/>
    <n v="0"/>
    <n v="5"/>
    <n v="2009"/>
    <s v="WD"/>
    <s v="Normal"/>
    <n v="100000"/>
  </r>
  <r>
    <n v="1334"/>
    <n v="50"/>
    <s v="RM"/>
    <n v="60"/>
    <n v="7200"/>
    <s v="Pave"/>
    <s v="NA"/>
    <s v="Reg"/>
    <s v="Lvl"/>
    <s v="AllPub"/>
    <s v="Corner"/>
    <s v="Gtl"/>
    <x v="13"/>
    <x v="0"/>
    <s v="Norm"/>
    <x v="0"/>
    <x v="2"/>
    <n v="5"/>
    <n v="6"/>
    <x v="98"/>
    <n v="1995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803"/>
    <n v="803"/>
    <s v="GasA"/>
    <s v="Ex"/>
    <s v="Y"/>
    <s v="SBrkr"/>
    <n v="803"/>
    <n v="557"/>
    <n v="0"/>
    <x v="52"/>
    <n v="0"/>
    <n v="0"/>
    <n v="1"/>
    <n v="1"/>
    <n v="2"/>
    <n v="1"/>
    <s v="Gd"/>
    <n v="6"/>
    <s v="Typ"/>
    <n v="0"/>
    <s v="NA"/>
    <s v="Detchd"/>
    <n v="1951"/>
    <s v="Unf"/>
    <n v="1"/>
    <n v="297"/>
    <s v="TA"/>
    <s v="TA"/>
    <s v="Y"/>
    <n v="0"/>
    <n v="65"/>
    <n v="190"/>
    <n v="0"/>
    <n v="0"/>
    <n v="0"/>
    <s v="NA"/>
    <s v="MnPrv"/>
    <s v="NA"/>
    <n v="0"/>
    <n v="7"/>
    <n v="2006"/>
    <s v="WD"/>
    <s v="Normal"/>
    <n v="125500"/>
  </r>
  <r>
    <n v="1335"/>
    <n v="160"/>
    <s v="RM"/>
    <n v="24"/>
    <n v="2368"/>
    <s v="Pave"/>
    <s v="NA"/>
    <s v="Reg"/>
    <s v="Lvl"/>
    <s v="AllPub"/>
    <s v="Inside"/>
    <s v="Gtl"/>
    <x v="22"/>
    <x v="0"/>
    <s v="Norm"/>
    <x v="3"/>
    <x v="0"/>
    <n v="5"/>
    <n v="6"/>
    <x v="16"/>
    <n v="1970"/>
    <s v="Gable"/>
    <s v="CompShg"/>
    <s v="HdBoard"/>
    <s v="HdBoard"/>
    <s v="None"/>
    <n v="312"/>
    <s v="TA"/>
    <s v="TA"/>
    <s v="CBlock"/>
    <s v="TA"/>
    <s v="TA"/>
    <s v="No"/>
    <s v="LwQ"/>
    <n v="765"/>
    <s v="Unf"/>
    <n v="0"/>
    <n v="0"/>
    <n v="765"/>
    <s v="GasA"/>
    <s v="TA"/>
    <s v="Y"/>
    <s v="SBrkr"/>
    <n v="765"/>
    <n v="600"/>
    <n v="0"/>
    <x v="352"/>
    <n v="0"/>
    <n v="0"/>
    <n v="1"/>
    <n v="1"/>
    <n v="3"/>
    <n v="1"/>
    <s v="TA"/>
    <n v="7"/>
    <s v="Min1"/>
    <n v="0"/>
    <s v="NA"/>
    <s v="Attchd"/>
    <n v="1970"/>
    <s v="Unf"/>
    <n v="2"/>
    <n v="440"/>
    <s v="TA"/>
    <s v="TA"/>
    <s v="Y"/>
    <n v="0"/>
    <n v="36"/>
    <n v="0"/>
    <n v="0"/>
    <n v="0"/>
    <n v="0"/>
    <s v="NA"/>
    <s v="NA"/>
    <s v="NA"/>
    <n v="0"/>
    <n v="5"/>
    <n v="2009"/>
    <s v="WD"/>
    <s v="Normal"/>
    <n v="125000"/>
  </r>
  <r>
    <n v="1336"/>
    <n v="20"/>
    <s v="RL"/>
    <n v="80"/>
    <n v="9650"/>
    <s v="Pave"/>
    <s v="NA"/>
    <s v="Reg"/>
    <s v="Lvl"/>
    <s v="AllPub"/>
    <s v="Inside"/>
    <s v="Gtl"/>
    <x v="6"/>
    <x v="0"/>
    <s v="Norm"/>
    <x v="0"/>
    <x v="1"/>
    <n v="6"/>
    <n v="5"/>
    <x v="54"/>
    <n v="1977"/>
    <s v="Gable"/>
    <s v="CompShg"/>
    <s v="Plywood"/>
    <s v="Plywood"/>
    <s v="BrkFace"/>
    <n v="360"/>
    <s v="TA"/>
    <s v="TA"/>
    <s v="CBlock"/>
    <s v="Gd"/>
    <s v="TA"/>
    <s v="No"/>
    <s v="ALQ"/>
    <n v="686"/>
    <s v="Unf"/>
    <n v="0"/>
    <n v="664"/>
    <n v="1350"/>
    <s v="GasA"/>
    <s v="TA"/>
    <s v="Y"/>
    <s v="SBrkr"/>
    <n v="1334"/>
    <n v="0"/>
    <n v="0"/>
    <x v="816"/>
    <n v="0"/>
    <n v="1"/>
    <n v="2"/>
    <n v="0"/>
    <n v="2"/>
    <n v="1"/>
    <s v="TA"/>
    <n v="6"/>
    <s v="Typ"/>
    <n v="1"/>
    <s v="TA"/>
    <s v="Attchd"/>
    <n v="1977"/>
    <s v="RFn"/>
    <n v="2"/>
    <n v="630"/>
    <s v="TA"/>
    <s v="TA"/>
    <s v="Y"/>
    <n v="0"/>
    <n v="16"/>
    <n v="0"/>
    <n v="0"/>
    <n v="0"/>
    <n v="0"/>
    <s v="NA"/>
    <s v="NA"/>
    <s v="NA"/>
    <n v="0"/>
    <n v="4"/>
    <n v="2009"/>
    <s v="WD"/>
    <s v="Normal"/>
    <n v="167900"/>
  </r>
  <r>
    <n v="1337"/>
    <n v="90"/>
    <s v="RL"/>
    <n v="87"/>
    <n v="9246"/>
    <s v="Pave"/>
    <s v="NA"/>
    <s v="IR1"/>
    <s v="Lvl"/>
    <s v="AllPub"/>
    <s v="Inside"/>
    <s v="Gtl"/>
    <x v="6"/>
    <x v="1"/>
    <s v="Norm"/>
    <x v="2"/>
    <x v="1"/>
    <n v="5"/>
    <n v="5"/>
    <x v="7"/>
    <n v="1973"/>
    <s v="Gable"/>
    <s v="CompShg"/>
    <s v="Plywood"/>
    <s v="Plywood"/>
    <s v="BrkFace"/>
    <n v="564"/>
    <s v="TA"/>
    <s v="TA"/>
    <s v="CBlock"/>
    <s v="TA"/>
    <s v="TA"/>
    <s v="No"/>
    <s v="Unf"/>
    <n v="0"/>
    <s v="Unf"/>
    <n v="0"/>
    <n v="1656"/>
    <n v="1656"/>
    <s v="GasA"/>
    <s v="TA"/>
    <s v="Y"/>
    <s v="SBrkr"/>
    <n v="1656"/>
    <n v="0"/>
    <n v="0"/>
    <x v="45"/>
    <n v="0"/>
    <n v="0"/>
    <n v="2"/>
    <n v="0"/>
    <n v="4"/>
    <n v="2"/>
    <s v="TA"/>
    <n v="8"/>
    <s v="Typ"/>
    <n v="0"/>
    <s v="NA"/>
    <s v="Detchd"/>
    <n v="1973"/>
    <s v="Unf"/>
    <n v="2"/>
    <n v="506"/>
    <s v="TA"/>
    <s v="TA"/>
    <s v="Y"/>
    <n v="0"/>
    <n v="211"/>
    <n v="0"/>
    <n v="0"/>
    <n v="0"/>
    <n v="0"/>
    <s v="NA"/>
    <s v="NA"/>
    <s v="NA"/>
    <n v="0"/>
    <n v="11"/>
    <n v="2008"/>
    <s v="WD"/>
    <s v="Normal"/>
    <n v="135000"/>
  </r>
  <r>
    <n v="1338"/>
    <n v="30"/>
    <s v="RM"/>
    <n v="153"/>
    <n v="4118"/>
    <s v="Pave"/>
    <s v="Grvl"/>
    <s v="IR1"/>
    <s v="Bnk"/>
    <s v="AllPub"/>
    <s v="Corner"/>
    <s v="Mod"/>
    <x v="7"/>
    <x v="1"/>
    <s v="Norm"/>
    <x v="0"/>
    <x v="1"/>
    <n v="4"/>
    <n v="4"/>
    <x v="71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693"/>
    <n v="693"/>
    <s v="Grav"/>
    <s v="Fa"/>
    <s v="N"/>
    <s v="FuseA"/>
    <n v="693"/>
    <n v="0"/>
    <n v="0"/>
    <x v="817"/>
    <n v="0"/>
    <n v="0"/>
    <n v="1"/>
    <n v="0"/>
    <n v="2"/>
    <n v="1"/>
    <s v="Fa"/>
    <n v="4"/>
    <s v="Typ"/>
    <n v="0"/>
    <s v="NA"/>
    <s v="NA"/>
    <s v="NA"/>
    <s v="NA"/>
    <n v="0"/>
    <n v="0"/>
    <s v="NA"/>
    <s v="NA"/>
    <s v="N"/>
    <n v="0"/>
    <n v="20"/>
    <n v="0"/>
    <n v="0"/>
    <n v="0"/>
    <n v="0"/>
    <s v="NA"/>
    <s v="NA"/>
    <s v="NA"/>
    <n v="0"/>
    <n v="3"/>
    <n v="2006"/>
    <s v="WD"/>
    <s v="Normal"/>
    <n v="52500"/>
  </r>
  <r>
    <n v="1339"/>
    <n v="60"/>
    <s v="RL"/>
    <n v="95"/>
    <n v="13450"/>
    <s v="Pave"/>
    <s v="NA"/>
    <s v="IR1"/>
    <s v="Lvl"/>
    <s v="AllPub"/>
    <s v="Corner"/>
    <s v="Gtl"/>
    <x v="0"/>
    <x v="0"/>
    <s v="Norm"/>
    <x v="0"/>
    <x v="0"/>
    <n v="7"/>
    <n v="5"/>
    <x v="20"/>
    <n v="2002"/>
    <s v="Gable"/>
    <s v="CompShg"/>
    <s v="VinylSd"/>
    <s v="VinylSd"/>
    <s v="None"/>
    <n v="0"/>
    <s v="Gd"/>
    <s v="TA"/>
    <s v="PConc"/>
    <s v="Gd"/>
    <s v="TA"/>
    <s v="No"/>
    <s v="GLQ"/>
    <n v="700"/>
    <s v="Unf"/>
    <n v="0"/>
    <n v="216"/>
    <n v="916"/>
    <s v="GasA"/>
    <s v="Ex"/>
    <s v="Y"/>
    <s v="SBrkr"/>
    <n v="920"/>
    <n v="941"/>
    <n v="0"/>
    <x v="818"/>
    <n v="1"/>
    <n v="0"/>
    <n v="2"/>
    <n v="1"/>
    <n v="3"/>
    <n v="1"/>
    <s v="Gd"/>
    <n v="8"/>
    <s v="Typ"/>
    <n v="0"/>
    <s v="NA"/>
    <s v="BuiltIn"/>
    <n v="2002"/>
    <s v="RFn"/>
    <n v="2"/>
    <n v="492"/>
    <s v="TA"/>
    <s v="TA"/>
    <s v="Y"/>
    <n v="146"/>
    <n v="91"/>
    <n v="0"/>
    <n v="0"/>
    <n v="0"/>
    <n v="0"/>
    <s v="NA"/>
    <s v="NA"/>
    <s v="NA"/>
    <n v="0"/>
    <n v="6"/>
    <n v="2006"/>
    <s v="WD"/>
    <s v="Normal"/>
    <n v="200000"/>
  </r>
  <r>
    <n v="1340"/>
    <n v="20"/>
    <s v="RL"/>
    <n v="120"/>
    <n v="9560"/>
    <s v="Pave"/>
    <s v="NA"/>
    <s v="IR1"/>
    <s v="Lvl"/>
    <s v="AllPub"/>
    <s v="Corner"/>
    <s v="Gtl"/>
    <x v="0"/>
    <x v="0"/>
    <s v="Norm"/>
    <x v="0"/>
    <x v="1"/>
    <n v="5"/>
    <n v="7"/>
    <x v="41"/>
    <n v="1972"/>
    <s v="Hip"/>
    <s v="CompShg"/>
    <s v="MetalSd"/>
    <s v="MetalSd"/>
    <s v="None"/>
    <n v="0"/>
    <s v="TA"/>
    <s v="Gd"/>
    <s v="CBlock"/>
    <s v="TA"/>
    <s v="TA"/>
    <s v="Mn"/>
    <s v="Rec"/>
    <n v="360"/>
    <s v="Unf"/>
    <n v="0"/>
    <n v="504"/>
    <n v="864"/>
    <s v="GasA"/>
    <s v="Ex"/>
    <s v="Y"/>
    <s v="SBrkr"/>
    <n v="864"/>
    <n v="0"/>
    <n v="0"/>
    <x v="132"/>
    <n v="0"/>
    <n v="0"/>
    <n v="1"/>
    <n v="0"/>
    <n v="3"/>
    <n v="1"/>
    <s v="TA"/>
    <n v="5"/>
    <s v="Typ"/>
    <n v="0"/>
    <s v="NA"/>
    <s v="Attchd"/>
    <n v="1972"/>
    <s v="RFn"/>
    <n v="1"/>
    <n v="288"/>
    <s v="TA"/>
    <s v="TA"/>
    <s v="Y"/>
    <n v="0"/>
    <n v="0"/>
    <n v="0"/>
    <n v="0"/>
    <n v="0"/>
    <n v="0"/>
    <s v="NA"/>
    <s v="NA"/>
    <s v="NA"/>
    <n v="0"/>
    <n v="6"/>
    <n v="2006"/>
    <s v="WD"/>
    <s v="Normal"/>
    <n v="128500"/>
  </r>
  <r>
    <n v="1341"/>
    <n v="20"/>
    <s v="RL"/>
    <n v="70"/>
    <n v="8294"/>
    <s v="Pave"/>
    <s v="NA"/>
    <s v="Reg"/>
    <s v="Lvl"/>
    <s v="AllPub"/>
    <s v="Inside"/>
    <s v="Gtl"/>
    <x v="11"/>
    <x v="0"/>
    <s v="Norm"/>
    <x v="0"/>
    <x v="1"/>
    <n v="4"/>
    <n v="5"/>
    <x v="63"/>
    <n v="1971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58"/>
    <n v="858"/>
    <s v="GasA"/>
    <s v="TA"/>
    <s v="Y"/>
    <s v="SBrkr"/>
    <n v="872"/>
    <n v="0"/>
    <n v="0"/>
    <x v="819"/>
    <n v="0"/>
    <n v="0"/>
    <n v="1"/>
    <n v="0"/>
    <n v="3"/>
    <n v="1"/>
    <s v="TA"/>
    <n v="5"/>
    <s v="Typ"/>
    <n v="0"/>
    <s v="NA"/>
    <s v="Detchd"/>
    <n v="1974"/>
    <s v="Unf"/>
    <n v="4"/>
    <n v="480"/>
    <s v="TA"/>
    <s v="TA"/>
    <s v="Y"/>
    <n v="0"/>
    <n v="0"/>
    <n v="0"/>
    <n v="0"/>
    <n v="0"/>
    <n v="0"/>
    <s v="NA"/>
    <s v="GdWo"/>
    <s v="NA"/>
    <n v="0"/>
    <n v="6"/>
    <n v="2007"/>
    <s v="WD"/>
    <s v="Normal"/>
    <n v="123000"/>
  </r>
  <r>
    <n v="1342"/>
    <n v="20"/>
    <s v="RL"/>
    <n v="66"/>
    <n v="13695"/>
    <s v="Pave"/>
    <s v="NA"/>
    <s v="Reg"/>
    <s v="Lvl"/>
    <s v="AllPub"/>
    <s v="Inside"/>
    <s v="Gtl"/>
    <x v="12"/>
    <x v="4"/>
    <s v="Norm"/>
    <x v="0"/>
    <x v="1"/>
    <n v="6"/>
    <n v="5"/>
    <x v="0"/>
    <n v="2004"/>
    <s v="Gable"/>
    <s v="CompShg"/>
    <s v="VinylSd"/>
    <s v="VinylSd"/>
    <s v="None"/>
    <n v="0"/>
    <s v="TA"/>
    <s v="TA"/>
    <s v="PConc"/>
    <s v="Gd"/>
    <s v="TA"/>
    <s v="No"/>
    <s v="GLQ"/>
    <n v="814"/>
    <s v="Unf"/>
    <n v="0"/>
    <n v="300"/>
    <n v="1114"/>
    <s v="GasA"/>
    <s v="Ex"/>
    <s v="Y"/>
    <s v="SBrkr"/>
    <n v="1114"/>
    <n v="0"/>
    <n v="0"/>
    <x v="18"/>
    <n v="1"/>
    <n v="0"/>
    <n v="1"/>
    <n v="0"/>
    <n v="3"/>
    <n v="1"/>
    <s v="Gd"/>
    <n v="6"/>
    <s v="Typ"/>
    <n v="0"/>
    <s v="NA"/>
    <s v="Detchd"/>
    <n v="2004"/>
    <s v="Unf"/>
    <n v="2"/>
    <n v="576"/>
    <s v="TA"/>
    <s v="TA"/>
    <s v="Y"/>
    <n v="0"/>
    <n v="78"/>
    <n v="0"/>
    <n v="0"/>
    <n v="0"/>
    <n v="0"/>
    <s v="NA"/>
    <s v="NA"/>
    <s v="NA"/>
    <n v="0"/>
    <n v="7"/>
    <n v="2008"/>
    <s v="WD"/>
    <s v="Normal"/>
    <n v="155000"/>
  </r>
  <r>
    <n v="1343"/>
    <n v="60"/>
    <s v="RL"/>
    <s v="NA"/>
    <n v="9375"/>
    <s v="Pave"/>
    <s v="NA"/>
    <s v="Reg"/>
    <s v="Lvl"/>
    <s v="AllPub"/>
    <s v="Inside"/>
    <s v="Gtl"/>
    <x v="0"/>
    <x v="0"/>
    <s v="Norm"/>
    <x v="0"/>
    <x v="0"/>
    <n v="8"/>
    <n v="5"/>
    <x v="20"/>
    <n v="2002"/>
    <s v="Gable"/>
    <s v="CompShg"/>
    <s v="VinylSd"/>
    <s v="VinylSd"/>
    <s v="BrkFace"/>
    <n v="149"/>
    <s v="Gd"/>
    <s v="TA"/>
    <s v="PConc"/>
    <s v="Gd"/>
    <s v="TA"/>
    <s v="No"/>
    <s v="Unf"/>
    <n v="0"/>
    <s v="Unf"/>
    <n v="0"/>
    <n v="1284"/>
    <n v="1284"/>
    <s v="GasA"/>
    <s v="Ex"/>
    <s v="Y"/>
    <s v="SBrkr"/>
    <n v="1284"/>
    <n v="885"/>
    <n v="0"/>
    <x v="820"/>
    <n v="0"/>
    <n v="0"/>
    <n v="2"/>
    <n v="1"/>
    <n v="3"/>
    <n v="1"/>
    <s v="Gd"/>
    <n v="7"/>
    <s v="Typ"/>
    <n v="1"/>
    <s v="Gd"/>
    <s v="Attchd"/>
    <n v="2002"/>
    <s v="RFn"/>
    <n v="2"/>
    <n v="647"/>
    <s v="TA"/>
    <s v="TA"/>
    <s v="Y"/>
    <n v="192"/>
    <n v="87"/>
    <n v="0"/>
    <n v="0"/>
    <n v="0"/>
    <n v="0"/>
    <s v="NA"/>
    <s v="NA"/>
    <s v="NA"/>
    <n v="0"/>
    <n v="8"/>
    <n v="2007"/>
    <s v="WD"/>
    <s v="Normal"/>
    <n v="228500"/>
  </r>
  <r>
    <n v="1344"/>
    <n v="50"/>
    <s v="RL"/>
    <n v="57"/>
    <n v="7558"/>
    <s v="Pave"/>
    <s v="NA"/>
    <s v="Reg"/>
    <s v="Bnk"/>
    <s v="AllPub"/>
    <s v="Inside"/>
    <s v="Gtl"/>
    <x v="2"/>
    <x v="0"/>
    <s v="Norm"/>
    <x v="0"/>
    <x v="2"/>
    <n v="6"/>
    <n v="6"/>
    <x v="89"/>
    <n v="1950"/>
    <s v="Gable"/>
    <s v="CompShg"/>
    <s v="BrkFace"/>
    <s v="Stone"/>
    <s v="None"/>
    <n v="0"/>
    <s v="TA"/>
    <s v="TA"/>
    <s v="BrkTil"/>
    <s v="TA"/>
    <s v="TA"/>
    <s v="No"/>
    <s v="Unf"/>
    <n v="0"/>
    <s v="Unf"/>
    <n v="0"/>
    <n v="896"/>
    <n v="896"/>
    <s v="GasA"/>
    <s v="Gd"/>
    <s v="Y"/>
    <s v="SBrkr"/>
    <n v="1172"/>
    <n v="741"/>
    <n v="0"/>
    <x v="821"/>
    <n v="0"/>
    <n v="0"/>
    <n v="1"/>
    <n v="1"/>
    <n v="3"/>
    <n v="1"/>
    <s v="TA"/>
    <n v="9"/>
    <s v="Typ"/>
    <n v="1"/>
    <s v="TA"/>
    <s v="Detchd"/>
    <n v="1929"/>
    <s v="Unf"/>
    <n v="2"/>
    <n v="342"/>
    <s v="Fa"/>
    <s v="Fa"/>
    <s v="Y"/>
    <n v="0"/>
    <n v="0"/>
    <n v="0"/>
    <n v="0"/>
    <n v="0"/>
    <n v="0"/>
    <s v="NA"/>
    <s v="NA"/>
    <s v="NA"/>
    <n v="0"/>
    <n v="3"/>
    <n v="2009"/>
    <s v="WD"/>
    <s v="Normal"/>
    <n v="177000"/>
  </r>
  <r>
    <n v="1345"/>
    <n v="60"/>
    <s v="RL"/>
    <n v="85"/>
    <n v="11103"/>
    <s v="Pave"/>
    <s v="NA"/>
    <s v="IR1"/>
    <s v="Lvl"/>
    <s v="AllPub"/>
    <s v="Corner"/>
    <s v="Gtl"/>
    <x v="0"/>
    <x v="0"/>
    <s v="Norm"/>
    <x v="0"/>
    <x v="0"/>
    <n v="7"/>
    <n v="5"/>
    <x v="13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28"/>
    <n v="728"/>
    <s v="GasA"/>
    <s v="Ex"/>
    <s v="Y"/>
    <s v="SBrkr"/>
    <n v="728"/>
    <n v="728"/>
    <n v="0"/>
    <x v="113"/>
    <n v="0"/>
    <n v="0"/>
    <n v="2"/>
    <n v="1"/>
    <n v="3"/>
    <n v="1"/>
    <s v="Gd"/>
    <n v="8"/>
    <s v="Typ"/>
    <n v="1"/>
    <s v="TA"/>
    <s v="Attchd"/>
    <n v="2006"/>
    <s v="Fin"/>
    <n v="2"/>
    <n v="440"/>
    <s v="TA"/>
    <s v="TA"/>
    <s v="Y"/>
    <n v="0"/>
    <n v="0"/>
    <n v="0"/>
    <n v="0"/>
    <n v="0"/>
    <n v="0"/>
    <s v="NA"/>
    <s v="NA"/>
    <s v="NA"/>
    <n v="0"/>
    <n v="7"/>
    <n v="2007"/>
    <s v="New"/>
    <s v="Partial"/>
    <n v="155835"/>
  </r>
  <r>
    <n v="1346"/>
    <n v="30"/>
    <s v="RM"/>
    <n v="50"/>
    <n v="6000"/>
    <s v="Pave"/>
    <s v="NA"/>
    <s v="Reg"/>
    <s v="Lvl"/>
    <s v="AllPub"/>
    <s v="Inside"/>
    <s v="Gtl"/>
    <x v="7"/>
    <x v="0"/>
    <s v="Norm"/>
    <x v="0"/>
    <x v="1"/>
    <n v="4"/>
    <n v="4"/>
    <x v="26"/>
    <n v="1950"/>
    <s v="Hip"/>
    <s v="CompShg"/>
    <s v="MetalSd"/>
    <s v="MetalSd"/>
    <s v="None"/>
    <n v="0"/>
    <s v="TA"/>
    <s v="TA"/>
    <s v="PConc"/>
    <s v="TA"/>
    <s v="TA"/>
    <s v="No"/>
    <s v="ALQ"/>
    <n v="250"/>
    <s v="Unf"/>
    <n v="0"/>
    <n v="710"/>
    <n v="960"/>
    <s v="GasA"/>
    <s v="Gd"/>
    <s v="Y"/>
    <s v="FuseA"/>
    <n v="960"/>
    <n v="0"/>
    <n v="0"/>
    <x v="91"/>
    <n v="0"/>
    <n v="0"/>
    <n v="1"/>
    <n v="0"/>
    <n v="2"/>
    <n v="1"/>
    <s v="Fa"/>
    <n v="5"/>
    <s v="Typ"/>
    <n v="0"/>
    <s v="NA"/>
    <s v="Detchd"/>
    <n v="1997"/>
    <s v="Unf"/>
    <n v="1"/>
    <n v="308"/>
    <s v="TA"/>
    <s v="TA"/>
    <s v="Y"/>
    <n v="0"/>
    <n v="0"/>
    <n v="168"/>
    <n v="0"/>
    <n v="0"/>
    <n v="0"/>
    <s v="NA"/>
    <s v="NA"/>
    <s v="NA"/>
    <n v="0"/>
    <n v="7"/>
    <n v="2007"/>
    <s v="WD"/>
    <s v="Normal"/>
    <n v="108500"/>
  </r>
  <r>
    <n v="1347"/>
    <n v="20"/>
    <s v="RL"/>
    <s v="NA"/>
    <n v="20781"/>
    <s v="Pave"/>
    <s v="NA"/>
    <s v="IR2"/>
    <s v="Lvl"/>
    <s v="AllPub"/>
    <s v="CulDSac"/>
    <s v="Gtl"/>
    <x v="6"/>
    <x v="2"/>
    <s v="Norm"/>
    <x v="0"/>
    <x v="1"/>
    <n v="7"/>
    <n v="7"/>
    <x v="21"/>
    <n v="2003"/>
    <s v="Hip"/>
    <s v="CompShg"/>
    <s v="BrkFace"/>
    <s v="HdBoard"/>
    <s v="None"/>
    <n v="0"/>
    <s v="TA"/>
    <s v="TA"/>
    <s v="CBlock"/>
    <s v="TA"/>
    <s v="TA"/>
    <s v="No"/>
    <s v="BLQ"/>
    <n v="297"/>
    <s v="Rec"/>
    <n v="68"/>
    <n v="1203"/>
    <n v="1568"/>
    <s v="GasA"/>
    <s v="TA"/>
    <s v="Y"/>
    <s v="SBrkr"/>
    <n v="2156"/>
    <n v="0"/>
    <n v="0"/>
    <x v="822"/>
    <n v="0"/>
    <n v="0"/>
    <n v="2"/>
    <n v="0"/>
    <n v="3"/>
    <n v="1"/>
    <s v="TA"/>
    <n v="9"/>
    <s v="Typ"/>
    <n v="1"/>
    <s v="Gd"/>
    <s v="Attchd"/>
    <n v="1968"/>
    <s v="RFn"/>
    <n v="2"/>
    <n v="508"/>
    <s v="Gd"/>
    <s v="TA"/>
    <s v="Y"/>
    <n v="0"/>
    <n v="80"/>
    <n v="0"/>
    <n v="290"/>
    <n v="0"/>
    <n v="0"/>
    <s v="NA"/>
    <s v="NA"/>
    <s v="NA"/>
    <n v="0"/>
    <n v="6"/>
    <n v="2006"/>
    <s v="WD"/>
    <s v="Normal"/>
    <n v="262500"/>
  </r>
  <r>
    <n v="1348"/>
    <n v="20"/>
    <s v="RL"/>
    <n v="93"/>
    <n v="15306"/>
    <s v="Pave"/>
    <s v="NA"/>
    <s v="IR1"/>
    <s v="HLS"/>
    <s v="AllPub"/>
    <s v="Corner"/>
    <s v="Gtl"/>
    <x v="16"/>
    <x v="0"/>
    <s v="Norm"/>
    <x v="0"/>
    <x v="1"/>
    <n v="8"/>
    <n v="5"/>
    <x v="13"/>
    <n v="2007"/>
    <s v="Gable"/>
    <s v="CompShg"/>
    <s v="VinylSd"/>
    <s v="VinylSd"/>
    <s v="Stone"/>
    <n v="100"/>
    <s v="Gd"/>
    <s v="TA"/>
    <s v="PConc"/>
    <s v="Ex"/>
    <s v="TA"/>
    <s v="Gd"/>
    <s v="GLQ"/>
    <n v="80"/>
    <s v="Unf"/>
    <n v="0"/>
    <n v="1652"/>
    <n v="1732"/>
    <s v="GasA"/>
    <s v="Ex"/>
    <s v="Y"/>
    <s v="SBrkr"/>
    <n v="1776"/>
    <n v="0"/>
    <n v="0"/>
    <x v="540"/>
    <n v="1"/>
    <n v="0"/>
    <n v="2"/>
    <n v="0"/>
    <n v="3"/>
    <n v="1"/>
    <s v="Gd"/>
    <n v="7"/>
    <s v="Typ"/>
    <n v="1"/>
    <s v="Gd"/>
    <s v="Attchd"/>
    <n v="2006"/>
    <s v="Fin"/>
    <n v="3"/>
    <n v="712"/>
    <s v="TA"/>
    <s v="TA"/>
    <s v="Y"/>
    <n v="0"/>
    <n v="0"/>
    <n v="0"/>
    <n v="0"/>
    <n v="0"/>
    <n v="0"/>
    <s v="NA"/>
    <s v="NA"/>
    <s v="NA"/>
    <n v="0"/>
    <n v="5"/>
    <n v="2007"/>
    <s v="New"/>
    <s v="Partial"/>
    <n v="283463"/>
  </r>
  <r>
    <n v="1349"/>
    <n v="20"/>
    <s v="RL"/>
    <s v="NA"/>
    <n v="16196"/>
    <s v="Pave"/>
    <s v="NA"/>
    <s v="IR3"/>
    <s v="Low"/>
    <s v="AllPub"/>
    <s v="Inside"/>
    <s v="Gtl"/>
    <x v="12"/>
    <x v="0"/>
    <s v="Norm"/>
    <x v="0"/>
    <x v="1"/>
    <n v="7"/>
    <n v="5"/>
    <x v="45"/>
    <n v="1998"/>
    <s v="Gable"/>
    <s v="CompShg"/>
    <s v="VinylSd"/>
    <s v="VinylSd"/>
    <s v="None"/>
    <n v="0"/>
    <s v="Gd"/>
    <s v="TA"/>
    <s v="PConc"/>
    <s v="Gd"/>
    <s v="TA"/>
    <s v="Gd"/>
    <s v="GLQ"/>
    <n v="1443"/>
    <s v="Unf"/>
    <n v="0"/>
    <n v="39"/>
    <n v="1482"/>
    <s v="GasA"/>
    <s v="Ex"/>
    <s v="Y"/>
    <s v="SBrkr"/>
    <n v="1494"/>
    <n v="0"/>
    <n v="0"/>
    <x v="13"/>
    <n v="1"/>
    <n v="0"/>
    <n v="2"/>
    <n v="0"/>
    <n v="3"/>
    <n v="1"/>
    <s v="Gd"/>
    <n v="5"/>
    <s v="Typ"/>
    <n v="1"/>
    <s v="Fa"/>
    <s v="Attchd"/>
    <n v="1998"/>
    <s v="RFn"/>
    <n v="2"/>
    <n v="514"/>
    <s v="TA"/>
    <s v="TA"/>
    <s v="Y"/>
    <n v="402"/>
    <n v="25"/>
    <n v="0"/>
    <n v="0"/>
    <n v="0"/>
    <n v="0"/>
    <s v="NA"/>
    <s v="NA"/>
    <s v="NA"/>
    <n v="0"/>
    <n v="8"/>
    <n v="2007"/>
    <s v="WD"/>
    <s v="Normal"/>
    <n v="215000"/>
  </r>
  <r>
    <n v="1350"/>
    <n v="70"/>
    <s v="RM"/>
    <n v="50"/>
    <n v="5250"/>
    <s v="Pave"/>
    <s v="Pave"/>
    <s v="Reg"/>
    <s v="Lvl"/>
    <s v="AllPub"/>
    <s v="Inside"/>
    <s v="Gtl"/>
    <x v="7"/>
    <x v="0"/>
    <s v="Norm"/>
    <x v="0"/>
    <x v="0"/>
    <n v="8"/>
    <n v="5"/>
    <x v="110"/>
    <n v="1987"/>
    <s v="Gable"/>
    <s v="CompShg"/>
    <s v="MetalSd"/>
    <s v="MetalSd"/>
    <s v="None"/>
    <n v="0"/>
    <s v="TA"/>
    <s v="Gd"/>
    <s v="BrkTil"/>
    <s v="TA"/>
    <s v="Fa"/>
    <s v="No"/>
    <s v="LwQ"/>
    <n v="259"/>
    <s v="Unf"/>
    <n v="0"/>
    <n v="425"/>
    <n v="684"/>
    <s v="OthW"/>
    <s v="Fa"/>
    <s v="N"/>
    <s v="SBrkr"/>
    <n v="938"/>
    <n v="1215"/>
    <n v="205"/>
    <x v="606"/>
    <n v="0"/>
    <n v="0"/>
    <n v="2"/>
    <n v="0"/>
    <n v="4"/>
    <n v="1"/>
    <s v="TA"/>
    <n v="8"/>
    <s v="Typ"/>
    <n v="0"/>
    <s v="NA"/>
    <s v="NA"/>
    <s v="NA"/>
    <s v="NA"/>
    <n v="0"/>
    <n v="0"/>
    <s v="NA"/>
    <s v="NA"/>
    <s v="Y"/>
    <n v="0"/>
    <n v="54"/>
    <n v="20"/>
    <n v="0"/>
    <n v="0"/>
    <n v="0"/>
    <s v="NA"/>
    <s v="NA"/>
    <s v="NA"/>
    <n v="0"/>
    <n v="12"/>
    <n v="2008"/>
    <s v="WD"/>
    <s v="Normal"/>
    <n v="122000"/>
  </r>
  <r>
    <n v="1351"/>
    <n v="90"/>
    <s v="RL"/>
    <n v="91"/>
    <n v="11643"/>
    <s v="Pave"/>
    <s v="NA"/>
    <s v="Reg"/>
    <s v="Lvl"/>
    <s v="AllPub"/>
    <s v="Inside"/>
    <s v="Gtl"/>
    <x v="11"/>
    <x v="3"/>
    <s v="Norm"/>
    <x v="2"/>
    <x v="0"/>
    <n v="5"/>
    <n v="5"/>
    <x v="60"/>
    <n v="1969"/>
    <s v="Gable"/>
    <s v="CompShg"/>
    <s v="MetalSd"/>
    <s v="MetalSd"/>
    <s v="BrkFace"/>
    <n v="368"/>
    <s v="TA"/>
    <s v="TA"/>
    <s v="CBlock"/>
    <s v="TA"/>
    <s v="TA"/>
    <s v="No"/>
    <s v="LwQ"/>
    <n v="500"/>
    <s v="Unf"/>
    <n v="0"/>
    <n v="748"/>
    <n v="1248"/>
    <s v="GasA"/>
    <s v="TA"/>
    <s v="Y"/>
    <s v="SBrkr"/>
    <n v="1338"/>
    <n v="1296"/>
    <n v="0"/>
    <x v="823"/>
    <n v="1"/>
    <n v="1"/>
    <n v="2"/>
    <n v="2"/>
    <n v="6"/>
    <n v="2"/>
    <s v="TA"/>
    <n v="12"/>
    <s v="Typ"/>
    <n v="0"/>
    <s v="NA"/>
    <s v="Detchd"/>
    <n v="1969"/>
    <s v="Unf"/>
    <n v="4"/>
    <n v="968"/>
    <s v="TA"/>
    <s v="TA"/>
    <s v="Y"/>
    <n v="0"/>
    <n v="0"/>
    <n v="0"/>
    <n v="0"/>
    <n v="0"/>
    <n v="0"/>
    <s v="NA"/>
    <s v="NA"/>
    <s v="NA"/>
    <n v="0"/>
    <n v="8"/>
    <n v="2009"/>
    <s v="WD"/>
    <s v="Normal"/>
    <n v="200000"/>
  </r>
  <r>
    <n v="1352"/>
    <n v="60"/>
    <s v="RL"/>
    <n v="70"/>
    <n v="9247"/>
    <s v="Pave"/>
    <s v="NA"/>
    <s v="IR1"/>
    <s v="Lvl"/>
    <s v="AllPub"/>
    <s v="Inside"/>
    <s v="Gtl"/>
    <x v="11"/>
    <x v="0"/>
    <s v="Norm"/>
    <x v="0"/>
    <x v="0"/>
    <n v="6"/>
    <n v="6"/>
    <x v="12"/>
    <n v="1962"/>
    <s v="Gable"/>
    <s v="CompShg"/>
    <s v="HdBoard"/>
    <s v="HdBoard"/>
    <s v="BrkFace"/>
    <n v="318"/>
    <s v="TA"/>
    <s v="TA"/>
    <s v="CBlock"/>
    <s v="TA"/>
    <s v="TA"/>
    <s v="No"/>
    <s v="Rec"/>
    <n v="319"/>
    <s v="Unf"/>
    <n v="0"/>
    <n v="539"/>
    <n v="858"/>
    <s v="GasA"/>
    <s v="Ex"/>
    <s v="Y"/>
    <s v="SBrkr"/>
    <n v="858"/>
    <n v="858"/>
    <n v="0"/>
    <x v="246"/>
    <n v="0"/>
    <n v="0"/>
    <n v="1"/>
    <n v="1"/>
    <n v="4"/>
    <n v="1"/>
    <s v="TA"/>
    <n v="8"/>
    <s v="Typ"/>
    <n v="1"/>
    <s v="Gd"/>
    <s v="Attchd"/>
    <n v="1962"/>
    <s v="Fin"/>
    <n v="2"/>
    <n v="490"/>
    <s v="TA"/>
    <s v="TA"/>
    <s v="Y"/>
    <n v="0"/>
    <n v="84"/>
    <n v="0"/>
    <n v="0"/>
    <n v="120"/>
    <n v="0"/>
    <s v="NA"/>
    <s v="NA"/>
    <s v="NA"/>
    <n v="0"/>
    <n v="3"/>
    <n v="2008"/>
    <s v="WD"/>
    <s v="Normal"/>
    <n v="171000"/>
  </r>
  <r>
    <n v="1353"/>
    <n v="50"/>
    <s v="RM"/>
    <n v="50"/>
    <n v="6000"/>
    <s v="Pave"/>
    <s v="NA"/>
    <s v="Reg"/>
    <s v="Lvl"/>
    <s v="AllPub"/>
    <s v="Inside"/>
    <s v="Gtl"/>
    <x v="8"/>
    <x v="0"/>
    <s v="Norm"/>
    <x v="0"/>
    <x v="2"/>
    <n v="6"/>
    <n v="9"/>
    <x v="96"/>
    <n v="2000"/>
    <s v="Gable"/>
    <s v="CompShg"/>
    <s v="MetalSd"/>
    <s v="MetalSd"/>
    <s v="None"/>
    <n v="0"/>
    <s v="Gd"/>
    <s v="TA"/>
    <s v="BrkTil"/>
    <s v="TA"/>
    <s v="TA"/>
    <s v="No"/>
    <s v="Unf"/>
    <n v="0"/>
    <s v="Unf"/>
    <n v="0"/>
    <n v="698"/>
    <n v="698"/>
    <s v="GasA"/>
    <s v="TA"/>
    <s v="Y"/>
    <s v="SBrkr"/>
    <n v="786"/>
    <n v="390"/>
    <n v="0"/>
    <x v="49"/>
    <n v="0"/>
    <n v="0"/>
    <n v="1"/>
    <n v="0"/>
    <n v="2"/>
    <n v="1"/>
    <s v="TA"/>
    <n v="4"/>
    <s v="Typ"/>
    <n v="0"/>
    <s v="NA"/>
    <s v="Detchd"/>
    <n v="1999"/>
    <s v="Unf"/>
    <n v="2"/>
    <n v="624"/>
    <s v="TA"/>
    <s v="TA"/>
    <s v="N"/>
    <n v="210"/>
    <n v="0"/>
    <n v="0"/>
    <n v="0"/>
    <n v="0"/>
    <n v="0"/>
    <s v="NA"/>
    <s v="NA"/>
    <s v="NA"/>
    <n v="0"/>
    <n v="7"/>
    <n v="2009"/>
    <s v="WD"/>
    <s v="Normal"/>
    <n v="134900"/>
  </r>
  <r>
    <n v="1354"/>
    <n v="50"/>
    <s v="RL"/>
    <n v="56"/>
    <n v="14720"/>
    <s v="Pave"/>
    <s v="NA"/>
    <s v="IR1"/>
    <s v="Lvl"/>
    <s v="AllPub"/>
    <s v="CulDSac"/>
    <s v="Gtl"/>
    <x v="3"/>
    <x v="0"/>
    <s v="Norm"/>
    <x v="0"/>
    <x v="2"/>
    <n v="8"/>
    <n v="5"/>
    <x v="49"/>
    <n v="1996"/>
    <s v="Hip"/>
    <s v="CompShg"/>
    <s v="VinylSd"/>
    <s v="VinylSd"/>
    <s v="BrkFace"/>
    <n v="579"/>
    <s v="Gd"/>
    <s v="TA"/>
    <s v="PConc"/>
    <s v="Gd"/>
    <s v="TA"/>
    <s v="Av"/>
    <s v="GLQ"/>
    <n v="816"/>
    <s v="Unf"/>
    <n v="0"/>
    <n v="1217"/>
    <n v="2033"/>
    <s v="GasA"/>
    <s v="Ex"/>
    <s v="Y"/>
    <s v="SBrkr"/>
    <n v="2053"/>
    <n v="1185"/>
    <n v="0"/>
    <x v="824"/>
    <n v="1"/>
    <n v="0"/>
    <n v="2"/>
    <n v="1"/>
    <n v="4"/>
    <n v="1"/>
    <s v="Gd"/>
    <n v="9"/>
    <s v="Typ"/>
    <n v="1"/>
    <s v="Ex"/>
    <s v="Attchd"/>
    <n v="1996"/>
    <s v="Fin"/>
    <n v="3"/>
    <n v="666"/>
    <s v="TA"/>
    <s v="TA"/>
    <s v="Y"/>
    <n v="283"/>
    <n v="86"/>
    <n v="0"/>
    <n v="0"/>
    <n v="0"/>
    <n v="0"/>
    <s v="NA"/>
    <s v="NA"/>
    <s v="NA"/>
    <n v="0"/>
    <n v="3"/>
    <n v="2010"/>
    <s v="WD"/>
    <s v="Normal"/>
    <n v="410000"/>
  </r>
  <r>
    <n v="1355"/>
    <n v="60"/>
    <s v="RL"/>
    <s v="NA"/>
    <n v="10316"/>
    <s v="Pave"/>
    <s v="NA"/>
    <s v="IR1"/>
    <s v="Lvl"/>
    <s v="AllPub"/>
    <s v="Inside"/>
    <s v="Gtl"/>
    <x v="0"/>
    <x v="0"/>
    <s v="Norm"/>
    <x v="0"/>
    <x v="0"/>
    <n v="7"/>
    <n v="5"/>
    <x v="4"/>
    <n v="2000"/>
    <s v="Gable"/>
    <s v="CompShg"/>
    <s v="VinylSd"/>
    <s v="VinylSd"/>
    <s v="None"/>
    <n v="0"/>
    <s v="Gd"/>
    <s v="TA"/>
    <s v="PConc"/>
    <s v="Gd"/>
    <s v="TA"/>
    <s v="No"/>
    <s v="GLQ"/>
    <n v="735"/>
    <s v="Unf"/>
    <n v="0"/>
    <n v="257"/>
    <n v="992"/>
    <s v="GasA"/>
    <s v="Ex"/>
    <s v="Y"/>
    <s v="SBrkr"/>
    <n v="992"/>
    <n v="873"/>
    <n v="0"/>
    <x v="825"/>
    <n v="1"/>
    <n v="0"/>
    <n v="2"/>
    <n v="1"/>
    <n v="3"/>
    <n v="1"/>
    <s v="Gd"/>
    <n v="7"/>
    <s v="Typ"/>
    <n v="1"/>
    <s v="TA"/>
    <s v="Attchd"/>
    <n v="2000"/>
    <s v="RFn"/>
    <n v="3"/>
    <n v="839"/>
    <s v="TA"/>
    <s v="TA"/>
    <s v="Y"/>
    <n v="0"/>
    <n v="184"/>
    <n v="0"/>
    <n v="0"/>
    <n v="0"/>
    <n v="0"/>
    <s v="NA"/>
    <s v="NA"/>
    <s v="NA"/>
    <n v="0"/>
    <n v="6"/>
    <n v="2008"/>
    <s v="WD"/>
    <s v="Normal"/>
    <n v="235000"/>
  </r>
  <r>
    <n v="1356"/>
    <n v="80"/>
    <s v="RL"/>
    <n v="102"/>
    <n v="10192"/>
    <s v="Pave"/>
    <s v="NA"/>
    <s v="IR1"/>
    <s v="Lvl"/>
    <s v="AllPub"/>
    <s v="Inside"/>
    <s v="Gtl"/>
    <x v="6"/>
    <x v="0"/>
    <s v="Norm"/>
    <x v="0"/>
    <x v="5"/>
    <n v="7"/>
    <n v="6"/>
    <x v="21"/>
    <n v="1992"/>
    <s v="Gable"/>
    <s v="CompShg"/>
    <s v="MetalSd"/>
    <s v="MetalSd"/>
    <s v="BrkFace"/>
    <n v="143"/>
    <s v="TA"/>
    <s v="TA"/>
    <s v="CBlock"/>
    <s v="TA"/>
    <s v="TA"/>
    <s v="No"/>
    <s v="Unf"/>
    <n v="0"/>
    <s v="Unf"/>
    <n v="0"/>
    <n v="570"/>
    <n v="570"/>
    <s v="GasA"/>
    <s v="Gd"/>
    <s v="Y"/>
    <s v="SBrkr"/>
    <n v="1222"/>
    <n v="698"/>
    <n v="0"/>
    <x v="163"/>
    <n v="0"/>
    <n v="0"/>
    <n v="3"/>
    <n v="0"/>
    <n v="4"/>
    <n v="1"/>
    <s v="Gd"/>
    <n v="8"/>
    <s v="Typ"/>
    <n v="1"/>
    <s v="TA"/>
    <s v="Attchd"/>
    <n v="1968"/>
    <s v="RFn"/>
    <n v="2"/>
    <n v="487"/>
    <s v="TA"/>
    <s v="TA"/>
    <s v="Y"/>
    <n v="0"/>
    <n v="98"/>
    <n v="0"/>
    <n v="0"/>
    <n v="0"/>
    <n v="0"/>
    <s v="NA"/>
    <s v="GdPrv"/>
    <s v="NA"/>
    <n v="0"/>
    <n v="9"/>
    <n v="2006"/>
    <s v="WD"/>
    <s v="Normal"/>
    <n v="170000"/>
  </r>
  <r>
    <n v="1357"/>
    <n v="20"/>
    <s v="RL"/>
    <s v="NA"/>
    <n v="9477"/>
    <s v="Pave"/>
    <s v="NA"/>
    <s v="Reg"/>
    <s v="Lvl"/>
    <s v="AllPub"/>
    <s v="Corner"/>
    <s v="Gtl"/>
    <x v="11"/>
    <x v="0"/>
    <s v="Norm"/>
    <x v="0"/>
    <x v="1"/>
    <n v="5"/>
    <n v="5"/>
    <x v="27"/>
    <n v="1966"/>
    <s v="Gable"/>
    <s v="CompShg"/>
    <s v="HdBoard"/>
    <s v="HdBoard"/>
    <s v="BrkFace"/>
    <n v="65"/>
    <s v="TA"/>
    <s v="TA"/>
    <s v="CBlock"/>
    <s v="TA"/>
    <s v="TA"/>
    <s v="No"/>
    <s v="Rec"/>
    <n v="340"/>
    <s v="Unf"/>
    <n v="0"/>
    <n v="524"/>
    <n v="864"/>
    <s v="GasA"/>
    <s v="TA"/>
    <s v="Y"/>
    <s v="SBrkr"/>
    <n v="892"/>
    <n v="0"/>
    <n v="0"/>
    <x v="623"/>
    <n v="0"/>
    <n v="0"/>
    <n v="1"/>
    <n v="0"/>
    <n v="3"/>
    <n v="1"/>
    <s v="TA"/>
    <n v="5"/>
    <s v="Typ"/>
    <n v="0"/>
    <s v="NA"/>
    <s v="Attchd"/>
    <n v="1966"/>
    <s v="RFn"/>
    <n v="1"/>
    <n v="264"/>
    <s v="TA"/>
    <s v="TA"/>
    <s v="Y"/>
    <n v="0"/>
    <n v="0"/>
    <n v="0"/>
    <n v="0"/>
    <n v="0"/>
    <n v="0"/>
    <s v="NA"/>
    <s v="GdWo"/>
    <s v="NA"/>
    <n v="0"/>
    <n v="10"/>
    <n v="2008"/>
    <s v="WD"/>
    <s v="Normal"/>
    <n v="110000"/>
  </r>
  <r>
    <n v="1358"/>
    <n v="20"/>
    <s v="RL"/>
    <s v="NA"/>
    <n v="12537"/>
    <s v="Pave"/>
    <s v="NA"/>
    <s v="IR1"/>
    <s v="Lvl"/>
    <s v="AllPub"/>
    <s v="CulDSac"/>
    <s v="Gtl"/>
    <x v="11"/>
    <x v="0"/>
    <s v="Norm"/>
    <x v="0"/>
    <x v="1"/>
    <n v="5"/>
    <n v="6"/>
    <x v="63"/>
    <n v="2008"/>
    <s v="Gable"/>
    <s v="CompShg"/>
    <s v="VinylSd"/>
    <s v="VinylSd"/>
    <s v="None"/>
    <n v="0"/>
    <s v="TA"/>
    <s v="TA"/>
    <s v="CBlock"/>
    <s v="TA"/>
    <s v="TA"/>
    <s v="No"/>
    <s v="GLQ"/>
    <n v="734"/>
    <s v="Unf"/>
    <n v="0"/>
    <n v="344"/>
    <n v="1078"/>
    <s v="GasA"/>
    <s v="Ex"/>
    <s v="Y"/>
    <s v="SBrkr"/>
    <n v="1078"/>
    <n v="0"/>
    <n v="0"/>
    <x v="826"/>
    <n v="1"/>
    <n v="0"/>
    <n v="1"/>
    <n v="1"/>
    <n v="3"/>
    <n v="1"/>
    <s v="TA"/>
    <n v="6"/>
    <s v="Typ"/>
    <n v="1"/>
    <s v="Fa"/>
    <s v="Attchd"/>
    <n v="1971"/>
    <s v="Fin"/>
    <n v="2"/>
    <n v="500"/>
    <s v="TA"/>
    <s v="TA"/>
    <s v="Y"/>
    <n v="0"/>
    <n v="0"/>
    <n v="0"/>
    <n v="0"/>
    <n v="0"/>
    <n v="0"/>
    <s v="NA"/>
    <s v="NA"/>
    <s v="NA"/>
    <n v="0"/>
    <n v="4"/>
    <n v="2010"/>
    <s v="WD"/>
    <s v="Normal"/>
    <n v="149900"/>
  </r>
  <r>
    <n v="1359"/>
    <n v="160"/>
    <s v="FV"/>
    <s v="NA"/>
    <n v="2117"/>
    <s v="Pave"/>
    <s v="NA"/>
    <s v="Reg"/>
    <s v="Lvl"/>
    <s v="AllPub"/>
    <s v="Inside"/>
    <s v="Gtl"/>
    <x v="5"/>
    <x v="0"/>
    <s v="Norm"/>
    <x v="4"/>
    <x v="0"/>
    <n v="6"/>
    <n v="5"/>
    <x v="4"/>
    <n v="2000"/>
    <s v="Gable"/>
    <s v="CompShg"/>
    <s v="MetalSd"/>
    <s v="MetalSd"/>
    <s v="BrkFace"/>
    <n v="216"/>
    <s v="Gd"/>
    <s v="TA"/>
    <s v="PConc"/>
    <s v="Gd"/>
    <s v="TA"/>
    <s v="No"/>
    <s v="GLQ"/>
    <n v="378"/>
    <s v="Unf"/>
    <n v="0"/>
    <n v="378"/>
    <n v="756"/>
    <s v="GasA"/>
    <s v="Ex"/>
    <s v="Y"/>
    <s v="SBrkr"/>
    <n v="769"/>
    <n v="804"/>
    <n v="0"/>
    <x v="357"/>
    <n v="0"/>
    <n v="0"/>
    <n v="2"/>
    <n v="1"/>
    <n v="3"/>
    <n v="1"/>
    <s v="Gd"/>
    <n v="5"/>
    <s v="Typ"/>
    <n v="0"/>
    <s v="NA"/>
    <s v="Detchd"/>
    <n v="2000"/>
    <s v="Unf"/>
    <n v="2"/>
    <n v="440"/>
    <s v="TA"/>
    <s v="TA"/>
    <s v="Y"/>
    <n v="0"/>
    <n v="32"/>
    <n v="0"/>
    <n v="0"/>
    <n v="0"/>
    <n v="0"/>
    <s v="NA"/>
    <s v="NA"/>
    <s v="NA"/>
    <n v="0"/>
    <n v="6"/>
    <n v="2010"/>
    <s v="WD"/>
    <s v="Normal"/>
    <n v="177500"/>
  </r>
  <r>
    <n v="1360"/>
    <n v="20"/>
    <s v="RL"/>
    <n v="129"/>
    <n v="16737"/>
    <s v="Pave"/>
    <s v="NA"/>
    <s v="Reg"/>
    <s v="Lvl"/>
    <s v="AllPub"/>
    <s v="FR3"/>
    <s v="Gtl"/>
    <x v="10"/>
    <x v="0"/>
    <s v="Norm"/>
    <x v="0"/>
    <x v="1"/>
    <n v="9"/>
    <n v="5"/>
    <x v="6"/>
    <n v="2005"/>
    <s v="Hip"/>
    <s v="CompShg"/>
    <s v="VinylSd"/>
    <s v="VinylSd"/>
    <s v="BrkFace"/>
    <n v="66"/>
    <s v="Gd"/>
    <s v="TA"/>
    <s v="PConc"/>
    <s v="Ex"/>
    <s v="TA"/>
    <s v="Av"/>
    <s v="GLQ"/>
    <n v="1447"/>
    <s v="Unf"/>
    <n v="0"/>
    <n v="533"/>
    <n v="1980"/>
    <s v="GasA"/>
    <s v="Ex"/>
    <s v="Y"/>
    <s v="SBrkr"/>
    <n v="1980"/>
    <n v="0"/>
    <n v="0"/>
    <x v="827"/>
    <n v="1"/>
    <n v="0"/>
    <n v="2"/>
    <n v="0"/>
    <n v="3"/>
    <n v="1"/>
    <s v="Ex"/>
    <n v="8"/>
    <s v="Typ"/>
    <n v="1"/>
    <s v="Gd"/>
    <s v="Attchd"/>
    <n v="2004"/>
    <s v="Fin"/>
    <n v="3"/>
    <n v="770"/>
    <s v="TA"/>
    <s v="TA"/>
    <s v="Y"/>
    <n v="194"/>
    <n v="45"/>
    <n v="0"/>
    <n v="0"/>
    <n v="0"/>
    <n v="0"/>
    <s v="NA"/>
    <s v="NA"/>
    <s v="NA"/>
    <n v="0"/>
    <n v="9"/>
    <n v="2006"/>
    <s v="WD"/>
    <s v="Normal"/>
    <n v="315000"/>
  </r>
  <r>
    <n v="1361"/>
    <n v="70"/>
    <s v="RL"/>
    <n v="51"/>
    <n v="9842"/>
    <s v="Pave"/>
    <s v="NA"/>
    <s v="Reg"/>
    <s v="Lvl"/>
    <s v="AllPub"/>
    <s v="Inside"/>
    <s v="Gtl"/>
    <x v="23"/>
    <x v="1"/>
    <s v="Norm"/>
    <x v="0"/>
    <x v="0"/>
    <n v="5"/>
    <n v="6"/>
    <x v="42"/>
    <n v="1998"/>
    <s v="Gable"/>
    <s v="CompShg"/>
    <s v="MetalSd"/>
    <s v="Wd Sdng"/>
    <s v="None"/>
    <n v="0"/>
    <s v="TA"/>
    <s v="TA"/>
    <s v="BrkTil"/>
    <s v="TA"/>
    <s v="Fa"/>
    <s v="No"/>
    <s v="Unf"/>
    <n v="0"/>
    <s v="Unf"/>
    <n v="0"/>
    <n v="612"/>
    <n v="612"/>
    <s v="GasA"/>
    <s v="Ex"/>
    <s v="Y"/>
    <s v="SBrkr"/>
    <n v="990"/>
    <n v="1611"/>
    <n v="0"/>
    <x v="828"/>
    <n v="0"/>
    <n v="0"/>
    <n v="3"/>
    <n v="1"/>
    <n v="4"/>
    <n v="1"/>
    <s v="TA"/>
    <n v="8"/>
    <s v="Typ"/>
    <n v="0"/>
    <s v="NA"/>
    <s v="BuiltIn"/>
    <n v="1998"/>
    <s v="RFn"/>
    <n v="2"/>
    <n v="621"/>
    <s v="TA"/>
    <s v="TA"/>
    <s v="Y"/>
    <n v="183"/>
    <n v="0"/>
    <n v="301"/>
    <n v="0"/>
    <n v="0"/>
    <n v="0"/>
    <s v="NA"/>
    <s v="NA"/>
    <s v="NA"/>
    <n v="0"/>
    <n v="5"/>
    <n v="2008"/>
    <s v="WD"/>
    <s v="Normal"/>
    <n v="189000"/>
  </r>
  <r>
    <n v="1362"/>
    <n v="20"/>
    <s v="RL"/>
    <n v="124"/>
    <n v="16158"/>
    <s v="Pave"/>
    <s v="NA"/>
    <s v="IR1"/>
    <s v="Low"/>
    <s v="AllPub"/>
    <s v="Inside"/>
    <s v="Mod"/>
    <x v="18"/>
    <x v="0"/>
    <s v="Norm"/>
    <x v="0"/>
    <x v="1"/>
    <n v="7"/>
    <n v="5"/>
    <x v="11"/>
    <n v="2005"/>
    <s v="Hip"/>
    <s v="CompShg"/>
    <s v="VinylSd"/>
    <s v="VinylSd"/>
    <s v="Stone"/>
    <n v="16"/>
    <s v="Gd"/>
    <s v="TA"/>
    <s v="PConc"/>
    <s v="Ex"/>
    <s v="TA"/>
    <s v="Av"/>
    <s v="ALQ"/>
    <n v="1274"/>
    <s v="Unf"/>
    <n v="0"/>
    <n v="256"/>
    <n v="1530"/>
    <s v="GasA"/>
    <s v="Ex"/>
    <s v="Y"/>
    <s v="SBrkr"/>
    <n v="1530"/>
    <n v="0"/>
    <n v="0"/>
    <x v="729"/>
    <n v="1"/>
    <n v="0"/>
    <n v="2"/>
    <n v="0"/>
    <n v="3"/>
    <n v="1"/>
    <s v="Gd"/>
    <n v="7"/>
    <s v="Typ"/>
    <n v="1"/>
    <s v="Gd"/>
    <s v="Attchd"/>
    <n v="2005"/>
    <s v="Fin"/>
    <n v="2"/>
    <n v="430"/>
    <s v="TA"/>
    <s v="TA"/>
    <s v="Y"/>
    <n v="168"/>
    <n v="36"/>
    <n v="0"/>
    <n v="0"/>
    <n v="0"/>
    <n v="0"/>
    <s v="NA"/>
    <s v="NA"/>
    <s v="NA"/>
    <n v="0"/>
    <n v="6"/>
    <n v="2009"/>
    <s v="WD"/>
    <s v="Normal"/>
    <n v="260000"/>
  </r>
  <r>
    <n v="1363"/>
    <n v="50"/>
    <s v="RL"/>
    <s v="NA"/>
    <n v="12513"/>
    <s v="Pave"/>
    <s v="NA"/>
    <s v="IR1"/>
    <s v="Lvl"/>
    <s v="AllPub"/>
    <s v="FR2"/>
    <s v="Gtl"/>
    <x v="11"/>
    <x v="1"/>
    <s v="Norm"/>
    <x v="0"/>
    <x v="2"/>
    <n v="4"/>
    <n v="4"/>
    <x v="26"/>
    <n v="2007"/>
    <s v="Gable"/>
    <s v="CompShg"/>
    <s v="VinylSd"/>
    <s v="VinylSd"/>
    <s v="None"/>
    <n v="0"/>
    <s v="TA"/>
    <s v="Gd"/>
    <s v="BrkTil"/>
    <s v="TA"/>
    <s v="Fa"/>
    <s v="No"/>
    <s v="Unf"/>
    <n v="0"/>
    <s v="Unf"/>
    <n v="0"/>
    <n v="715"/>
    <n v="715"/>
    <s v="GasA"/>
    <s v="Gd"/>
    <s v="Y"/>
    <s v="SBrkr"/>
    <n v="1281"/>
    <n v="457"/>
    <n v="0"/>
    <x v="829"/>
    <n v="0"/>
    <n v="0"/>
    <n v="2"/>
    <n v="0"/>
    <n v="4"/>
    <n v="1"/>
    <s v="TA"/>
    <n v="7"/>
    <s v="Typ"/>
    <n v="1"/>
    <s v="Gd"/>
    <s v="Attchd"/>
    <n v="1920"/>
    <s v="Unf"/>
    <n v="1"/>
    <n v="368"/>
    <s v="TA"/>
    <s v="TA"/>
    <s v="Y"/>
    <n v="55"/>
    <n v="0"/>
    <n v="0"/>
    <n v="0"/>
    <n v="0"/>
    <n v="0"/>
    <s v="NA"/>
    <s v="NA"/>
    <s v="NA"/>
    <n v="0"/>
    <n v="6"/>
    <n v="2009"/>
    <s v="WD"/>
    <s v="Normal"/>
    <n v="104900"/>
  </r>
  <r>
    <n v="1364"/>
    <n v="60"/>
    <s v="RL"/>
    <n v="73"/>
    <n v="8499"/>
    <s v="Pave"/>
    <s v="NA"/>
    <s v="IR1"/>
    <s v="Lvl"/>
    <s v="AllPub"/>
    <s v="Inside"/>
    <s v="Gtl"/>
    <x v="17"/>
    <x v="0"/>
    <s v="Norm"/>
    <x v="0"/>
    <x v="0"/>
    <n v="6"/>
    <n v="5"/>
    <x v="13"/>
    <n v="2007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616"/>
    <n v="616"/>
    <s v="GasA"/>
    <s v="Ex"/>
    <s v="Y"/>
    <s v="SBrkr"/>
    <n v="616"/>
    <n v="796"/>
    <n v="0"/>
    <x v="350"/>
    <n v="0"/>
    <n v="0"/>
    <n v="2"/>
    <n v="1"/>
    <n v="3"/>
    <n v="1"/>
    <s v="Gd"/>
    <n v="6"/>
    <s v="Typ"/>
    <n v="1"/>
    <s v="Gd"/>
    <s v="BuiltIn"/>
    <n v="2007"/>
    <s v="Fin"/>
    <n v="2"/>
    <n v="432"/>
    <s v="TA"/>
    <s v="TA"/>
    <s v="Y"/>
    <n v="0"/>
    <n v="36"/>
    <n v="0"/>
    <n v="0"/>
    <n v="0"/>
    <n v="0"/>
    <s v="NA"/>
    <s v="NA"/>
    <s v="NA"/>
    <n v="0"/>
    <n v="3"/>
    <n v="2007"/>
    <s v="New"/>
    <s v="Partial"/>
    <n v="156932"/>
  </r>
  <r>
    <n v="1365"/>
    <n v="160"/>
    <s v="FV"/>
    <n v="30"/>
    <n v="3180"/>
    <s v="Pave"/>
    <s v="Pave"/>
    <s v="Reg"/>
    <s v="Lvl"/>
    <s v="AllPub"/>
    <s v="Inside"/>
    <s v="Gtl"/>
    <x v="5"/>
    <x v="0"/>
    <s v="Norm"/>
    <x v="3"/>
    <x v="0"/>
    <n v="7"/>
    <n v="5"/>
    <x v="11"/>
    <n v="2005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00"/>
    <n v="600"/>
    <s v="GasA"/>
    <s v="Ex"/>
    <s v="Y"/>
    <s v="SBrkr"/>
    <n v="520"/>
    <n v="600"/>
    <n v="80"/>
    <x v="144"/>
    <n v="0"/>
    <n v="0"/>
    <n v="2"/>
    <n v="1"/>
    <n v="2"/>
    <n v="1"/>
    <s v="Gd"/>
    <n v="4"/>
    <s v="Typ"/>
    <n v="0"/>
    <s v="NA"/>
    <s v="Detchd"/>
    <n v="2005"/>
    <s v="RFn"/>
    <n v="2"/>
    <n v="480"/>
    <s v="TA"/>
    <s v="TA"/>
    <s v="Y"/>
    <n v="0"/>
    <n v="166"/>
    <n v="0"/>
    <n v="0"/>
    <n v="0"/>
    <n v="0"/>
    <s v="NA"/>
    <s v="NA"/>
    <s v="NA"/>
    <n v="0"/>
    <n v="4"/>
    <n v="2006"/>
    <s v="WD"/>
    <s v="Abnorml"/>
    <n v="144152"/>
  </r>
  <r>
    <n v="1366"/>
    <n v="60"/>
    <s v="FV"/>
    <s v="NA"/>
    <n v="7500"/>
    <s v="Pave"/>
    <s v="NA"/>
    <s v="Reg"/>
    <s v="Lvl"/>
    <s v="AllPub"/>
    <s v="Inside"/>
    <s v="Gtl"/>
    <x v="5"/>
    <x v="0"/>
    <s v="Norm"/>
    <x v="0"/>
    <x v="0"/>
    <n v="7"/>
    <n v="5"/>
    <x v="4"/>
    <n v="2000"/>
    <s v="Gable"/>
    <s v="CompShg"/>
    <s v="VinylSd"/>
    <s v="VinylSd"/>
    <s v="None"/>
    <n v="0"/>
    <s v="Gd"/>
    <s v="TA"/>
    <s v="PConc"/>
    <s v="Gd"/>
    <s v="TA"/>
    <s v="No"/>
    <s v="GLQ"/>
    <n v="533"/>
    <s v="Unf"/>
    <n v="0"/>
    <n v="281"/>
    <n v="814"/>
    <s v="GasA"/>
    <s v="Ex"/>
    <s v="Y"/>
    <s v="SBrkr"/>
    <n v="814"/>
    <n v="860"/>
    <n v="0"/>
    <x v="443"/>
    <n v="1"/>
    <n v="0"/>
    <n v="2"/>
    <n v="1"/>
    <n v="3"/>
    <n v="1"/>
    <s v="Gd"/>
    <n v="7"/>
    <s v="Typ"/>
    <n v="0"/>
    <s v="NA"/>
    <s v="Attchd"/>
    <n v="2000"/>
    <s v="RFn"/>
    <n v="2"/>
    <n v="663"/>
    <s v="TA"/>
    <s v="TA"/>
    <s v="Y"/>
    <n v="0"/>
    <n v="96"/>
    <n v="0"/>
    <n v="0"/>
    <n v="0"/>
    <n v="0"/>
    <s v="NA"/>
    <s v="NA"/>
    <s v="NA"/>
    <n v="0"/>
    <n v="1"/>
    <n v="2010"/>
    <s v="WD"/>
    <s v="Normal"/>
    <n v="216000"/>
  </r>
  <r>
    <n v="1367"/>
    <n v="60"/>
    <s v="RL"/>
    <n v="68"/>
    <n v="9179"/>
    <s v="Pave"/>
    <s v="NA"/>
    <s v="IR1"/>
    <s v="Lvl"/>
    <s v="AllPub"/>
    <s v="Inside"/>
    <s v="Gtl"/>
    <x v="0"/>
    <x v="0"/>
    <s v="Norm"/>
    <x v="0"/>
    <x v="0"/>
    <n v="7"/>
    <n v="5"/>
    <x v="40"/>
    <n v="1999"/>
    <s v="Gable"/>
    <s v="CompShg"/>
    <s v="VinylSd"/>
    <s v="VinylSd"/>
    <s v="BrkFace"/>
    <n v="158"/>
    <s v="Gd"/>
    <s v="TA"/>
    <s v="PConc"/>
    <s v="Gd"/>
    <s v="TA"/>
    <s v="No"/>
    <s v="GLQ"/>
    <n v="633"/>
    <s v="Unf"/>
    <n v="0"/>
    <n v="240"/>
    <n v="873"/>
    <s v="GasA"/>
    <s v="Ex"/>
    <s v="Y"/>
    <s v="SBrkr"/>
    <n v="882"/>
    <n v="908"/>
    <n v="0"/>
    <x v="482"/>
    <n v="1"/>
    <n v="0"/>
    <n v="2"/>
    <n v="1"/>
    <n v="3"/>
    <n v="1"/>
    <s v="Gd"/>
    <n v="7"/>
    <s v="Typ"/>
    <n v="0"/>
    <s v="NA"/>
    <s v="Attchd"/>
    <n v="1999"/>
    <s v="RFn"/>
    <n v="2"/>
    <n v="588"/>
    <s v="TA"/>
    <s v="TA"/>
    <s v="Y"/>
    <n v="0"/>
    <n v="88"/>
    <n v="0"/>
    <n v="0"/>
    <n v="0"/>
    <n v="0"/>
    <s v="NA"/>
    <s v="NA"/>
    <s v="NA"/>
    <n v="0"/>
    <n v="6"/>
    <n v="2008"/>
    <s v="WD"/>
    <s v="Abnorml"/>
    <n v="193000"/>
  </r>
  <r>
    <n v="1368"/>
    <n v="160"/>
    <s v="RM"/>
    <n v="41"/>
    <n v="2665"/>
    <s v="Pave"/>
    <s v="NA"/>
    <s v="Reg"/>
    <s v="Lvl"/>
    <s v="AllPub"/>
    <s v="Inside"/>
    <s v="Gtl"/>
    <x v="14"/>
    <x v="0"/>
    <s v="Norm"/>
    <x v="3"/>
    <x v="0"/>
    <n v="5"/>
    <n v="6"/>
    <x v="54"/>
    <n v="1977"/>
    <s v="Gable"/>
    <s v="CompShg"/>
    <s v="CemntBd"/>
    <s v="CmentBd"/>
    <s v="None"/>
    <n v="0"/>
    <s v="TA"/>
    <s v="TA"/>
    <s v="PConc"/>
    <s v="TA"/>
    <s v="TA"/>
    <s v="No"/>
    <s v="ALQ"/>
    <n v="548"/>
    <s v="Rec"/>
    <n v="173"/>
    <n v="36"/>
    <n v="757"/>
    <s v="GasA"/>
    <s v="Ex"/>
    <s v="Y"/>
    <s v="SBrkr"/>
    <n v="925"/>
    <n v="550"/>
    <n v="0"/>
    <x v="830"/>
    <n v="0"/>
    <n v="0"/>
    <n v="2"/>
    <n v="0"/>
    <n v="4"/>
    <n v="1"/>
    <s v="TA"/>
    <n v="6"/>
    <s v="Typ"/>
    <n v="1"/>
    <s v="TA"/>
    <s v="Attchd"/>
    <n v="1977"/>
    <s v="RFn"/>
    <n v="1"/>
    <n v="336"/>
    <s v="TA"/>
    <s v="TA"/>
    <s v="Y"/>
    <n v="104"/>
    <n v="26"/>
    <n v="0"/>
    <n v="0"/>
    <n v="0"/>
    <n v="0"/>
    <s v="NA"/>
    <s v="NA"/>
    <s v="NA"/>
    <n v="0"/>
    <n v="7"/>
    <n v="2006"/>
    <s v="WD"/>
    <s v="Normal"/>
    <n v="127000"/>
  </r>
  <r>
    <n v="1369"/>
    <n v="120"/>
    <s v="RM"/>
    <s v="NA"/>
    <n v="4435"/>
    <s v="Pave"/>
    <s v="NA"/>
    <s v="Reg"/>
    <s v="Lvl"/>
    <s v="AllPub"/>
    <s v="Inside"/>
    <s v="Gtl"/>
    <x v="0"/>
    <x v="0"/>
    <s v="Norm"/>
    <x v="3"/>
    <x v="1"/>
    <n v="6"/>
    <n v="5"/>
    <x v="0"/>
    <n v="2004"/>
    <s v="Gable"/>
    <s v="CompShg"/>
    <s v="VinylSd"/>
    <s v="VinylSd"/>
    <s v="BrkFace"/>
    <n v="170"/>
    <s v="Gd"/>
    <s v="TA"/>
    <s v="PConc"/>
    <s v="Gd"/>
    <s v="TA"/>
    <s v="Av"/>
    <s v="GLQ"/>
    <n v="685"/>
    <s v="Unf"/>
    <n v="0"/>
    <n v="163"/>
    <n v="848"/>
    <s v="GasA"/>
    <s v="Ex"/>
    <s v="Y"/>
    <s v="SBrkr"/>
    <n v="848"/>
    <n v="0"/>
    <n v="0"/>
    <x v="182"/>
    <n v="1"/>
    <n v="0"/>
    <n v="1"/>
    <n v="0"/>
    <n v="1"/>
    <n v="1"/>
    <s v="Gd"/>
    <n v="4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6"/>
    <n v="2009"/>
    <s v="WD"/>
    <s v="Normal"/>
    <n v="144000"/>
  </r>
  <r>
    <n v="1370"/>
    <n v="20"/>
    <s v="RL"/>
    <n v="48"/>
    <n v="10635"/>
    <s v="Pave"/>
    <s v="NA"/>
    <s v="IR2"/>
    <s v="Lvl"/>
    <s v="AllPub"/>
    <s v="FR2"/>
    <s v="Gtl"/>
    <x v="0"/>
    <x v="0"/>
    <s v="Norm"/>
    <x v="0"/>
    <x v="1"/>
    <n v="8"/>
    <n v="5"/>
    <x v="0"/>
    <n v="2003"/>
    <s v="Hip"/>
    <s v="CompShg"/>
    <s v="VinylSd"/>
    <s v="VinylSd"/>
    <s v="BrkFace"/>
    <n v="171"/>
    <s v="Gd"/>
    <s v="TA"/>
    <s v="PConc"/>
    <s v="Gd"/>
    <s v="TA"/>
    <s v="Av"/>
    <s v="BLQ"/>
    <n v="370"/>
    <s v="GLQ"/>
    <n v="972"/>
    <n v="315"/>
    <n v="1657"/>
    <s v="GasA"/>
    <s v="Ex"/>
    <s v="Y"/>
    <s v="SBrkr"/>
    <n v="1668"/>
    <n v="0"/>
    <n v="0"/>
    <x v="216"/>
    <n v="1"/>
    <n v="0"/>
    <n v="2"/>
    <n v="0"/>
    <n v="3"/>
    <n v="1"/>
    <s v="Gd"/>
    <n v="8"/>
    <s v="Typ"/>
    <n v="1"/>
    <s v="TA"/>
    <s v="Attchd"/>
    <n v="2003"/>
    <s v="Fin"/>
    <n v="2"/>
    <n v="502"/>
    <s v="TA"/>
    <s v="TA"/>
    <s v="Y"/>
    <n v="0"/>
    <n v="262"/>
    <n v="0"/>
    <n v="0"/>
    <n v="0"/>
    <n v="0"/>
    <s v="NA"/>
    <s v="NA"/>
    <s v="NA"/>
    <n v="0"/>
    <n v="5"/>
    <n v="2010"/>
    <s v="WD"/>
    <s v="Normal"/>
    <n v="232000"/>
  </r>
  <r>
    <n v="1371"/>
    <n v="50"/>
    <s v="RL"/>
    <n v="90"/>
    <n v="5400"/>
    <s v="Pave"/>
    <s v="NA"/>
    <s v="Reg"/>
    <s v="Lvl"/>
    <s v="AllPub"/>
    <s v="Corner"/>
    <s v="Gtl"/>
    <x v="7"/>
    <x v="3"/>
    <s v="Norm"/>
    <x v="0"/>
    <x v="2"/>
    <n v="4"/>
    <n v="6"/>
    <x v="26"/>
    <n v="1950"/>
    <s v="Gable"/>
    <s v="CompShg"/>
    <s v="CBlock"/>
    <s v="CBlock"/>
    <s v="None"/>
    <n v="0"/>
    <s v="Fa"/>
    <s v="TA"/>
    <s v="PConc"/>
    <s v="TA"/>
    <s v="TA"/>
    <s v="No"/>
    <s v="ALQ"/>
    <n v="315"/>
    <s v="Rec"/>
    <n v="105"/>
    <n v="420"/>
    <n v="840"/>
    <s v="GasA"/>
    <s v="Ex"/>
    <s v="Y"/>
    <s v="SBrkr"/>
    <n v="840"/>
    <n v="534"/>
    <n v="0"/>
    <x v="831"/>
    <n v="0"/>
    <n v="0"/>
    <n v="1"/>
    <n v="0"/>
    <n v="2"/>
    <n v="1"/>
    <s v="TA"/>
    <n v="6"/>
    <s v="Typ"/>
    <n v="0"/>
    <s v="NA"/>
    <s v="Detchd"/>
    <n v="1967"/>
    <s v="Fin"/>
    <n v="1"/>
    <n v="338"/>
    <s v="TA"/>
    <s v="TA"/>
    <s v="Y"/>
    <n v="0"/>
    <n v="0"/>
    <n v="198"/>
    <n v="0"/>
    <n v="0"/>
    <n v="0"/>
    <s v="NA"/>
    <s v="NA"/>
    <s v="NA"/>
    <n v="0"/>
    <n v="10"/>
    <n v="2009"/>
    <s v="WD"/>
    <s v="Normal"/>
    <n v="105000"/>
  </r>
  <r>
    <n v="1372"/>
    <n v="80"/>
    <s v="RL"/>
    <n v="80"/>
    <n v="9600"/>
    <s v="Pave"/>
    <s v="NA"/>
    <s v="Reg"/>
    <s v="Lvl"/>
    <s v="AllPub"/>
    <s v="Inside"/>
    <s v="Gtl"/>
    <x v="11"/>
    <x v="0"/>
    <s v="Norm"/>
    <x v="0"/>
    <x v="5"/>
    <n v="6"/>
    <n v="6"/>
    <x v="32"/>
    <n v="1996"/>
    <s v="Hip"/>
    <s v="CompShg"/>
    <s v="AsbShng"/>
    <s v="AsbShng"/>
    <s v="None"/>
    <n v="0"/>
    <s v="TA"/>
    <s v="TA"/>
    <s v="CBlock"/>
    <s v="TA"/>
    <s v="TA"/>
    <s v="Av"/>
    <s v="BLQ"/>
    <n v="831"/>
    <s v="Unf"/>
    <n v="0"/>
    <n v="161"/>
    <n v="992"/>
    <s v="GasA"/>
    <s v="Gd"/>
    <s v="Y"/>
    <s v="SBrkr"/>
    <n v="1661"/>
    <n v="0"/>
    <n v="0"/>
    <x v="354"/>
    <n v="1"/>
    <n v="0"/>
    <n v="1"/>
    <n v="0"/>
    <n v="3"/>
    <n v="1"/>
    <s v="Gd"/>
    <n v="8"/>
    <s v="Typ"/>
    <n v="1"/>
    <s v="TA"/>
    <s v="BuiltIn"/>
    <n v="1955"/>
    <s v="RFn"/>
    <n v="1"/>
    <n v="377"/>
    <s v="TA"/>
    <s v="TA"/>
    <s v="Y"/>
    <n v="0"/>
    <n v="28"/>
    <n v="0"/>
    <n v="0"/>
    <n v="178"/>
    <n v="0"/>
    <s v="NA"/>
    <s v="MnPrv"/>
    <s v="NA"/>
    <n v="0"/>
    <n v="10"/>
    <n v="2008"/>
    <s v="WD"/>
    <s v="Normal"/>
    <n v="165500"/>
  </r>
  <r>
    <n v="1373"/>
    <n v="60"/>
    <s v="RL"/>
    <n v="75"/>
    <n v="9750"/>
    <s v="Pave"/>
    <s v="NA"/>
    <s v="Reg"/>
    <s v="Lvl"/>
    <s v="AllPub"/>
    <s v="Corner"/>
    <s v="Gtl"/>
    <x v="0"/>
    <x v="0"/>
    <s v="Norm"/>
    <x v="0"/>
    <x v="0"/>
    <n v="7"/>
    <n v="6"/>
    <x v="45"/>
    <n v="1998"/>
    <s v="Gable"/>
    <s v="CompShg"/>
    <s v="VinylSd"/>
    <s v="VinylSd"/>
    <s v="None"/>
    <n v="0"/>
    <s v="TA"/>
    <s v="TA"/>
    <s v="PConc"/>
    <s v="Gd"/>
    <s v="TA"/>
    <s v="Av"/>
    <s v="GLQ"/>
    <n v="975"/>
    <s v="Unf"/>
    <n v="0"/>
    <n v="133"/>
    <n v="1108"/>
    <s v="GasA"/>
    <s v="Ex"/>
    <s v="Y"/>
    <s v="SBrkr"/>
    <n v="1108"/>
    <n v="989"/>
    <n v="0"/>
    <x v="340"/>
    <n v="1"/>
    <n v="0"/>
    <n v="2"/>
    <n v="1"/>
    <n v="3"/>
    <n v="1"/>
    <s v="Gd"/>
    <n v="8"/>
    <s v="Typ"/>
    <n v="1"/>
    <s v="TA"/>
    <s v="Detchd"/>
    <n v="1998"/>
    <s v="RFn"/>
    <n v="2"/>
    <n v="583"/>
    <s v="TA"/>
    <s v="TA"/>
    <s v="Y"/>
    <n v="253"/>
    <n v="170"/>
    <n v="0"/>
    <n v="0"/>
    <n v="0"/>
    <n v="0"/>
    <s v="NA"/>
    <s v="NA"/>
    <s v="NA"/>
    <n v="0"/>
    <n v="6"/>
    <n v="2006"/>
    <s v="WD"/>
    <s v="Normal"/>
    <n v="274300"/>
  </r>
  <r>
    <n v="1374"/>
    <n v="20"/>
    <s v="RL"/>
    <s v="NA"/>
    <n v="11400"/>
    <s v="Pave"/>
    <s v="NA"/>
    <s v="Reg"/>
    <s v="Lvl"/>
    <s v="AllPub"/>
    <s v="Inside"/>
    <s v="Gtl"/>
    <x v="3"/>
    <x v="0"/>
    <s v="Norm"/>
    <x v="0"/>
    <x v="1"/>
    <n v="10"/>
    <n v="5"/>
    <x v="2"/>
    <n v="2002"/>
    <s v="Hip"/>
    <s v="CompShg"/>
    <s v="VinylSd"/>
    <s v="VinylSd"/>
    <s v="BrkFace"/>
    <n v="705"/>
    <s v="Ex"/>
    <s v="TA"/>
    <s v="PConc"/>
    <s v="Ex"/>
    <s v="TA"/>
    <s v="Gd"/>
    <s v="GLQ"/>
    <n v="1282"/>
    <s v="Unf"/>
    <n v="0"/>
    <n v="1351"/>
    <n v="2633"/>
    <s v="GasA"/>
    <s v="Ex"/>
    <s v="Y"/>
    <s v="SBrkr"/>
    <n v="2633"/>
    <n v="0"/>
    <n v="0"/>
    <x v="832"/>
    <n v="1"/>
    <n v="0"/>
    <n v="2"/>
    <n v="1"/>
    <n v="2"/>
    <n v="1"/>
    <s v="Ex"/>
    <n v="8"/>
    <s v="Typ"/>
    <n v="2"/>
    <s v="Gd"/>
    <s v="Attchd"/>
    <n v="2001"/>
    <s v="RFn"/>
    <n v="3"/>
    <n v="804"/>
    <s v="TA"/>
    <s v="TA"/>
    <s v="Y"/>
    <n v="314"/>
    <n v="140"/>
    <n v="0"/>
    <n v="0"/>
    <n v="0"/>
    <n v="0"/>
    <s v="NA"/>
    <s v="NA"/>
    <s v="NA"/>
    <n v="0"/>
    <n v="3"/>
    <n v="2007"/>
    <s v="WD"/>
    <s v="Normal"/>
    <n v="466500"/>
  </r>
  <r>
    <n v="1375"/>
    <n v="60"/>
    <s v="FV"/>
    <n v="85"/>
    <n v="10625"/>
    <s v="Pave"/>
    <s v="NA"/>
    <s v="Reg"/>
    <s v="Lvl"/>
    <s v="AllPub"/>
    <s v="Inside"/>
    <s v="Gtl"/>
    <x v="5"/>
    <x v="0"/>
    <s v="Norm"/>
    <x v="0"/>
    <x v="0"/>
    <n v="7"/>
    <n v="5"/>
    <x v="11"/>
    <n v="2005"/>
    <s v="Gable"/>
    <s v="CompShg"/>
    <s v="CemntBd"/>
    <s v="CmentBd"/>
    <s v="None"/>
    <n v="0"/>
    <s v="Gd"/>
    <s v="TA"/>
    <s v="PConc"/>
    <s v="Gd"/>
    <s v="TA"/>
    <s v="No"/>
    <s v="Unf"/>
    <n v="0"/>
    <s v="Unf"/>
    <n v="0"/>
    <n v="1026"/>
    <n v="1026"/>
    <s v="GasA"/>
    <s v="Ex"/>
    <s v="Y"/>
    <s v="SBrkr"/>
    <n v="1026"/>
    <n v="932"/>
    <n v="0"/>
    <x v="660"/>
    <n v="0"/>
    <n v="0"/>
    <n v="2"/>
    <n v="1"/>
    <n v="3"/>
    <n v="1"/>
    <s v="Gd"/>
    <n v="9"/>
    <s v="Typ"/>
    <n v="1"/>
    <s v="Gd"/>
    <s v="Attchd"/>
    <n v="2005"/>
    <s v="Fin"/>
    <n v="3"/>
    <n v="936"/>
    <s v="TA"/>
    <s v="TA"/>
    <s v="Y"/>
    <n v="154"/>
    <n v="210"/>
    <n v="0"/>
    <n v="0"/>
    <n v="0"/>
    <n v="0"/>
    <s v="NA"/>
    <s v="NA"/>
    <s v="NA"/>
    <n v="0"/>
    <n v="7"/>
    <n v="2008"/>
    <s v="WD"/>
    <s v="Normal"/>
    <n v="250000"/>
  </r>
  <r>
    <n v="1376"/>
    <n v="20"/>
    <s v="RL"/>
    <n v="89"/>
    <n v="10991"/>
    <s v="Pave"/>
    <s v="NA"/>
    <s v="IR1"/>
    <s v="HLS"/>
    <s v="AllPub"/>
    <s v="Inside"/>
    <s v="Gtl"/>
    <x v="16"/>
    <x v="0"/>
    <s v="Norm"/>
    <x v="0"/>
    <x v="1"/>
    <n v="8"/>
    <n v="5"/>
    <x v="22"/>
    <n v="2007"/>
    <s v="Gable"/>
    <s v="CompShg"/>
    <s v="VinylSd"/>
    <s v="VinylSd"/>
    <s v="BrkFace"/>
    <n v="80"/>
    <s v="Gd"/>
    <s v="TA"/>
    <s v="PConc"/>
    <s v="Gd"/>
    <s v="TA"/>
    <s v="Gd"/>
    <s v="Unf"/>
    <n v="0"/>
    <s v="Unf"/>
    <n v="0"/>
    <n v="1571"/>
    <n v="1571"/>
    <s v="GasA"/>
    <s v="Ex"/>
    <s v="Y"/>
    <s v="SBrkr"/>
    <n v="1571"/>
    <n v="0"/>
    <n v="0"/>
    <x v="708"/>
    <n v="0"/>
    <n v="0"/>
    <n v="2"/>
    <n v="0"/>
    <n v="3"/>
    <n v="1"/>
    <s v="Gd"/>
    <n v="7"/>
    <s v="Typ"/>
    <n v="1"/>
    <s v="Gd"/>
    <s v="Attchd"/>
    <n v="2007"/>
    <s v="Fin"/>
    <n v="3"/>
    <n v="722"/>
    <s v="TA"/>
    <s v="TA"/>
    <s v="Y"/>
    <n v="100"/>
    <n v="36"/>
    <n v="0"/>
    <n v="0"/>
    <n v="0"/>
    <n v="0"/>
    <s v="NA"/>
    <s v="NA"/>
    <s v="NA"/>
    <n v="0"/>
    <n v="12"/>
    <n v="2007"/>
    <s v="New"/>
    <s v="Partial"/>
    <n v="239000"/>
  </r>
  <r>
    <n v="1377"/>
    <n v="30"/>
    <s v="RL"/>
    <n v="52"/>
    <n v="6292"/>
    <s v="Pave"/>
    <s v="NA"/>
    <s v="Reg"/>
    <s v="Bnk"/>
    <s v="AllPub"/>
    <s v="Inside"/>
    <s v="Gtl"/>
    <x v="23"/>
    <x v="0"/>
    <s v="Norm"/>
    <x v="0"/>
    <x v="1"/>
    <n v="6"/>
    <n v="5"/>
    <x v="19"/>
    <n v="1950"/>
    <s v="Gable"/>
    <s v="CompShg"/>
    <s v="Wd Sdng"/>
    <s v="Wd Sdng"/>
    <s v="None"/>
    <n v="0"/>
    <s v="TA"/>
    <s v="TA"/>
    <s v="BrkTil"/>
    <s v="Gd"/>
    <s v="TA"/>
    <s v="Mn"/>
    <s v="Rec"/>
    <n v="384"/>
    <s v="Unf"/>
    <n v="0"/>
    <n v="384"/>
    <n v="768"/>
    <s v="GasA"/>
    <s v="TA"/>
    <s v="N"/>
    <s v="SBrkr"/>
    <n v="790"/>
    <n v="0"/>
    <n v="0"/>
    <x v="833"/>
    <n v="0"/>
    <n v="0"/>
    <n v="1"/>
    <n v="0"/>
    <n v="2"/>
    <n v="1"/>
    <s v="TA"/>
    <n v="4"/>
    <s v="Typ"/>
    <n v="0"/>
    <s v="NA"/>
    <s v="Detchd"/>
    <n v="1925"/>
    <s v="Unf"/>
    <n v="1"/>
    <n v="160"/>
    <s v="Fa"/>
    <s v="TA"/>
    <s v="Y"/>
    <n v="0"/>
    <n v="141"/>
    <n v="0"/>
    <n v="0"/>
    <n v="0"/>
    <n v="0"/>
    <s v="NA"/>
    <s v="NA"/>
    <s v="NA"/>
    <n v="0"/>
    <n v="4"/>
    <n v="2008"/>
    <s v="WD"/>
    <s v="Normal"/>
    <n v="91000"/>
  </r>
  <r>
    <n v="1378"/>
    <n v="50"/>
    <s v="RL"/>
    <n v="60"/>
    <n v="10998"/>
    <s v="Pave"/>
    <s v="Grvl"/>
    <s v="Reg"/>
    <s v="Lvl"/>
    <s v="AllPub"/>
    <s v="Inside"/>
    <s v="Gtl"/>
    <x v="15"/>
    <x v="0"/>
    <s v="Norm"/>
    <x v="0"/>
    <x v="2"/>
    <n v="5"/>
    <n v="5"/>
    <x v="71"/>
    <n v="1960"/>
    <s v="Gable"/>
    <s v="CompShg"/>
    <s v="Wd Sdng"/>
    <s v="Wd Sdng"/>
    <s v="None"/>
    <n v="0"/>
    <s v="TA"/>
    <s v="TA"/>
    <s v="CBlock"/>
    <s v="TA"/>
    <s v="TA"/>
    <s v="No"/>
    <s v="LwQ"/>
    <n v="408"/>
    <s v="BLQ"/>
    <n v="420"/>
    <n v="156"/>
    <n v="984"/>
    <s v="GasA"/>
    <s v="Ex"/>
    <s v="Y"/>
    <s v="SBrkr"/>
    <n v="984"/>
    <n v="620"/>
    <n v="0"/>
    <x v="222"/>
    <n v="0"/>
    <n v="0"/>
    <n v="2"/>
    <n v="0"/>
    <n v="3"/>
    <n v="1"/>
    <s v="TA"/>
    <n v="6"/>
    <s v="Min2"/>
    <n v="0"/>
    <s v="NA"/>
    <s v="Detchd"/>
    <n v="1977"/>
    <s v="Unf"/>
    <n v="2"/>
    <n v="660"/>
    <s v="TA"/>
    <s v="TA"/>
    <s v="Y"/>
    <n v="0"/>
    <n v="68"/>
    <n v="0"/>
    <n v="0"/>
    <n v="0"/>
    <n v="0"/>
    <s v="NA"/>
    <s v="NA"/>
    <s v="NA"/>
    <n v="0"/>
    <n v="7"/>
    <n v="2009"/>
    <s v="WD"/>
    <s v="Normal"/>
    <n v="117000"/>
  </r>
  <r>
    <n v="1379"/>
    <n v="160"/>
    <s v="RM"/>
    <n v="21"/>
    <n v="1953"/>
    <s v="Pave"/>
    <s v="NA"/>
    <s v="Reg"/>
    <s v="Lvl"/>
    <s v="AllPub"/>
    <s v="Inside"/>
    <s v="Gtl"/>
    <x v="22"/>
    <x v="0"/>
    <s v="Norm"/>
    <x v="4"/>
    <x v="0"/>
    <n v="6"/>
    <n v="5"/>
    <x v="7"/>
    <n v="1973"/>
    <s v="Gable"/>
    <s v="CompShg"/>
    <s v="HdBoard"/>
    <s v="HdBoard"/>
    <s v="BrkFace"/>
    <n v="408"/>
    <s v="TA"/>
    <s v="TA"/>
    <s v="CBlock"/>
    <s v="TA"/>
    <s v="Fa"/>
    <s v="No"/>
    <s v="BLQ"/>
    <n v="309"/>
    <s v="Unf"/>
    <n v="0"/>
    <n v="174"/>
    <n v="483"/>
    <s v="GasA"/>
    <s v="TA"/>
    <s v="Y"/>
    <s v="SBrkr"/>
    <n v="483"/>
    <n v="504"/>
    <n v="0"/>
    <x v="200"/>
    <n v="0"/>
    <n v="0"/>
    <n v="1"/>
    <n v="1"/>
    <n v="2"/>
    <n v="1"/>
    <s v="TA"/>
    <n v="5"/>
    <s v="Typ"/>
    <n v="0"/>
    <s v="NA"/>
    <s v="Detchd"/>
    <n v="1973"/>
    <s v="Unf"/>
    <n v="1"/>
    <n v="264"/>
    <s v="TA"/>
    <s v="TA"/>
    <s v="Y"/>
    <n v="72"/>
    <n v="0"/>
    <n v="0"/>
    <n v="0"/>
    <n v="0"/>
    <n v="0"/>
    <s v="NA"/>
    <s v="NA"/>
    <s v="NA"/>
    <n v="0"/>
    <n v="6"/>
    <n v="2006"/>
    <s v="WD"/>
    <s v="Normal"/>
    <n v="83000"/>
  </r>
  <r>
    <n v="1380"/>
    <n v="80"/>
    <s v="RL"/>
    <n v="73"/>
    <n v="9735"/>
    <s v="Pave"/>
    <s v="NA"/>
    <s v="Reg"/>
    <s v="Lvl"/>
    <s v="AllPub"/>
    <s v="Inside"/>
    <s v="Gtl"/>
    <x v="16"/>
    <x v="0"/>
    <s v="Norm"/>
    <x v="0"/>
    <x v="5"/>
    <n v="5"/>
    <n v="5"/>
    <x v="13"/>
    <n v="2007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384"/>
    <n v="384"/>
    <s v="GasA"/>
    <s v="Gd"/>
    <s v="Y"/>
    <s v="NA"/>
    <n v="754"/>
    <n v="640"/>
    <n v="0"/>
    <x v="304"/>
    <n v="0"/>
    <n v="0"/>
    <n v="2"/>
    <n v="1"/>
    <n v="3"/>
    <n v="1"/>
    <s v="Gd"/>
    <n v="7"/>
    <s v="Typ"/>
    <n v="0"/>
    <s v="NA"/>
    <s v="BuiltIn"/>
    <n v="2007"/>
    <s v="Fin"/>
    <n v="2"/>
    <n v="400"/>
    <s v="TA"/>
    <s v="TA"/>
    <s v="Y"/>
    <n v="100"/>
    <n v="0"/>
    <n v="0"/>
    <n v="0"/>
    <n v="0"/>
    <n v="0"/>
    <s v="NA"/>
    <s v="NA"/>
    <s v="NA"/>
    <n v="0"/>
    <n v="5"/>
    <n v="2008"/>
    <s v="WD"/>
    <s v="Normal"/>
    <n v="167500"/>
  </r>
  <r>
    <n v="1381"/>
    <n v="30"/>
    <s v="RL"/>
    <n v="45"/>
    <n v="8212"/>
    <s v="Pave"/>
    <s v="Grvl"/>
    <s v="Reg"/>
    <s v="Lvl"/>
    <s v="AllPub"/>
    <s v="Inside"/>
    <s v="Gtl"/>
    <x v="15"/>
    <x v="0"/>
    <s v="Norm"/>
    <x v="0"/>
    <x v="1"/>
    <n v="3"/>
    <n v="3"/>
    <x v="101"/>
    <n v="1950"/>
    <s v="Gable"/>
    <s v="CompShg"/>
    <s v="Stucco"/>
    <s v="Stucco"/>
    <s v="None"/>
    <n v="0"/>
    <s v="TA"/>
    <s v="Fa"/>
    <s v="BrkTil"/>
    <s v="TA"/>
    <s v="Fa"/>
    <s v="No"/>
    <s v="Rec"/>
    <n v="203"/>
    <s v="Unf"/>
    <n v="0"/>
    <n v="661"/>
    <n v="864"/>
    <s v="GasA"/>
    <s v="TA"/>
    <s v="N"/>
    <s v="FuseF"/>
    <n v="864"/>
    <n v="0"/>
    <n v="0"/>
    <x v="132"/>
    <n v="1"/>
    <n v="0"/>
    <n v="1"/>
    <n v="0"/>
    <n v="2"/>
    <n v="1"/>
    <s v="TA"/>
    <n v="5"/>
    <s v="Typ"/>
    <n v="0"/>
    <s v="NA"/>
    <s v="Detchd"/>
    <n v="1938"/>
    <s v="Unf"/>
    <n v="1"/>
    <n v="200"/>
    <s v="TA"/>
    <s v="Fa"/>
    <s v="Y"/>
    <n v="0"/>
    <n v="0"/>
    <n v="96"/>
    <n v="0"/>
    <n v="0"/>
    <n v="0"/>
    <s v="NA"/>
    <s v="NA"/>
    <s v="NA"/>
    <n v="0"/>
    <n v="6"/>
    <n v="2010"/>
    <s v="WD"/>
    <s v="Normal"/>
    <n v="58500"/>
  </r>
  <r>
    <n v="1382"/>
    <n v="20"/>
    <s v="RL"/>
    <s v="NA"/>
    <n v="12925"/>
    <s v="Pave"/>
    <s v="NA"/>
    <s v="IR1"/>
    <s v="Lvl"/>
    <s v="AllPub"/>
    <s v="Corner"/>
    <s v="Gtl"/>
    <x v="11"/>
    <x v="0"/>
    <s v="Norm"/>
    <x v="0"/>
    <x v="1"/>
    <n v="6"/>
    <n v="7"/>
    <x v="16"/>
    <n v="1970"/>
    <s v="Gable"/>
    <s v="CompShg"/>
    <s v="BrkFace"/>
    <s v="Plywood"/>
    <s v="None"/>
    <n v="0"/>
    <s v="TA"/>
    <s v="TA"/>
    <s v="CBlock"/>
    <s v="TA"/>
    <s v="TA"/>
    <s v="Mn"/>
    <s v="BLQ"/>
    <n v="865"/>
    <s v="Unf"/>
    <n v="0"/>
    <n v="340"/>
    <n v="1205"/>
    <s v="GasA"/>
    <s v="Ex"/>
    <s v="Y"/>
    <s v="SBrkr"/>
    <n v="2117"/>
    <n v="0"/>
    <n v="0"/>
    <x v="834"/>
    <n v="0"/>
    <n v="0"/>
    <n v="2"/>
    <n v="1"/>
    <n v="4"/>
    <n v="1"/>
    <s v="TA"/>
    <n v="7"/>
    <s v="Typ"/>
    <n v="2"/>
    <s v="Gd"/>
    <s v="Attchd"/>
    <n v="1970"/>
    <s v="Fin"/>
    <n v="2"/>
    <n v="550"/>
    <s v="TA"/>
    <s v="TA"/>
    <s v="Y"/>
    <n v="0"/>
    <n v="42"/>
    <n v="0"/>
    <n v="0"/>
    <n v="0"/>
    <n v="0"/>
    <s v="NA"/>
    <s v="NA"/>
    <s v="NA"/>
    <n v="0"/>
    <n v="5"/>
    <n v="2008"/>
    <s v="WD"/>
    <s v="Normal"/>
    <n v="237500"/>
  </r>
  <r>
    <n v="1383"/>
    <n v="70"/>
    <s v="RM"/>
    <n v="60"/>
    <n v="7200"/>
    <s v="Pave"/>
    <s v="NA"/>
    <s v="Reg"/>
    <s v="Lvl"/>
    <s v="AllPub"/>
    <s v="Corner"/>
    <s v="Gtl"/>
    <x v="7"/>
    <x v="0"/>
    <s v="Norm"/>
    <x v="0"/>
    <x v="0"/>
    <n v="7"/>
    <n v="7"/>
    <x v="26"/>
    <n v="1950"/>
    <s v="Hip"/>
    <s v="CompShg"/>
    <s v="Wd Sdng"/>
    <s v="Wd Sdng"/>
    <s v="None"/>
    <n v="0"/>
    <s v="TA"/>
    <s v="TA"/>
    <s v="BrkTil"/>
    <s v="Fa"/>
    <s v="TA"/>
    <s v="No"/>
    <s v="Unf"/>
    <n v="0"/>
    <s v="Unf"/>
    <n v="0"/>
    <n v="596"/>
    <n v="596"/>
    <s v="GasA"/>
    <s v="Ex"/>
    <s v="Y"/>
    <s v="SBrkr"/>
    <n v="998"/>
    <n v="764"/>
    <n v="0"/>
    <x v="835"/>
    <n v="1"/>
    <n v="0"/>
    <n v="1"/>
    <n v="1"/>
    <n v="4"/>
    <n v="1"/>
    <s v="Gd"/>
    <n v="8"/>
    <s v="Typ"/>
    <n v="0"/>
    <s v="NA"/>
    <s v="Detchd"/>
    <n v="1989"/>
    <s v="Unf"/>
    <n v="2"/>
    <n v="576"/>
    <s v="TA"/>
    <s v="TA"/>
    <s v="N"/>
    <n v="36"/>
    <n v="0"/>
    <n v="221"/>
    <n v="0"/>
    <n v="0"/>
    <n v="0"/>
    <s v="NA"/>
    <s v="NA"/>
    <s v="NA"/>
    <n v="0"/>
    <n v="10"/>
    <n v="2006"/>
    <s v="WD"/>
    <s v="Normal"/>
    <n v="157000"/>
  </r>
  <r>
    <n v="1384"/>
    <n v="30"/>
    <s v="RL"/>
    <s v="NA"/>
    <n v="25339"/>
    <s v="Pave"/>
    <s v="NA"/>
    <s v="Reg"/>
    <s v="Lvl"/>
    <s v="AllPub"/>
    <s v="Inside"/>
    <s v="Gtl"/>
    <x v="9"/>
    <x v="0"/>
    <s v="Norm"/>
    <x v="0"/>
    <x v="1"/>
    <n v="5"/>
    <n v="7"/>
    <x v="79"/>
    <n v="2007"/>
    <s v="Gable"/>
    <s v="CompShg"/>
    <s v="Wd Sdng"/>
    <s v="Wd Sdng"/>
    <s v="None"/>
    <n v="0"/>
    <s v="TA"/>
    <s v="Gd"/>
    <s v="BrkTil"/>
    <s v="TA"/>
    <s v="TA"/>
    <s v="No"/>
    <s v="Unf"/>
    <n v="0"/>
    <s v="Unf"/>
    <n v="0"/>
    <n v="816"/>
    <n v="816"/>
    <s v="GasA"/>
    <s v="Ex"/>
    <s v="Y"/>
    <s v="SBrkr"/>
    <n v="1416"/>
    <n v="0"/>
    <n v="0"/>
    <x v="603"/>
    <n v="0"/>
    <n v="0"/>
    <n v="2"/>
    <n v="0"/>
    <n v="3"/>
    <n v="1"/>
    <s v="Gd"/>
    <n v="7"/>
    <s v="Typ"/>
    <n v="0"/>
    <s v="NA"/>
    <s v="Attchd"/>
    <n v="2007"/>
    <s v="Unf"/>
    <n v="2"/>
    <n v="576"/>
    <s v="TA"/>
    <s v="TA"/>
    <s v="N"/>
    <n v="0"/>
    <n v="0"/>
    <n v="112"/>
    <n v="0"/>
    <n v="0"/>
    <n v="0"/>
    <s v="NA"/>
    <s v="NA"/>
    <s v="NA"/>
    <n v="0"/>
    <n v="8"/>
    <n v="2007"/>
    <s v="WD"/>
    <s v="Normal"/>
    <n v="112000"/>
  </r>
  <r>
    <n v="1385"/>
    <n v="50"/>
    <s v="RL"/>
    <n v="60"/>
    <n v="9060"/>
    <s v="Pave"/>
    <s v="NA"/>
    <s v="Reg"/>
    <s v="Lvl"/>
    <s v="AllPub"/>
    <s v="Inside"/>
    <s v="Gtl"/>
    <x v="15"/>
    <x v="0"/>
    <s v="Norm"/>
    <x v="0"/>
    <x v="2"/>
    <n v="6"/>
    <n v="5"/>
    <x v="9"/>
    <n v="1950"/>
    <s v="Gable"/>
    <s v="CompShg"/>
    <s v="WdShing"/>
    <s v="Wd Shng"/>
    <s v="None"/>
    <n v="0"/>
    <s v="TA"/>
    <s v="TA"/>
    <s v="BrkTil"/>
    <s v="TA"/>
    <s v="TA"/>
    <s v="Mn"/>
    <s v="Rec"/>
    <n v="204"/>
    <s v="Unf"/>
    <n v="0"/>
    <n v="356"/>
    <n v="560"/>
    <s v="GasA"/>
    <s v="TA"/>
    <s v="Y"/>
    <s v="SBrkr"/>
    <n v="698"/>
    <n v="560"/>
    <n v="0"/>
    <x v="358"/>
    <n v="0"/>
    <n v="0"/>
    <n v="1"/>
    <n v="0"/>
    <n v="2"/>
    <n v="1"/>
    <s v="TA"/>
    <n v="6"/>
    <s v="Typ"/>
    <n v="0"/>
    <s v="NA"/>
    <s v="Detchd"/>
    <n v="1939"/>
    <s v="Unf"/>
    <n v="1"/>
    <n v="280"/>
    <s v="TA"/>
    <s v="TA"/>
    <s v="P"/>
    <n v="0"/>
    <n v="0"/>
    <n v="0"/>
    <n v="0"/>
    <n v="0"/>
    <n v="0"/>
    <s v="NA"/>
    <s v="MnPrv"/>
    <s v="NA"/>
    <n v="0"/>
    <n v="10"/>
    <n v="2009"/>
    <s v="WD"/>
    <s v="Normal"/>
    <n v="105000"/>
  </r>
  <r>
    <n v="1386"/>
    <n v="50"/>
    <s v="RM"/>
    <n v="40"/>
    <n v="5436"/>
    <s v="Pave"/>
    <s v="NA"/>
    <s v="Reg"/>
    <s v="Lvl"/>
    <s v="AllPub"/>
    <s v="Inside"/>
    <s v="Gtl"/>
    <x v="13"/>
    <x v="0"/>
    <s v="Norm"/>
    <x v="0"/>
    <x v="2"/>
    <n v="4"/>
    <n v="8"/>
    <x v="91"/>
    <n v="2007"/>
    <s v="Gable"/>
    <s v="CompShg"/>
    <s v="VinylSd"/>
    <s v="VinylSd"/>
    <s v="None"/>
    <n v="0"/>
    <s v="TA"/>
    <s v="Gd"/>
    <s v="BrkTil"/>
    <s v="TA"/>
    <s v="TA"/>
    <s v="No"/>
    <s v="BLQ"/>
    <n v="735"/>
    <s v="Unf"/>
    <n v="0"/>
    <n v="61"/>
    <n v="796"/>
    <s v="GasA"/>
    <s v="Gd"/>
    <s v="Y"/>
    <s v="SBrkr"/>
    <n v="796"/>
    <n v="358"/>
    <n v="0"/>
    <x v="706"/>
    <n v="1"/>
    <n v="0"/>
    <n v="1"/>
    <n v="0"/>
    <n v="3"/>
    <n v="1"/>
    <s v="Gd"/>
    <n v="7"/>
    <s v="Typ"/>
    <n v="0"/>
    <s v="NA"/>
    <s v="Detchd"/>
    <n v="1922"/>
    <s v="Unf"/>
    <n v="1"/>
    <n v="240"/>
    <s v="TA"/>
    <s v="TA"/>
    <s v="N"/>
    <n v="0"/>
    <n v="96"/>
    <n v="0"/>
    <n v="0"/>
    <n v="0"/>
    <n v="0"/>
    <s v="NA"/>
    <s v="MnPrv"/>
    <s v="NA"/>
    <n v="0"/>
    <n v="5"/>
    <n v="2010"/>
    <s v="WD"/>
    <s v="Normal"/>
    <n v="125500"/>
  </r>
  <r>
    <n v="1387"/>
    <n v="60"/>
    <s v="RL"/>
    <n v="80"/>
    <n v="16692"/>
    <s v="Pave"/>
    <s v="NA"/>
    <s v="IR1"/>
    <s v="Lvl"/>
    <s v="AllPub"/>
    <s v="Inside"/>
    <s v="Gtl"/>
    <x v="6"/>
    <x v="6"/>
    <s v="Norm"/>
    <x v="0"/>
    <x v="0"/>
    <n v="7"/>
    <n v="5"/>
    <x v="90"/>
    <n v="1978"/>
    <s v="Gable"/>
    <s v="CompShg"/>
    <s v="Plywood"/>
    <s v="Plywood"/>
    <s v="BrkFace"/>
    <n v="184"/>
    <s v="TA"/>
    <s v="TA"/>
    <s v="CBlock"/>
    <s v="Gd"/>
    <s v="TA"/>
    <s v="No"/>
    <s v="BLQ"/>
    <n v="790"/>
    <s v="LwQ"/>
    <n v="469"/>
    <n v="133"/>
    <n v="1392"/>
    <s v="GasA"/>
    <s v="TA"/>
    <s v="Y"/>
    <s v="SBrkr"/>
    <n v="1392"/>
    <n v="1392"/>
    <n v="0"/>
    <x v="836"/>
    <n v="1"/>
    <n v="0"/>
    <n v="3"/>
    <n v="1"/>
    <n v="5"/>
    <n v="1"/>
    <s v="Gd"/>
    <n v="12"/>
    <s v="Typ"/>
    <n v="2"/>
    <s v="TA"/>
    <s v="Attchd"/>
    <n v="1978"/>
    <s v="RFn"/>
    <n v="2"/>
    <n v="564"/>
    <s v="TA"/>
    <s v="TA"/>
    <s v="Y"/>
    <n v="0"/>
    <n v="112"/>
    <n v="0"/>
    <n v="0"/>
    <n v="440"/>
    <n v="519"/>
    <s v="Fa"/>
    <s v="MnPrv"/>
    <s v="TenC"/>
    <n v="2000"/>
    <n v="7"/>
    <n v="2006"/>
    <s v="WD"/>
    <s v="Normal"/>
    <n v="250000"/>
  </r>
  <r>
    <n v="1388"/>
    <n v="50"/>
    <s v="RM"/>
    <n v="60"/>
    <n v="8520"/>
    <s v="Pave"/>
    <s v="Grvl"/>
    <s v="Reg"/>
    <s v="Lvl"/>
    <s v="AllPub"/>
    <s v="Inside"/>
    <s v="Gtl"/>
    <x v="7"/>
    <x v="3"/>
    <s v="Norm"/>
    <x v="0"/>
    <x v="2"/>
    <n v="6"/>
    <n v="7"/>
    <x v="77"/>
    <n v="1950"/>
    <s v="Gable"/>
    <s v="CompShg"/>
    <s v="Stucco"/>
    <s v="Stucco"/>
    <s v="None"/>
    <n v="0"/>
    <s v="TA"/>
    <s v="Gd"/>
    <s v="BrkTil"/>
    <s v="TA"/>
    <s v="TA"/>
    <s v="No"/>
    <s v="Rec"/>
    <n v="168"/>
    <s v="LwQ"/>
    <n v="546"/>
    <n v="0"/>
    <n v="714"/>
    <s v="GasW"/>
    <s v="TA"/>
    <s v="N"/>
    <s v="SBrkr"/>
    <n v="1664"/>
    <n v="862"/>
    <n v="0"/>
    <x v="804"/>
    <n v="0"/>
    <n v="0"/>
    <n v="2"/>
    <n v="0"/>
    <n v="5"/>
    <n v="1"/>
    <s v="Gd"/>
    <n v="10"/>
    <s v="Typ"/>
    <n v="1"/>
    <s v="Gd"/>
    <s v="Detchd"/>
    <n v="1916"/>
    <s v="Unf"/>
    <n v="1"/>
    <n v="216"/>
    <s v="TA"/>
    <s v="TA"/>
    <s v="Y"/>
    <n v="88"/>
    <n v="15"/>
    <n v="0"/>
    <n v="0"/>
    <n v="0"/>
    <n v="0"/>
    <s v="NA"/>
    <s v="GdWo"/>
    <s v="NA"/>
    <n v="0"/>
    <n v="8"/>
    <n v="2007"/>
    <s v="CWD"/>
    <s v="Family"/>
    <n v="136000"/>
  </r>
  <r>
    <n v="1389"/>
    <n v="20"/>
    <s v="RL"/>
    <n v="42"/>
    <n v="14892"/>
    <s v="Pave"/>
    <s v="NA"/>
    <s v="IR1"/>
    <s v="HLS"/>
    <s v="AllPub"/>
    <s v="CulDSac"/>
    <s v="Gtl"/>
    <x v="17"/>
    <x v="0"/>
    <s v="Norm"/>
    <x v="0"/>
    <x v="1"/>
    <n v="9"/>
    <n v="5"/>
    <x v="13"/>
    <n v="2007"/>
    <s v="Gable"/>
    <s v="CompShg"/>
    <s v="VinylSd"/>
    <s v="VinylSd"/>
    <s v="Stone"/>
    <n v="160"/>
    <s v="Ex"/>
    <s v="TA"/>
    <s v="PConc"/>
    <s v="Ex"/>
    <s v="TA"/>
    <s v="Gd"/>
    <s v="GLQ"/>
    <n v="1320"/>
    <s v="Unf"/>
    <n v="0"/>
    <n v="426"/>
    <n v="1746"/>
    <s v="GasA"/>
    <s v="Ex"/>
    <s v="Y"/>
    <s v="SBrkr"/>
    <n v="1746"/>
    <n v="0"/>
    <n v="0"/>
    <x v="837"/>
    <n v="1"/>
    <n v="0"/>
    <n v="2"/>
    <n v="0"/>
    <n v="3"/>
    <n v="1"/>
    <s v="Ex"/>
    <n v="7"/>
    <s v="Typ"/>
    <n v="2"/>
    <s v="Gd"/>
    <s v="Attchd"/>
    <n v="2006"/>
    <s v="Fin"/>
    <n v="3"/>
    <n v="758"/>
    <s v="TA"/>
    <s v="TA"/>
    <s v="Y"/>
    <n v="201"/>
    <n v="39"/>
    <n v="0"/>
    <n v="0"/>
    <n v="0"/>
    <n v="0"/>
    <s v="NA"/>
    <s v="NA"/>
    <s v="NA"/>
    <n v="0"/>
    <n v="10"/>
    <n v="2009"/>
    <s v="WD"/>
    <s v="Normal"/>
    <n v="377500"/>
  </r>
  <r>
    <n v="1390"/>
    <n v="50"/>
    <s v="RM"/>
    <n v="60"/>
    <n v="6000"/>
    <s v="Pave"/>
    <s v="NA"/>
    <s v="Reg"/>
    <s v="Lvl"/>
    <s v="AllPub"/>
    <s v="Inside"/>
    <s v="Gtl"/>
    <x v="8"/>
    <x v="0"/>
    <s v="Norm"/>
    <x v="0"/>
    <x v="2"/>
    <n v="6"/>
    <n v="6"/>
    <x v="71"/>
    <n v="1950"/>
    <s v="Gable"/>
    <s v="CompShg"/>
    <s v="Wd Sdng"/>
    <s v="Wd Sdng"/>
    <s v="None"/>
    <n v="0"/>
    <s v="TA"/>
    <s v="Gd"/>
    <s v="BrkTil"/>
    <s v="TA"/>
    <s v="Gd"/>
    <s v="No"/>
    <s v="ALQ"/>
    <n v="375"/>
    <s v="Unf"/>
    <n v="0"/>
    <n v="360"/>
    <n v="735"/>
    <s v="GasA"/>
    <s v="Ex"/>
    <s v="Y"/>
    <s v="SBrkr"/>
    <n v="869"/>
    <n v="349"/>
    <n v="0"/>
    <x v="399"/>
    <n v="0"/>
    <n v="1"/>
    <n v="1"/>
    <n v="0"/>
    <n v="3"/>
    <n v="1"/>
    <s v="TA"/>
    <n v="6"/>
    <s v="Typ"/>
    <n v="1"/>
    <s v="Gd"/>
    <s v="Detchd"/>
    <n v="2003"/>
    <s v="Unf"/>
    <n v="2"/>
    <n v="440"/>
    <s v="TA"/>
    <s v="TA"/>
    <s v="Y"/>
    <n v="0"/>
    <n v="0"/>
    <n v="0"/>
    <n v="0"/>
    <n v="0"/>
    <n v="0"/>
    <s v="NA"/>
    <s v="NA"/>
    <s v="NA"/>
    <n v="0"/>
    <n v="3"/>
    <n v="2007"/>
    <s v="WD"/>
    <s v="Normal"/>
    <n v="131000"/>
  </r>
  <r>
    <n v="1391"/>
    <n v="20"/>
    <s v="RL"/>
    <n v="70"/>
    <n v="9100"/>
    <s v="Pave"/>
    <s v="NA"/>
    <s v="Reg"/>
    <s v="Lvl"/>
    <s v="AllPub"/>
    <s v="Inside"/>
    <s v="Gtl"/>
    <x v="0"/>
    <x v="0"/>
    <s v="Norm"/>
    <x v="0"/>
    <x v="1"/>
    <n v="7"/>
    <n v="5"/>
    <x v="4"/>
    <n v="2000"/>
    <s v="Gable"/>
    <s v="CompShg"/>
    <s v="VinylSd"/>
    <s v="VinylSd"/>
    <s v="BrkFace"/>
    <n v="244"/>
    <s v="Gd"/>
    <s v="TA"/>
    <s v="PConc"/>
    <s v="Gd"/>
    <s v="TA"/>
    <s v="Av"/>
    <s v="GLQ"/>
    <n v="1400"/>
    <s v="Unf"/>
    <n v="0"/>
    <n v="125"/>
    <n v="1525"/>
    <s v="GasA"/>
    <s v="Ex"/>
    <s v="Y"/>
    <s v="SBrkr"/>
    <n v="1525"/>
    <n v="0"/>
    <n v="0"/>
    <x v="166"/>
    <n v="1"/>
    <n v="0"/>
    <n v="2"/>
    <n v="0"/>
    <n v="3"/>
    <n v="1"/>
    <s v="Gd"/>
    <n v="6"/>
    <s v="Typ"/>
    <n v="0"/>
    <s v="NA"/>
    <s v="Attchd"/>
    <n v="2000"/>
    <s v="RFn"/>
    <n v="2"/>
    <n v="541"/>
    <s v="TA"/>
    <s v="TA"/>
    <s v="Y"/>
    <n v="219"/>
    <n v="36"/>
    <n v="0"/>
    <n v="0"/>
    <n v="0"/>
    <n v="0"/>
    <s v="NA"/>
    <s v="NA"/>
    <s v="NA"/>
    <n v="0"/>
    <n v="9"/>
    <n v="2006"/>
    <s v="WD"/>
    <s v="Normal"/>
    <n v="235000"/>
  </r>
  <r>
    <n v="1392"/>
    <n v="90"/>
    <s v="RL"/>
    <n v="65"/>
    <n v="8944"/>
    <s v="Pave"/>
    <s v="NA"/>
    <s v="Reg"/>
    <s v="Lvl"/>
    <s v="AllPub"/>
    <s v="Inside"/>
    <s v="Gtl"/>
    <x v="11"/>
    <x v="0"/>
    <s v="Norm"/>
    <x v="2"/>
    <x v="1"/>
    <n v="5"/>
    <n v="5"/>
    <x v="17"/>
    <n v="1967"/>
    <s v="Gable"/>
    <s v="CompShg"/>
    <s v="Plywood"/>
    <s v="Plywood"/>
    <s v="None"/>
    <n v="0"/>
    <s v="TA"/>
    <s v="TA"/>
    <s v="CBlock"/>
    <s v="TA"/>
    <s v="TA"/>
    <s v="No"/>
    <s v="Unf"/>
    <n v="0"/>
    <s v="Unf"/>
    <n v="0"/>
    <n v="1584"/>
    <n v="1584"/>
    <s v="GasA"/>
    <s v="TA"/>
    <s v="Y"/>
    <s v="SBrkr"/>
    <n v="1584"/>
    <n v="0"/>
    <n v="0"/>
    <x v="838"/>
    <n v="0"/>
    <n v="0"/>
    <n v="2"/>
    <n v="0"/>
    <n v="4"/>
    <n v="2"/>
    <s v="TA"/>
    <n v="8"/>
    <s v="Mod"/>
    <n v="0"/>
    <s v="NA"/>
    <s v="Detchd"/>
    <n v="1967"/>
    <s v="Unf"/>
    <n v="3"/>
    <n v="792"/>
    <s v="TA"/>
    <s v="TA"/>
    <s v="Y"/>
    <n v="0"/>
    <n v="152"/>
    <n v="0"/>
    <n v="0"/>
    <n v="0"/>
    <n v="0"/>
    <s v="NA"/>
    <s v="NA"/>
    <s v="NA"/>
    <n v="0"/>
    <n v="4"/>
    <n v="2009"/>
    <s v="WD"/>
    <s v="Normal"/>
    <n v="124000"/>
  </r>
  <r>
    <n v="1393"/>
    <n v="85"/>
    <s v="RL"/>
    <n v="68"/>
    <n v="7838"/>
    <s v="Pave"/>
    <s v="NA"/>
    <s v="Reg"/>
    <s v="Lvl"/>
    <s v="AllPub"/>
    <s v="Inside"/>
    <s v="Gtl"/>
    <x v="11"/>
    <x v="0"/>
    <s v="Norm"/>
    <x v="0"/>
    <x v="4"/>
    <n v="5"/>
    <n v="5"/>
    <x v="17"/>
    <n v="1967"/>
    <s v="Gable"/>
    <s v="CompShg"/>
    <s v="HdBoard"/>
    <s v="HdBoard"/>
    <s v="None"/>
    <n v="0"/>
    <s v="TA"/>
    <s v="TA"/>
    <s v="CBlock"/>
    <s v="TA"/>
    <s v="TA"/>
    <s v="Av"/>
    <s v="ALQ"/>
    <n v="769"/>
    <s v="Unf"/>
    <n v="0"/>
    <n v="95"/>
    <n v="864"/>
    <s v="GasA"/>
    <s v="TA"/>
    <s v="Y"/>
    <s v="SBrkr"/>
    <n v="900"/>
    <n v="0"/>
    <n v="0"/>
    <x v="25"/>
    <n v="1"/>
    <n v="0"/>
    <n v="1"/>
    <n v="0"/>
    <n v="3"/>
    <n v="1"/>
    <s v="TA"/>
    <n v="6"/>
    <s v="Typ"/>
    <n v="1"/>
    <s v="Po"/>
    <s v="Attchd"/>
    <n v="1967"/>
    <s v="RFn"/>
    <n v="1"/>
    <n v="288"/>
    <s v="TA"/>
    <s v="TA"/>
    <s v="Y"/>
    <n v="175"/>
    <n v="144"/>
    <n v="0"/>
    <n v="0"/>
    <n v="0"/>
    <n v="0"/>
    <s v="NA"/>
    <s v="MnWw"/>
    <s v="NA"/>
    <n v="0"/>
    <n v="12"/>
    <n v="2006"/>
    <s v="WD"/>
    <s v="Normal"/>
    <n v="123000"/>
  </r>
  <r>
    <n v="1394"/>
    <n v="190"/>
    <s v="RM"/>
    <n v="60"/>
    <n v="10800"/>
    <s v="Pave"/>
    <s v="Pave"/>
    <s v="Reg"/>
    <s v="Lvl"/>
    <s v="AllPub"/>
    <s v="Inside"/>
    <s v="Gtl"/>
    <x v="7"/>
    <x v="0"/>
    <s v="Norm"/>
    <x v="1"/>
    <x v="2"/>
    <n v="6"/>
    <n v="7"/>
    <x v="111"/>
    <n v="2000"/>
    <s v="Gable"/>
    <s v="CompShg"/>
    <s v="Wd Sdng"/>
    <s v="Wd Sdng"/>
    <s v="None"/>
    <n v="0"/>
    <s v="TA"/>
    <s v="TA"/>
    <s v="BrkTil"/>
    <s v="Fa"/>
    <s v="TA"/>
    <s v="No"/>
    <s v="Unf"/>
    <n v="0"/>
    <s v="Unf"/>
    <n v="0"/>
    <n v="482"/>
    <n v="482"/>
    <s v="GasA"/>
    <s v="Ex"/>
    <s v="N"/>
    <s v="SBrkr"/>
    <n v="1221"/>
    <n v="691"/>
    <n v="0"/>
    <x v="839"/>
    <n v="0"/>
    <n v="0"/>
    <n v="2"/>
    <n v="0"/>
    <n v="3"/>
    <n v="2"/>
    <s v="TA"/>
    <n v="7"/>
    <s v="Typ"/>
    <n v="1"/>
    <s v="TA"/>
    <s v="Detchd"/>
    <n v="2003"/>
    <s v="Unf"/>
    <n v="2"/>
    <n v="672"/>
    <s v="Gd"/>
    <s v="TA"/>
    <s v="Y"/>
    <n v="0"/>
    <n v="25"/>
    <n v="212"/>
    <n v="0"/>
    <n v="0"/>
    <n v="0"/>
    <s v="NA"/>
    <s v="NA"/>
    <s v="NA"/>
    <n v="0"/>
    <n v="4"/>
    <n v="2008"/>
    <s v="WD"/>
    <s v="Normal"/>
    <n v="163000"/>
  </r>
  <r>
    <n v="1395"/>
    <n v="120"/>
    <s v="RL"/>
    <n v="53"/>
    <n v="4045"/>
    <s v="Pave"/>
    <s v="NA"/>
    <s v="Reg"/>
    <s v="Lvl"/>
    <s v="AllPub"/>
    <s v="Inside"/>
    <s v="Gtl"/>
    <x v="21"/>
    <x v="0"/>
    <s v="Norm"/>
    <x v="3"/>
    <x v="1"/>
    <n v="7"/>
    <n v="5"/>
    <x v="13"/>
    <n v="2006"/>
    <s v="Hip"/>
    <s v="CompShg"/>
    <s v="VinylSd"/>
    <s v="VinylSd"/>
    <s v="BrkFace"/>
    <n v="45"/>
    <s v="Gd"/>
    <s v="TA"/>
    <s v="PConc"/>
    <s v="Gd"/>
    <s v="TA"/>
    <s v="Av"/>
    <s v="GLQ"/>
    <n v="1070"/>
    <s v="Unf"/>
    <n v="0"/>
    <n v="286"/>
    <n v="1356"/>
    <s v="GasA"/>
    <s v="Ex"/>
    <s v="Y"/>
    <s v="SBrkr"/>
    <n v="1500"/>
    <n v="0"/>
    <n v="0"/>
    <x v="653"/>
    <n v="1"/>
    <n v="0"/>
    <n v="2"/>
    <n v="0"/>
    <n v="2"/>
    <n v="1"/>
    <s v="Gd"/>
    <n v="6"/>
    <s v="Typ"/>
    <n v="1"/>
    <s v="Gd"/>
    <s v="Attchd"/>
    <n v="2006"/>
    <s v="Fin"/>
    <n v="3"/>
    <n v="648"/>
    <s v="TA"/>
    <s v="TA"/>
    <s v="Y"/>
    <n v="161"/>
    <n v="20"/>
    <n v="0"/>
    <n v="0"/>
    <n v="0"/>
    <n v="0"/>
    <s v="NA"/>
    <s v="NA"/>
    <s v="NA"/>
    <n v="0"/>
    <n v="10"/>
    <n v="2006"/>
    <s v="New"/>
    <s v="Partial"/>
    <n v="246578"/>
  </r>
  <r>
    <n v="1396"/>
    <n v="60"/>
    <s v="RL"/>
    <n v="88"/>
    <n v="12665"/>
    <s v="Pave"/>
    <s v="NA"/>
    <s v="IR1"/>
    <s v="Lvl"/>
    <s v="AllPub"/>
    <s v="Inside"/>
    <s v="Gtl"/>
    <x v="16"/>
    <x v="0"/>
    <s v="Norm"/>
    <x v="0"/>
    <x v="0"/>
    <n v="8"/>
    <n v="5"/>
    <x v="11"/>
    <n v="2006"/>
    <s v="Hip"/>
    <s v="CompShg"/>
    <s v="VinylSd"/>
    <s v="VinylSd"/>
    <s v="BrkFace"/>
    <n v="245"/>
    <s v="Gd"/>
    <s v="TA"/>
    <s v="PConc"/>
    <s v="Gd"/>
    <s v="Gd"/>
    <s v="Gd"/>
    <s v="Unf"/>
    <n v="0"/>
    <s v="Unf"/>
    <n v="0"/>
    <n v="1094"/>
    <n v="1094"/>
    <s v="GasA"/>
    <s v="Ex"/>
    <s v="Y"/>
    <s v="SBrkr"/>
    <n v="1133"/>
    <n v="1349"/>
    <n v="0"/>
    <x v="840"/>
    <n v="0"/>
    <n v="0"/>
    <n v="2"/>
    <n v="1"/>
    <n v="4"/>
    <n v="1"/>
    <s v="Gd"/>
    <n v="9"/>
    <s v="Typ"/>
    <n v="1"/>
    <s v="Gd"/>
    <s v="BuiltIn"/>
    <n v="2005"/>
    <s v="Fin"/>
    <n v="3"/>
    <n v="642"/>
    <s v="TA"/>
    <s v="TA"/>
    <s v="Y"/>
    <n v="144"/>
    <n v="39"/>
    <n v="0"/>
    <n v="0"/>
    <n v="0"/>
    <n v="0"/>
    <s v="NA"/>
    <s v="NA"/>
    <s v="NA"/>
    <n v="0"/>
    <n v="2"/>
    <n v="2007"/>
    <s v="WD"/>
    <s v="Normal"/>
    <n v="281213"/>
  </r>
  <r>
    <n v="1397"/>
    <n v="20"/>
    <s v="RL"/>
    <s v="NA"/>
    <n v="57200"/>
    <s v="Pave"/>
    <s v="NA"/>
    <s v="IR1"/>
    <s v="Bnk"/>
    <s v="AllPub"/>
    <s v="Inside"/>
    <s v="Sev"/>
    <x v="16"/>
    <x v="0"/>
    <s v="Norm"/>
    <x v="0"/>
    <x v="1"/>
    <n v="5"/>
    <n v="5"/>
    <x v="47"/>
    <n v="1950"/>
    <s v="Gable"/>
    <s v="CompShg"/>
    <s v="Wd Sdng"/>
    <s v="Wd Sdng"/>
    <s v="None"/>
    <n v="0"/>
    <s v="TA"/>
    <s v="TA"/>
    <s v="CBlock"/>
    <s v="TA"/>
    <s v="TA"/>
    <s v="Av"/>
    <s v="BLQ"/>
    <n v="353"/>
    <s v="Rec"/>
    <n v="334"/>
    <n v="60"/>
    <n v="747"/>
    <s v="GasA"/>
    <s v="TA"/>
    <s v="Y"/>
    <s v="SBrkr"/>
    <n v="1687"/>
    <n v="0"/>
    <n v="0"/>
    <x v="841"/>
    <n v="1"/>
    <n v="0"/>
    <n v="1"/>
    <n v="0"/>
    <n v="3"/>
    <n v="1"/>
    <s v="TA"/>
    <n v="7"/>
    <s v="Min1"/>
    <n v="2"/>
    <s v="TA"/>
    <s v="Detchd"/>
    <n v="1966"/>
    <s v="Unf"/>
    <n v="2"/>
    <n v="572"/>
    <s v="TA"/>
    <s v="TA"/>
    <s v="N"/>
    <n v="0"/>
    <n v="0"/>
    <n v="50"/>
    <n v="0"/>
    <n v="0"/>
    <n v="0"/>
    <s v="NA"/>
    <s v="NA"/>
    <s v="NA"/>
    <n v="0"/>
    <n v="6"/>
    <n v="2010"/>
    <s v="WD"/>
    <s v="Normal"/>
    <n v="160000"/>
  </r>
  <r>
    <n v="1398"/>
    <n v="70"/>
    <s v="RM"/>
    <n v="51"/>
    <n v="6120"/>
    <s v="Pave"/>
    <s v="NA"/>
    <s v="Reg"/>
    <s v="Lvl"/>
    <s v="AllPub"/>
    <s v="Inside"/>
    <s v="Gtl"/>
    <x v="8"/>
    <x v="0"/>
    <s v="Norm"/>
    <x v="0"/>
    <x v="0"/>
    <n v="5"/>
    <n v="8"/>
    <x v="26"/>
    <n v="2004"/>
    <s v="Gable"/>
    <s v="CompShg"/>
    <s v="MetalSd"/>
    <s v="MetalSd"/>
    <s v="None"/>
    <n v="0"/>
    <s v="TA"/>
    <s v="TA"/>
    <s v="BrkTil"/>
    <s v="TA"/>
    <s v="TA"/>
    <s v="Mn"/>
    <s v="Unf"/>
    <n v="0"/>
    <s v="Unf"/>
    <n v="0"/>
    <n v="939"/>
    <n v="939"/>
    <s v="GasA"/>
    <s v="Ex"/>
    <s v="Y"/>
    <s v="SBrkr"/>
    <n v="939"/>
    <n v="574"/>
    <n v="0"/>
    <x v="842"/>
    <n v="0"/>
    <n v="0"/>
    <n v="1"/>
    <n v="1"/>
    <n v="4"/>
    <n v="1"/>
    <s v="TA"/>
    <n v="8"/>
    <s v="Typ"/>
    <n v="0"/>
    <s v="NA"/>
    <s v="Detchd"/>
    <n v="1933"/>
    <s v="Unf"/>
    <n v="1"/>
    <n v="180"/>
    <s v="Fa"/>
    <s v="Fa"/>
    <s v="N"/>
    <n v="24"/>
    <n v="0"/>
    <n v="150"/>
    <n v="0"/>
    <n v="0"/>
    <n v="0"/>
    <s v="NA"/>
    <s v="NA"/>
    <s v="NA"/>
    <n v="0"/>
    <n v="5"/>
    <n v="2007"/>
    <s v="WD"/>
    <s v="Normal"/>
    <n v="137500"/>
  </r>
  <r>
    <n v="1399"/>
    <n v="50"/>
    <s v="RL"/>
    <n v="60"/>
    <n v="7200"/>
    <s v="Pave"/>
    <s v="NA"/>
    <s v="Reg"/>
    <s v="Lvl"/>
    <s v="AllPub"/>
    <s v="Inside"/>
    <s v="Gtl"/>
    <x v="11"/>
    <x v="0"/>
    <s v="Norm"/>
    <x v="0"/>
    <x v="2"/>
    <n v="5"/>
    <n v="4"/>
    <x v="52"/>
    <n v="1982"/>
    <s v="Gable"/>
    <s v="CompShg"/>
    <s v="VinylSd"/>
    <s v="Wd Sdng"/>
    <s v="None"/>
    <n v="0"/>
    <s v="TA"/>
    <s v="TA"/>
    <s v="CBlock"/>
    <s v="TA"/>
    <s v="TA"/>
    <s v="No"/>
    <s v="Rec"/>
    <n v="180"/>
    <s v="BLQ"/>
    <n v="352"/>
    <n v="676"/>
    <n v="1208"/>
    <s v="GasA"/>
    <s v="Gd"/>
    <s v="Y"/>
    <s v="FuseA"/>
    <n v="1136"/>
    <n v="768"/>
    <n v="0"/>
    <x v="466"/>
    <n v="1"/>
    <n v="0"/>
    <n v="1"/>
    <n v="1"/>
    <n v="3"/>
    <n v="1"/>
    <s v="TA"/>
    <n v="7"/>
    <s v="Min1"/>
    <n v="0"/>
    <s v="NA"/>
    <s v="Attchd"/>
    <n v="1950"/>
    <s v="Unf"/>
    <n v="1"/>
    <n v="240"/>
    <s v="TA"/>
    <s v="TA"/>
    <s v="Y"/>
    <n v="0"/>
    <n v="0"/>
    <n v="168"/>
    <n v="0"/>
    <n v="0"/>
    <n v="0"/>
    <s v="NA"/>
    <s v="GdPrv"/>
    <s v="NA"/>
    <n v="0"/>
    <n v="5"/>
    <n v="2009"/>
    <s v="WD"/>
    <s v="Normal"/>
    <n v="138000"/>
  </r>
  <r>
    <n v="1400"/>
    <n v="50"/>
    <s v="RL"/>
    <n v="51"/>
    <n v="6171"/>
    <s v="Pave"/>
    <s v="NA"/>
    <s v="Reg"/>
    <s v="Lvl"/>
    <s v="AllPub"/>
    <s v="Inside"/>
    <s v="Gtl"/>
    <x v="23"/>
    <x v="0"/>
    <s v="Norm"/>
    <x v="0"/>
    <x v="2"/>
    <n v="6"/>
    <n v="6"/>
    <x v="82"/>
    <n v="1990"/>
    <s v="Gable"/>
    <s v="CompShg"/>
    <s v="WdShing"/>
    <s v="Wd Shng"/>
    <s v="None"/>
    <n v="0"/>
    <s v="TA"/>
    <s v="TA"/>
    <s v="BrkTil"/>
    <s v="TA"/>
    <s v="TA"/>
    <s v="No"/>
    <s v="BLQ"/>
    <n v="264"/>
    <s v="Unf"/>
    <n v="0"/>
    <n v="712"/>
    <n v="976"/>
    <s v="GasA"/>
    <s v="Ex"/>
    <s v="Y"/>
    <s v="SBrkr"/>
    <n v="1160"/>
    <n v="448"/>
    <n v="0"/>
    <x v="843"/>
    <n v="0"/>
    <n v="0"/>
    <n v="2"/>
    <n v="1"/>
    <n v="3"/>
    <n v="1"/>
    <s v="Gd"/>
    <n v="7"/>
    <s v="Typ"/>
    <n v="1"/>
    <s v="Gd"/>
    <s v="Detchd"/>
    <n v="1925"/>
    <s v="Unf"/>
    <n v="1"/>
    <n v="216"/>
    <s v="Fa"/>
    <s v="TA"/>
    <s v="Y"/>
    <n v="147"/>
    <n v="16"/>
    <n v="0"/>
    <n v="0"/>
    <n v="0"/>
    <n v="0"/>
    <s v="NA"/>
    <s v="MnPrv"/>
    <s v="NA"/>
    <n v="0"/>
    <n v="10"/>
    <n v="2009"/>
    <s v="WD"/>
    <s v="Normal"/>
    <n v="137450"/>
  </r>
  <r>
    <n v="1401"/>
    <n v="50"/>
    <s v="RM"/>
    <n v="50"/>
    <n v="6000"/>
    <s v="Pave"/>
    <s v="NA"/>
    <s v="Reg"/>
    <s v="Lvl"/>
    <s v="AllPub"/>
    <s v="Corner"/>
    <s v="Gtl"/>
    <x v="8"/>
    <x v="0"/>
    <s v="Norm"/>
    <x v="0"/>
    <x v="2"/>
    <n v="6"/>
    <n v="7"/>
    <x v="15"/>
    <n v="1950"/>
    <s v="Gable"/>
    <s v="CompShg"/>
    <s v="WdShing"/>
    <s v="Wd Shng"/>
    <s v="None"/>
    <n v="0"/>
    <s v="TA"/>
    <s v="TA"/>
    <s v="BrkTil"/>
    <s v="TA"/>
    <s v="TA"/>
    <s v="No"/>
    <s v="Unf"/>
    <n v="0"/>
    <s v="Unf"/>
    <n v="0"/>
    <n v="862"/>
    <n v="862"/>
    <s v="GasA"/>
    <s v="TA"/>
    <s v="Y"/>
    <s v="SBrkr"/>
    <n v="950"/>
    <n v="208"/>
    <n v="0"/>
    <x v="58"/>
    <n v="0"/>
    <n v="0"/>
    <n v="1"/>
    <n v="0"/>
    <n v="3"/>
    <n v="1"/>
    <s v="TA"/>
    <n v="5"/>
    <s v="Typ"/>
    <n v="1"/>
    <s v="Gd"/>
    <s v="BuiltIn"/>
    <n v="1929"/>
    <s v="RFn"/>
    <n v="1"/>
    <n v="208"/>
    <s v="TA"/>
    <s v="TA"/>
    <s v="Y"/>
    <n v="0"/>
    <n v="0"/>
    <n v="112"/>
    <n v="0"/>
    <n v="0"/>
    <n v="0"/>
    <s v="NA"/>
    <s v="NA"/>
    <s v="NA"/>
    <n v="0"/>
    <n v="7"/>
    <n v="2008"/>
    <s v="WD"/>
    <s v="Normal"/>
    <n v="120000"/>
  </r>
  <r>
    <n v="1402"/>
    <n v="60"/>
    <s v="RL"/>
    <n v="62"/>
    <n v="7415"/>
    <s v="Pave"/>
    <s v="NA"/>
    <s v="IR1"/>
    <s v="Lvl"/>
    <s v="AllPub"/>
    <s v="Inside"/>
    <s v="Gtl"/>
    <x v="17"/>
    <x v="0"/>
    <s v="Norm"/>
    <x v="0"/>
    <x v="0"/>
    <n v="6"/>
    <n v="5"/>
    <x v="6"/>
    <n v="2004"/>
    <s v="Gable"/>
    <s v="CompShg"/>
    <s v="VinylSd"/>
    <s v="VinylSd"/>
    <s v="None"/>
    <n v="0"/>
    <s v="TA"/>
    <s v="TA"/>
    <s v="PConc"/>
    <s v="TA"/>
    <s v="TA"/>
    <s v="No"/>
    <s v="GLQ"/>
    <n v="759"/>
    <s v="Unf"/>
    <n v="0"/>
    <n v="80"/>
    <n v="839"/>
    <s v="GasA"/>
    <s v="Ex"/>
    <s v="Y"/>
    <s v="SBrkr"/>
    <n v="864"/>
    <n v="729"/>
    <n v="0"/>
    <x v="172"/>
    <n v="1"/>
    <n v="0"/>
    <n v="2"/>
    <n v="1"/>
    <n v="3"/>
    <n v="1"/>
    <s v="TA"/>
    <n v="8"/>
    <s v="Typ"/>
    <n v="1"/>
    <s v="TA"/>
    <s v="Attchd"/>
    <n v="2004"/>
    <s v="Fin"/>
    <n v="2"/>
    <n v="398"/>
    <s v="TA"/>
    <s v="TA"/>
    <s v="Y"/>
    <n v="100"/>
    <n v="75"/>
    <n v="0"/>
    <n v="0"/>
    <n v="0"/>
    <n v="0"/>
    <s v="NA"/>
    <s v="NA"/>
    <s v="NA"/>
    <n v="0"/>
    <n v="4"/>
    <n v="2008"/>
    <s v="WD"/>
    <s v="Normal"/>
    <n v="193000"/>
  </r>
  <r>
    <n v="1403"/>
    <n v="20"/>
    <s v="RL"/>
    <n v="64"/>
    <n v="6762"/>
    <s v="Pave"/>
    <s v="NA"/>
    <s v="Reg"/>
    <s v="Lvl"/>
    <s v="AllPub"/>
    <s v="Inside"/>
    <s v="Gtl"/>
    <x v="0"/>
    <x v="0"/>
    <s v="Norm"/>
    <x v="0"/>
    <x v="1"/>
    <n v="7"/>
    <n v="5"/>
    <x v="13"/>
    <n v="2006"/>
    <s v="Gable"/>
    <s v="CompShg"/>
    <s v="VinylSd"/>
    <s v="VinylSd"/>
    <s v="None"/>
    <n v="0"/>
    <s v="Gd"/>
    <s v="TA"/>
    <s v="PConc"/>
    <s v="Gd"/>
    <s v="Gd"/>
    <s v="Av"/>
    <s v="Unf"/>
    <n v="0"/>
    <s v="Unf"/>
    <n v="0"/>
    <n v="1286"/>
    <n v="1286"/>
    <s v="GasA"/>
    <s v="Ex"/>
    <s v="Y"/>
    <s v="SBrkr"/>
    <n v="1294"/>
    <n v="0"/>
    <n v="0"/>
    <x v="411"/>
    <n v="0"/>
    <n v="0"/>
    <n v="2"/>
    <n v="0"/>
    <n v="2"/>
    <n v="1"/>
    <s v="Gd"/>
    <n v="6"/>
    <s v="Typ"/>
    <n v="1"/>
    <s v="Gd"/>
    <s v="Attchd"/>
    <n v="2006"/>
    <s v="RFn"/>
    <n v="2"/>
    <n v="662"/>
    <s v="TA"/>
    <s v="TA"/>
    <s v="Y"/>
    <n v="168"/>
    <n v="55"/>
    <n v="0"/>
    <n v="0"/>
    <n v="0"/>
    <n v="0"/>
    <s v="NA"/>
    <s v="NA"/>
    <s v="NA"/>
    <n v="0"/>
    <n v="7"/>
    <n v="2006"/>
    <s v="New"/>
    <s v="Partial"/>
    <n v="193879"/>
  </r>
  <r>
    <n v="1404"/>
    <n v="20"/>
    <s v="RL"/>
    <n v="49"/>
    <n v="15256"/>
    <s v="Pave"/>
    <s v="NA"/>
    <s v="IR1"/>
    <s v="Lvl"/>
    <s v="AllPub"/>
    <s v="CulDSac"/>
    <s v="Gtl"/>
    <x v="5"/>
    <x v="6"/>
    <s v="Norm"/>
    <x v="0"/>
    <x v="1"/>
    <n v="8"/>
    <n v="5"/>
    <x v="22"/>
    <n v="2007"/>
    <s v="Gable"/>
    <s v="CompShg"/>
    <s v="VinylSd"/>
    <s v="VinylSd"/>
    <s v="Stone"/>
    <n v="84"/>
    <s v="Gd"/>
    <s v="TA"/>
    <s v="PConc"/>
    <s v="Gd"/>
    <s v="TA"/>
    <s v="Gd"/>
    <s v="GLQ"/>
    <n v="929"/>
    <s v="Unf"/>
    <n v="0"/>
    <n v="556"/>
    <n v="1485"/>
    <s v="GasA"/>
    <s v="Ex"/>
    <s v="Y"/>
    <s v="SBrkr"/>
    <n v="1464"/>
    <n v="0"/>
    <n v="0"/>
    <x v="545"/>
    <n v="1"/>
    <n v="0"/>
    <n v="2"/>
    <n v="0"/>
    <n v="3"/>
    <n v="1"/>
    <s v="Gd"/>
    <n v="6"/>
    <s v="Typ"/>
    <n v="0"/>
    <s v="NA"/>
    <s v="Attchd"/>
    <n v="2007"/>
    <s v="Unf"/>
    <n v="3"/>
    <n v="754"/>
    <s v="TA"/>
    <s v="TA"/>
    <s v="Y"/>
    <n v="168"/>
    <n v="160"/>
    <n v="0"/>
    <n v="0"/>
    <n v="0"/>
    <n v="0"/>
    <s v="NA"/>
    <s v="NA"/>
    <s v="NA"/>
    <n v="0"/>
    <n v="8"/>
    <n v="2007"/>
    <s v="WD"/>
    <s v="Normal"/>
    <n v="282922"/>
  </r>
  <r>
    <n v="1405"/>
    <n v="50"/>
    <s v="RL"/>
    <n v="60"/>
    <n v="10410"/>
    <s v="Pave"/>
    <s v="Grvl"/>
    <s v="Reg"/>
    <s v="Lvl"/>
    <s v="AllPub"/>
    <s v="Corner"/>
    <s v="Gtl"/>
    <x v="7"/>
    <x v="3"/>
    <s v="Norm"/>
    <x v="0"/>
    <x v="2"/>
    <n v="3"/>
    <n v="4"/>
    <x v="3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72"/>
    <n v="672"/>
    <s v="GasA"/>
    <s v="TA"/>
    <s v="Y"/>
    <s v="SBrkr"/>
    <n v="694"/>
    <n v="520"/>
    <n v="0"/>
    <x v="128"/>
    <n v="0"/>
    <n v="0"/>
    <n v="1"/>
    <n v="0"/>
    <n v="3"/>
    <n v="1"/>
    <s v="TA"/>
    <n v="6"/>
    <s v="Typ"/>
    <n v="0"/>
    <s v="NA"/>
    <s v="Detchd"/>
    <n v="1998"/>
    <s v="Unf"/>
    <n v="3"/>
    <n v="936"/>
    <s v="TA"/>
    <s v="TA"/>
    <s v="Y"/>
    <n v="216"/>
    <n v="0"/>
    <n v="160"/>
    <n v="0"/>
    <n v="0"/>
    <n v="0"/>
    <s v="NA"/>
    <s v="MnPrv"/>
    <s v="NA"/>
    <n v="0"/>
    <n v="1"/>
    <n v="2006"/>
    <s v="WD"/>
    <s v="Family"/>
    <n v="105000"/>
  </r>
  <r>
    <n v="1406"/>
    <n v="120"/>
    <s v="RM"/>
    <n v="44"/>
    <n v="3842"/>
    <s v="Pave"/>
    <s v="NA"/>
    <s v="IR1"/>
    <s v="HLS"/>
    <s v="AllPub"/>
    <s v="Inside"/>
    <s v="Mod"/>
    <x v="2"/>
    <x v="0"/>
    <s v="Norm"/>
    <x v="3"/>
    <x v="1"/>
    <n v="8"/>
    <n v="5"/>
    <x v="6"/>
    <n v="2005"/>
    <s v="Hip"/>
    <s v="CompShg"/>
    <s v="CemntBd"/>
    <s v="CmentBd"/>
    <s v="Stone"/>
    <n v="174"/>
    <s v="Gd"/>
    <s v="TA"/>
    <s v="PConc"/>
    <s v="Ex"/>
    <s v="TA"/>
    <s v="Gd"/>
    <s v="GLQ"/>
    <n v="1373"/>
    <s v="Unf"/>
    <n v="0"/>
    <n v="221"/>
    <n v="1594"/>
    <s v="GasA"/>
    <s v="Ex"/>
    <s v="Y"/>
    <s v="SBrkr"/>
    <n v="1646"/>
    <n v="0"/>
    <n v="0"/>
    <x v="607"/>
    <n v="1"/>
    <n v="1"/>
    <n v="2"/>
    <n v="0"/>
    <n v="2"/>
    <n v="1"/>
    <s v="Gd"/>
    <n v="5"/>
    <s v="Typ"/>
    <n v="1"/>
    <s v="Gd"/>
    <s v="Attchd"/>
    <n v="2004"/>
    <s v="Fin"/>
    <n v="2"/>
    <n v="482"/>
    <s v="TA"/>
    <s v="TA"/>
    <s v="Y"/>
    <n v="128"/>
    <n v="53"/>
    <n v="0"/>
    <n v="0"/>
    <n v="155"/>
    <n v="0"/>
    <s v="NA"/>
    <s v="NA"/>
    <s v="NA"/>
    <n v="0"/>
    <n v="1"/>
    <n v="2008"/>
    <s v="WD"/>
    <s v="Normal"/>
    <n v="275000"/>
  </r>
  <r>
    <n v="1407"/>
    <n v="85"/>
    <s v="RL"/>
    <n v="70"/>
    <n v="8445"/>
    <s v="Pave"/>
    <s v="NA"/>
    <s v="Reg"/>
    <s v="Lvl"/>
    <s v="AllPub"/>
    <s v="Corner"/>
    <s v="Gtl"/>
    <x v="0"/>
    <x v="0"/>
    <s v="Norm"/>
    <x v="0"/>
    <x v="4"/>
    <n v="5"/>
    <n v="7"/>
    <x v="41"/>
    <n v="2007"/>
    <s v="Gable"/>
    <s v="CompShg"/>
    <s v="HdBoard"/>
    <s v="Wd Shng"/>
    <s v="None"/>
    <n v="0"/>
    <s v="TA"/>
    <s v="TA"/>
    <s v="CBlock"/>
    <s v="Gd"/>
    <s v="TA"/>
    <s v="Av"/>
    <s v="GLQ"/>
    <n v="656"/>
    <s v="Unf"/>
    <n v="0"/>
    <n v="112"/>
    <n v="768"/>
    <s v="GasA"/>
    <s v="TA"/>
    <s v="Y"/>
    <s v="SBrkr"/>
    <n v="768"/>
    <n v="0"/>
    <n v="0"/>
    <x v="433"/>
    <n v="1"/>
    <n v="0"/>
    <n v="1"/>
    <n v="0"/>
    <n v="2"/>
    <n v="1"/>
    <s v="TA"/>
    <n v="5"/>
    <s v="Typ"/>
    <n v="0"/>
    <s v="NA"/>
    <s v="Detchd"/>
    <n v="1988"/>
    <s v="Unf"/>
    <n v="2"/>
    <n v="396"/>
    <s v="TA"/>
    <s v="TA"/>
    <s v="Y"/>
    <n v="58"/>
    <n v="0"/>
    <n v="0"/>
    <n v="0"/>
    <n v="0"/>
    <n v="0"/>
    <s v="NA"/>
    <s v="MnPrv"/>
    <s v="NA"/>
    <n v="0"/>
    <n v="3"/>
    <n v="2009"/>
    <s v="WD"/>
    <s v="Normal"/>
    <n v="133000"/>
  </r>
  <r>
    <n v="1408"/>
    <n v="20"/>
    <s v="RL"/>
    <s v="NA"/>
    <n v="8780"/>
    <s v="Pave"/>
    <s v="NA"/>
    <s v="IR1"/>
    <s v="Lvl"/>
    <s v="AllPub"/>
    <s v="Corner"/>
    <s v="Gtl"/>
    <x v="4"/>
    <x v="0"/>
    <s v="Norm"/>
    <x v="0"/>
    <x v="1"/>
    <n v="5"/>
    <n v="5"/>
    <x v="55"/>
    <n v="1985"/>
    <s v="Gable"/>
    <s v="CompShg"/>
    <s v="HdBoard"/>
    <s v="Plywood"/>
    <s v="None"/>
    <n v="0"/>
    <s v="TA"/>
    <s v="TA"/>
    <s v="CBlock"/>
    <s v="TA"/>
    <s v="TA"/>
    <s v="No"/>
    <s v="ALQ"/>
    <n v="625"/>
    <s v="Unf"/>
    <n v="0"/>
    <n v="208"/>
    <n v="833"/>
    <s v="GasA"/>
    <s v="Ex"/>
    <s v="Y"/>
    <s v="SBrkr"/>
    <n v="833"/>
    <n v="0"/>
    <n v="0"/>
    <x v="725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MnPrv"/>
    <s v="NA"/>
    <n v="0"/>
    <n v="3"/>
    <n v="2009"/>
    <s v="WD"/>
    <s v="Normal"/>
    <n v="112000"/>
  </r>
  <r>
    <n v="1409"/>
    <n v="70"/>
    <s v="RM"/>
    <n v="60"/>
    <n v="7740"/>
    <s v="Pave"/>
    <s v="NA"/>
    <s v="Reg"/>
    <s v="Lvl"/>
    <s v="AllPub"/>
    <s v="Inside"/>
    <s v="Gtl"/>
    <x v="7"/>
    <x v="0"/>
    <s v="Norm"/>
    <x v="0"/>
    <x v="0"/>
    <n v="4"/>
    <n v="7"/>
    <x v="48"/>
    <n v="1950"/>
    <s v="Gable"/>
    <s v="CompShg"/>
    <s v="VinylSd"/>
    <s v="VinylSd"/>
    <s v="None"/>
    <n v="0"/>
    <s v="TA"/>
    <s v="TA"/>
    <s v="CBlock"/>
    <s v="Fa"/>
    <s v="TA"/>
    <s v="No"/>
    <s v="Unf"/>
    <n v="0"/>
    <s v="Unf"/>
    <n v="0"/>
    <n v="622"/>
    <n v="622"/>
    <s v="GasA"/>
    <s v="Gd"/>
    <s v="Y"/>
    <s v="SBrkr"/>
    <n v="741"/>
    <n v="622"/>
    <n v="0"/>
    <x v="233"/>
    <n v="0"/>
    <n v="0"/>
    <n v="1"/>
    <n v="0"/>
    <n v="3"/>
    <n v="1"/>
    <s v="TA"/>
    <n v="6"/>
    <s v="Typ"/>
    <n v="0"/>
    <s v="NA"/>
    <s v="Detchd"/>
    <n v="1966"/>
    <s v="Unf"/>
    <n v="2"/>
    <n v="528"/>
    <s v="TA"/>
    <s v="TA"/>
    <s v="Y"/>
    <n v="0"/>
    <n v="0"/>
    <n v="0"/>
    <n v="0"/>
    <n v="168"/>
    <n v="0"/>
    <s v="NA"/>
    <s v="NA"/>
    <s v="NA"/>
    <n v="0"/>
    <n v="6"/>
    <n v="2010"/>
    <s v="WD"/>
    <s v="Normal"/>
    <n v="125500"/>
  </r>
  <r>
    <n v="1410"/>
    <n v="60"/>
    <s v="RL"/>
    <n v="46"/>
    <n v="20544"/>
    <s v="Pave"/>
    <s v="NA"/>
    <s v="IR1"/>
    <s v="Lvl"/>
    <s v="AllPub"/>
    <s v="CulDSac"/>
    <s v="Gtl"/>
    <x v="6"/>
    <x v="0"/>
    <s v="Norm"/>
    <x v="0"/>
    <x v="0"/>
    <n v="7"/>
    <n v="6"/>
    <x v="73"/>
    <n v="1991"/>
    <s v="Gable"/>
    <s v="CompShg"/>
    <s v="Plywood"/>
    <s v="Plywood"/>
    <s v="BrkFace"/>
    <n v="123"/>
    <s v="TA"/>
    <s v="Gd"/>
    <s v="CBlock"/>
    <s v="Gd"/>
    <s v="TA"/>
    <s v="No"/>
    <s v="Unf"/>
    <n v="0"/>
    <s v="Unf"/>
    <n v="0"/>
    <n v="791"/>
    <n v="791"/>
    <s v="GasA"/>
    <s v="Gd"/>
    <s v="Y"/>
    <s v="SBrkr"/>
    <n v="1236"/>
    <n v="857"/>
    <n v="0"/>
    <x v="844"/>
    <n v="0"/>
    <n v="0"/>
    <n v="2"/>
    <n v="1"/>
    <n v="3"/>
    <n v="1"/>
    <s v="TA"/>
    <n v="7"/>
    <s v="Typ"/>
    <n v="1"/>
    <s v="TA"/>
    <s v="Attchd"/>
    <n v="1986"/>
    <s v="Fin"/>
    <n v="2"/>
    <n v="542"/>
    <s v="TA"/>
    <s v="TA"/>
    <s v="Y"/>
    <n v="364"/>
    <n v="63"/>
    <n v="0"/>
    <n v="0"/>
    <n v="0"/>
    <n v="0"/>
    <s v="NA"/>
    <s v="MnPrv"/>
    <s v="NA"/>
    <n v="0"/>
    <n v="11"/>
    <n v="2008"/>
    <s v="WD"/>
    <s v="Normal"/>
    <n v="215000"/>
  </r>
  <r>
    <n v="1411"/>
    <n v="60"/>
    <s v="RL"/>
    <n v="79"/>
    <n v="12420"/>
    <s v="Pave"/>
    <s v="NA"/>
    <s v="Reg"/>
    <s v="Lvl"/>
    <s v="AllPub"/>
    <s v="Inside"/>
    <s v="Gtl"/>
    <x v="0"/>
    <x v="0"/>
    <s v="Norm"/>
    <x v="0"/>
    <x v="0"/>
    <n v="7"/>
    <n v="5"/>
    <x v="2"/>
    <n v="2001"/>
    <s v="Gable"/>
    <s v="CompShg"/>
    <s v="VinylSd"/>
    <s v="VinylSd"/>
    <s v="None"/>
    <n v="0"/>
    <s v="Gd"/>
    <s v="TA"/>
    <s v="PConc"/>
    <s v="Gd"/>
    <s v="TA"/>
    <s v="No"/>
    <s v="GLQ"/>
    <n v="666"/>
    <s v="Unf"/>
    <n v="0"/>
    <n v="278"/>
    <n v="944"/>
    <s v="GasA"/>
    <s v="Ex"/>
    <s v="Y"/>
    <s v="SBrkr"/>
    <n v="944"/>
    <n v="896"/>
    <n v="0"/>
    <x v="845"/>
    <n v="1"/>
    <n v="0"/>
    <n v="2"/>
    <n v="1"/>
    <n v="3"/>
    <n v="1"/>
    <s v="Gd"/>
    <n v="6"/>
    <s v="Typ"/>
    <n v="0"/>
    <s v="NA"/>
    <s v="Attchd"/>
    <n v="2001"/>
    <s v="RFn"/>
    <n v="2"/>
    <n v="622"/>
    <s v="TA"/>
    <s v="TA"/>
    <s v="Y"/>
    <n v="0"/>
    <n v="45"/>
    <n v="0"/>
    <n v="0"/>
    <n v="0"/>
    <n v="0"/>
    <s v="NA"/>
    <s v="NA"/>
    <s v="NA"/>
    <n v="0"/>
    <n v="6"/>
    <n v="2009"/>
    <s v="WD"/>
    <s v="Normal"/>
    <n v="230000"/>
  </r>
  <r>
    <n v="1412"/>
    <n v="50"/>
    <s v="RL"/>
    <n v="80"/>
    <n v="9600"/>
    <s v="Pave"/>
    <s v="NA"/>
    <s v="Reg"/>
    <s v="Lvl"/>
    <s v="AllPub"/>
    <s v="Inside"/>
    <s v="Gtl"/>
    <x v="11"/>
    <x v="0"/>
    <s v="Norm"/>
    <x v="0"/>
    <x v="2"/>
    <n v="6"/>
    <n v="8"/>
    <x v="52"/>
    <n v="2005"/>
    <s v="Gable"/>
    <s v="CompShg"/>
    <s v="VinylSd"/>
    <s v="VinylSd"/>
    <s v="None"/>
    <n v="0"/>
    <s v="TA"/>
    <s v="Gd"/>
    <s v="CBlock"/>
    <s v="TA"/>
    <s v="TA"/>
    <s v="No"/>
    <s v="BLQ"/>
    <n v="120"/>
    <s v="Unf"/>
    <n v="0"/>
    <n v="736"/>
    <n v="856"/>
    <s v="GasA"/>
    <s v="Ex"/>
    <s v="Y"/>
    <s v="SBrkr"/>
    <n v="1112"/>
    <n v="556"/>
    <n v="0"/>
    <x v="216"/>
    <n v="0"/>
    <n v="0"/>
    <n v="1"/>
    <n v="1"/>
    <n v="3"/>
    <n v="1"/>
    <s v="TA"/>
    <n v="6"/>
    <s v="Min2"/>
    <n v="0"/>
    <s v="NA"/>
    <s v="Attchd"/>
    <n v="1950"/>
    <s v="Unf"/>
    <n v="1"/>
    <n v="271"/>
    <s v="TA"/>
    <s v="TA"/>
    <s v="Y"/>
    <n v="0"/>
    <n v="0"/>
    <n v="0"/>
    <n v="0"/>
    <n v="0"/>
    <n v="0"/>
    <s v="NA"/>
    <s v="MnPrv"/>
    <s v="NA"/>
    <n v="0"/>
    <n v="9"/>
    <n v="2009"/>
    <s v="WD"/>
    <s v="Normal"/>
    <n v="140000"/>
  </r>
  <r>
    <n v="1413"/>
    <n v="90"/>
    <s v="RL"/>
    <n v="60"/>
    <n v="7200"/>
    <s v="Pave"/>
    <s v="NA"/>
    <s v="Reg"/>
    <s v="Lvl"/>
    <s v="AllPub"/>
    <s v="Inside"/>
    <s v="Gtl"/>
    <x v="11"/>
    <x v="0"/>
    <s v="Norm"/>
    <x v="2"/>
    <x v="1"/>
    <n v="4"/>
    <n v="5"/>
    <x v="87"/>
    <n v="1950"/>
    <s v="Gable"/>
    <s v="CompShg"/>
    <s v="BrkFace"/>
    <s v="Stone"/>
    <s v="None"/>
    <n v="0"/>
    <s v="TA"/>
    <s v="TA"/>
    <s v="Slab"/>
    <s v="NA"/>
    <s v="NA"/>
    <s v="NA"/>
    <s v="NA"/>
    <n v="0"/>
    <s v="NA"/>
    <n v="0"/>
    <n v="0"/>
    <n v="0"/>
    <s v="Wall"/>
    <s v="Fa"/>
    <s v="N"/>
    <s v="FuseF"/>
    <n v="1040"/>
    <n v="0"/>
    <n v="0"/>
    <x v="10"/>
    <n v="0"/>
    <n v="0"/>
    <n v="2"/>
    <n v="0"/>
    <n v="2"/>
    <n v="2"/>
    <s v="TA"/>
    <n v="6"/>
    <s v="Typ"/>
    <n v="0"/>
    <s v="NA"/>
    <s v="Detchd"/>
    <n v="1956"/>
    <s v="Unf"/>
    <n v="2"/>
    <n v="420"/>
    <s v="TA"/>
    <s v="TA"/>
    <s v="Y"/>
    <n v="0"/>
    <n v="0"/>
    <n v="0"/>
    <n v="0"/>
    <n v="0"/>
    <n v="0"/>
    <s v="NA"/>
    <s v="NA"/>
    <s v="NA"/>
    <n v="0"/>
    <n v="6"/>
    <n v="2009"/>
    <s v="WD"/>
    <s v="Normal"/>
    <n v="90000"/>
  </r>
  <r>
    <n v="1414"/>
    <n v="20"/>
    <s v="RL"/>
    <n v="88"/>
    <n v="10994"/>
    <s v="Pave"/>
    <s v="NA"/>
    <s v="IR1"/>
    <s v="Lvl"/>
    <s v="AllPub"/>
    <s v="Corner"/>
    <s v="Gtl"/>
    <x v="12"/>
    <x v="0"/>
    <s v="Norm"/>
    <x v="0"/>
    <x v="1"/>
    <n v="8"/>
    <n v="5"/>
    <x v="11"/>
    <n v="2006"/>
    <s v="Gable"/>
    <s v="CompShg"/>
    <s v="VinylSd"/>
    <s v="VinylSd"/>
    <s v="Stone"/>
    <n v="366"/>
    <s v="Gd"/>
    <s v="TA"/>
    <s v="PConc"/>
    <s v="Gd"/>
    <s v="Gd"/>
    <s v="No"/>
    <s v="GLQ"/>
    <n v="976"/>
    <s v="Unf"/>
    <n v="0"/>
    <n v="868"/>
    <n v="1844"/>
    <s v="GasA"/>
    <s v="Ex"/>
    <s v="Y"/>
    <s v="SBrkr"/>
    <n v="1844"/>
    <n v="0"/>
    <n v="0"/>
    <x v="103"/>
    <n v="1"/>
    <n v="0"/>
    <n v="2"/>
    <n v="0"/>
    <n v="2"/>
    <n v="1"/>
    <s v="Gd"/>
    <n v="7"/>
    <s v="Typ"/>
    <n v="1"/>
    <s v="Gd"/>
    <s v="Attchd"/>
    <n v="2005"/>
    <s v="Fin"/>
    <n v="2"/>
    <n v="620"/>
    <s v="TA"/>
    <s v="TA"/>
    <s v="Y"/>
    <n v="165"/>
    <n v="44"/>
    <n v="0"/>
    <n v="0"/>
    <n v="0"/>
    <n v="0"/>
    <s v="NA"/>
    <s v="NA"/>
    <s v="NA"/>
    <n v="0"/>
    <n v="9"/>
    <n v="2009"/>
    <s v="COD"/>
    <s v="Abnorml"/>
    <n v="257000"/>
  </r>
  <r>
    <n v="1415"/>
    <n v="50"/>
    <s v="RL"/>
    <n v="64"/>
    <n v="13053"/>
    <s v="Pave"/>
    <s v="Pave"/>
    <s v="Reg"/>
    <s v="Bnk"/>
    <s v="AllPub"/>
    <s v="Inside"/>
    <s v="Gtl"/>
    <x v="8"/>
    <x v="0"/>
    <s v="Norm"/>
    <x v="0"/>
    <x v="2"/>
    <n v="6"/>
    <n v="7"/>
    <x v="66"/>
    <n v="2000"/>
    <s v="Gambrel"/>
    <s v="CompShg"/>
    <s v="Wd Sdng"/>
    <s v="Wd Sdng"/>
    <s v="None"/>
    <n v="0"/>
    <s v="TA"/>
    <s v="TA"/>
    <s v="BrkTil"/>
    <s v="TA"/>
    <s v="TA"/>
    <s v="No"/>
    <s v="Unf"/>
    <n v="0"/>
    <s v="Unf"/>
    <n v="0"/>
    <n v="833"/>
    <n v="833"/>
    <s v="GasA"/>
    <s v="Gd"/>
    <s v="Y"/>
    <s v="SBrkr"/>
    <n v="1053"/>
    <n v="795"/>
    <n v="0"/>
    <x v="846"/>
    <n v="0"/>
    <n v="0"/>
    <n v="1"/>
    <n v="1"/>
    <n v="4"/>
    <n v="1"/>
    <s v="Gd"/>
    <n v="8"/>
    <s v="Typ"/>
    <n v="1"/>
    <s v="Gd"/>
    <s v="Detchd"/>
    <n v="1922"/>
    <s v="Unf"/>
    <n v="2"/>
    <n v="370"/>
    <s v="TA"/>
    <s v="TA"/>
    <s v="N"/>
    <n v="0"/>
    <n v="0"/>
    <n v="0"/>
    <n v="0"/>
    <n v="220"/>
    <n v="0"/>
    <s v="NA"/>
    <s v="NA"/>
    <s v="NA"/>
    <n v="0"/>
    <n v="6"/>
    <n v="2008"/>
    <s v="WD"/>
    <s v="Normal"/>
    <n v="207000"/>
  </r>
  <r>
    <n v="1416"/>
    <n v="120"/>
    <s v="RL"/>
    <n v="51"/>
    <n v="3635"/>
    <s v="Pave"/>
    <s v="NA"/>
    <s v="Reg"/>
    <s v="Lvl"/>
    <s v="AllPub"/>
    <s v="Inside"/>
    <s v="Gtl"/>
    <x v="21"/>
    <x v="0"/>
    <s v="Norm"/>
    <x v="3"/>
    <x v="1"/>
    <n v="7"/>
    <n v="5"/>
    <x v="22"/>
    <n v="2007"/>
    <s v="Hip"/>
    <s v="CompShg"/>
    <s v="VinylSd"/>
    <s v="VinylSd"/>
    <s v="BrkFace"/>
    <n v="130"/>
    <s v="Gd"/>
    <s v="TA"/>
    <s v="PConc"/>
    <s v="Gd"/>
    <s v="TA"/>
    <s v="No"/>
    <s v="ALQ"/>
    <n v="988"/>
    <s v="Unf"/>
    <n v="0"/>
    <n v="398"/>
    <n v="1386"/>
    <s v="GasA"/>
    <s v="Ex"/>
    <s v="Y"/>
    <s v="SBrkr"/>
    <n v="1569"/>
    <n v="0"/>
    <n v="0"/>
    <x v="847"/>
    <n v="0"/>
    <n v="1"/>
    <n v="2"/>
    <n v="0"/>
    <n v="1"/>
    <n v="1"/>
    <s v="Gd"/>
    <n v="7"/>
    <s v="Typ"/>
    <n v="1"/>
    <s v="TA"/>
    <s v="Attchd"/>
    <n v="2007"/>
    <s v="RFn"/>
    <n v="3"/>
    <n v="660"/>
    <s v="TA"/>
    <s v="TA"/>
    <s v="Y"/>
    <n v="143"/>
    <n v="20"/>
    <n v="0"/>
    <n v="0"/>
    <n v="0"/>
    <n v="0"/>
    <s v="NA"/>
    <s v="NA"/>
    <s v="NA"/>
    <n v="0"/>
    <n v="5"/>
    <n v="2009"/>
    <s v="WD"/>
    <s v="Normal"/>
    <n v="175900"/>
  </r>
  <r>
    <n v="1417"/>
    <n v="190"/>
    <s v="RM"/>
    <n v="60"/>
    <n v="11340"/>
    <s v="Pave"/>
    <s v="NA"/>
    <s v="Reg"/>
    <s v="Lvl"/>
    <s v="AllPub"/>
    <s v="Inside"/>
    <s v="Gtl"/>
    <x v="7"/>
    <x v="0"/>
    <s v="Norm"/>
    <x v="1"/>
    <x v="0"/>
    <n v="4"/>
    <n v="6"/>
    <x v="57"/>
    <n v="1950"/>
    <s v="Gable"/>
    <s v="CompShg"/>
    <s v="VinylSd"/>
    <s v="AsbShng"/>
    <s v="None"/>
    <n v="0"/>
    <s v="TA"/>
    <s v="TA"/>
    <s v="PConc"/>
    <s v="TA"/>
    <s v="TA"/>
    <s v="No"/>
    <s v="Unf"/>
    <n v="0"/>
    <s v="Unf"/>
    <n v="0"/>
    <n v="777"/>
    <n v="777"/>
    <s v="GasA"/>
    <s v="Gd"/>
    <s v="Y"/>
    <s v="SBrkr"/>
    <n v="1246"/>
    <n v="1044"/>
    <n v="0"/>
    <x v="671"/>
    <n v="0"/>
    <n v="0"/>
    <n v="2"/>
    <n v="0"/>
    <n v="4"/>
    <n v="2"/>
    <s v="TA"/>
    <n v="11"/>
    <s v="Typ"/>
    <n v="0"/>
    <s v="NA"/>
    <s v="Detchd"/>
    <n v="1971"/>
    <s v="Unf"/>
    <n v="2"/>
    <n v="560"/>
    <s v="TA"/>
    <s v="TA"/>
    <s v="N"/>
    <n v="0"/>
    <n v="0"/>
    <n v="114"/>
    <n v="0"/>
    <n v="0"/>
    <n v="0"/>
    <s v="NA"/>
    <s v="NA"/>
    <s v="NA"/>
    <n v="0"/>
    <n v="4"/>
    <n v="2010"/>
    <s v="WD"/>
    <s v="Normal"/>
    <n v="122500"/>
  </r>
  <r>
    <n v="1418"/>
    <n v="60"/>
    <s v="RL"/>
    <s v="NA"/>
    <n v="16545"/>
    <s v="Pave"/>
    <s v="NA"/>
    <s v="IR1"/>
    <s v="Lvl"/>
    <s v="AllPub"/>
    <s v="Inside"/>
    <s v="Gtl"/>
    <x v="3"/>
    <x v="0"/>
    <s v="Norm"/>
    <x v="0"/>
    <x v="0"/>
    <n v="8"/>
    <n v="5"/>
    <x v="45"/>
    <n v="1998"/>
    <s v="Gable"/>
    <s v="CompShg"/>
    <s v="VinylSd"/>
    <s v="VinylSd"/>
    <s v="BrkFace"/>
    <n v="731"/>
    <s v="Gd"/>
    <s v="TA"/>
    <s v="PConc"/>
    <s v="Gd"/>
    <s v="TA"/>
    <s v="Mn"/>
    <s v="GLQ"/>
    <n v="781"/>
    <s v="Unf"/>
    <n v="0"/>
    <n v="503"/>
    <n v="1284"/>
    <s v="GasA"/>
    <s v="Ex"/>
    <s v="Y"/>
    <s v="SBrkr"/>
    <n v="1310"/>
    <n v="1140"/>
    <n v="0"/>
    <x v="848"/>
    <n v="1"/>
    <n v="0"/>
    <n v="2"/>
    <n v="1"/>
    <n v="3"/>
    <n v="1"/>
    <s v="Gd"/>
    <n v="7"/>
    <s v="Typ"/>
    <n v="1"/>
    <s v="TA"/>
    <s v="Attchd"/>
    <n v="1998"/>
    <s v="Fin"/>
    <n v="3"/>
    <n v="1069"/>
    <s v="TA"/>
    <s v="TA"/>
    <s v="Y"/>
    <n v="0"/>
    <n v="126"/>
    <n v="0"/>
    <n v="0"/>
    <n v="0"/>
    <n v="0"/>
    <s v="NA"/>
    <s v="NA"/>
    <s v="NA"/>
    <n v="0"/>
    <n v="5"/>
    <n v="2009"/>
    <s v="WD"/>
    <s v="Normal"/>
    <n v="340000"/>
  </r>
  <r>
    <n v="1419"/>
    <n v="20"/>
    <s v="RL"/>
    <n v="71"/>
    <n v="9204"/>
    <s v="Pave"/>
    <s v="NA"/>
    <s v="Reg"/>
    <s v="Lvl"/>
    <s v="AllPub"/>
    <s v="Inside"/>
    <s v="Gtl"/>
    <x v="11"/>
    <x v="0"/>
    <s v="Norm"/>
    <x v="0"/>
    <x v="1"/>
    <n v="5"/>
    <n v="5"/>
    <x v="37"/>
    <n v="1963"/>
    <s v="Gable"/>
    <s v="CompShg"/>
    <s v="HdBoard"/>
    <s v="HdBoard"/>
    <s v="None"/>
    <n v="0"/>
    <s v="TA"/>
    <s v="TA"/>
    <s v="CBlock"/>
    <s v="TA"/>
    <s v="TA"/>
    <s v="No"/>
    <s v="BLQ"/>
    <n v="25"/>
    <s v="Rec"/>
    <n v="872"/>
    <n v="247"/>
    <n v="1144"/>
    <s v="GasA"/>
    <s v="TA"/>
    <s v="Y"/>
    <s v="SBrkr"/>
    <n v="1144"/>
    <n v="0"/>
    <n v="0"/>
    <x v="327"/>
    <n v="1"/>
    <n v="0"/>
    <n v="1"/>
    <n v="1"/>
    <n v="3"/>
    <n v="1"/>
    <s v="TA"/>
    <n v="6"/>
    <s v="Typ"/>
    <n v="0"/>
    <s v="NA"/>
    <s v="Detchd"/>
    <n v="1962"/>
    <s v="Unf"/>
    <n v="1"/>
    <n v="336"/>
    <s v="TA"/>
    <s v="TA"/>
    <s v="Y"/>
    <n v="0"/>
    <n v="88"/>
    <n v="0"/>
    <n v="0"/>
    <n v="0"/>
    <n v="0"/>
    <s v="NA"/>
    <s v="NA"/>
    <s v="NA"/>
    <n v="0"/>
    <n v="8"/>
    <n v="2008"/>
    <s v="COD"/>
    <s v="Normal"/>
    <n v="124000"/>
  </r>
  <r>
    <n v="1420"/>
    <n v="20"/>
    <s v="RL"/>
    <s v="NA"/>
    <n v="16381"/>
    <s v="Pave"/>
    <s v="NA"/>
    <s v="IR1"/>
    <s v="Lvl"/>
    <s v="AllPub"/>
    <s v="Inside"/>
    <s v="Gtl"/>
    <x v="2"/>
    <x v="0"/>
    <s v="Norm"/>
    <x v="0"/>
    <x v="1"/>
    <n v="6"/>
    <n v="5"/>
    <x v="60"/>
    <n v="1969"/>
    <s v="Gable"/>
    <s v="CompShg"/>
    <s v="Plywood"/>
    <s v="Plywood"/>
    <s v="BrkFace"/>
    <n v="312"/>
    <s v="Gd"/>
    <s v="Gd"/>
    <s v="CBlock"/>
    <s v="TA"/>
    <s v="TA"/>
    <s v="Av"/>
    <s v="Rec"/>
    <n v="1110"/>
    <s v="Unf"/>
    <n v="0"/>
    <n v="734"/>
    <n v="1844"/>
    <s v="GasA"/>
    <s v="Gd"/>
    <s v="Y"/>
    <s v="SBrkr"/>
    <n v="1844"/>
    <n v="0"/>
    <n v="0"/>
    <x v="103"/>
    <n v="1"/>
    <n v="0"/>
    <n v="2"/>
    <n v="0"/>
    <n v="3"/>
    <n v="1"/>
    <s v="Gd"/>
    <n v="7"/>
    <s v="Typ"/>
    <n v="1"/>
    <s v="TA"/>
    <s v="Attchd"/>
    <n v="1969"/>
    <s v="RFn"/>
    <n v="2"/>
    <n v="540"/>
    <s v="TA"/>
    <s v="TA"/>
    <s v="Y"/>
    <n v="0"/>
    <n v="73"/>
    <n v="216"/>
    <n v="0"/>
    <n v="0"/>
    <n v="0"/>
    <s v="NA"/>
    <s v="NA"/>
    <s v="NA"/>
    <n v="0"/>
    <n v="12"/>
    <n v="2006"/>
    <s v="WD"/>
    <s v="Normal"/>
    <n v="223000"/>
  </r>
  <r>
    <n v="1421"/>
    <n v="60"/>
    <s v="RL"/>
    <n v="90"/>
    <n v="11700"/>
    <s v="Pave"/>
    <s v="NA"/>
    <s v="Reg"/>
    <s v="Lvl"/>
    <s v="AllPub"/>
    <s v="Corner"/>
    <s v="Gtl"/>
    <x v="6"/>
    <x v="0"/>
    <s v="Norm"/>
    <x v="0"/>
    <x v="0"/>
    <n v="6"/>
    <n v="6"/>
    <x v="21"/>
    <n v="1968"/>
    <s v="Gable"/>
    <s v="CompShg"/>
    <s v="HdBoard"/>
    <s v="HdBoard"/>
    <s v="BrkFace"/>
    <n v="420"/>
    <s v="TA"/>
    <s v="TA"/>
    <s v="CBlock"/>
    <s v="TA"/>
    <s v="TA"/>
    <s v="No"/>
    <s v="ALQ"/>
    <n v="404"/>
    <s v="Unf"/>
    <n v="0"/>
    <n v="304"/>
    <n v="708"/>
    <s v="GasA"/>
    <s v="Gd"/>
    <s v="Y"/>
    <s v="SBrkr"/>
    <n v="708"/>
    <n v="708"/>
    <n v="0"/>
    <x v="603"/>
    <n v="0"/>
    <n v="0"/>
    <n v="2"/>
    <n v="1"/>
    <n v="3"/>
    <n v="1"/>
    <s v="TA"/>
    <n v="7"/>
    <s v="Typ"/>
    <n v="1"/>
    <s v="TA"/>
    <s v="Attchd"/>
    <n v="1968"/>
    <s v="RFn"/>
    <n v="2"/>
    <n v="776"/>
    <s v="TA"/>
    <s v="TA"/>
    <s v="Y"/>
    <n v="0"/>
    <n v="169"/>
    <n v="0"/>
    <n v="0"/>
    <n v="119"/>
    <n v="0"/>
    <s v="NA"/>
    <s v="NA"/>
    <s v="NA"/>
    <n v="0"/>
    <n v="5"/>
    <n v="2006"/>
    <s v="WD"/>
    <s v="Normal"/>
    <n v="179900"/>
  </r>
  <r>
    <n v="1422"/>
    <n v="120"/>
    <s v="RL"/>
    <n v="53"/>
    <n v="4043"/>
    <s v="Pave"/>
    <s v="NA"/>
    <s v="Reg"/>
    <s v="Lvl"/>
    <s v="AllPub"/>
    <s v="Inside"/>
    <s v="Gtl"/>
    <x v="20"/>
    <x v="0"/>
    <s v="Norm"/>
    <x v="3"/>
    <x v="1"/>
    <n v="6"/>
    <n v="5"/>
    <x v="54"/>
    <n v="1977"/>
    <s v="Gable"/>
    <s v="CompShg"/>
    <s v="Plywood"/>
    <s v="Plywood"/>
    <s v="None"/>
    <n v="0"/>
    <s v="TA"/>
    <s v="TA"/>
    <s v="CBlock"/>
    <s v="Gd"/>
    <s v="TA"/>
    <s v="No"/>
    <s v="ALQ"/>
    <n v="360"/>
    <s v="Unf"/>
    <n v="0"/>
    <n v="709"/>
    <n v="1069"/>
    <s v="GasA"/>
    <s v="TA"/>
    <s v="Y"/>
    <s v="SBrkr"/>
    <n v="1069"/>
    <n v="0"/>
    <n v="0"/>
    <x v="436"/>
    <n v="0"/>
    <n v="0"/>
    <n v="2"/>
    <n v="0"/>
    <n v="2"/>
    <n v="1"/>
    <s v="TA"/>
    <n v="4"/>
    <s v="Typ"/>
    <n v="1"/>
    <s v="Fa"/>
    <s v="Attchd"/>
    <n v="1977"/>
    <s v="RFn"/>
    <n v="2"/>
    <n v="440"/>
    <s v="TA"/>
    <s v="TA"/>
    <s v="Y"/>
    <n v="0"/>
    <n v="55"/>
    <n v="0"/>
    <n v="0"/>
    <n v="165"/>
    <n v="0"/>
    <s v="NA"/>
    <s v="NA"/>
    <s v="NA"/>
    <n v="0"/>
    <n v="7"/>
    <n v="2010"/>
    <s v="WD"/>
    <s v="Normal"/>
    <n v="127500"/>
  </r>
  <r>
    <n v="1423"/>
    <n v="120"/>
    <s v="RM"/>
    <n v="37"/>
    <n v="4435"/>
    <s v="Pave"/>
    <s v="NA"/>
    <s v="Reg"/>
    <s v="Lvl"/>
    <s v="AllPub"/>
    <s v="Inside"/>
    <s v="Gtl"/>
    <x v="0"/>
    <x v="0"/>
    <s v="Norm"/>
    <x v="3"/>
    <x v="1"/>
    <n v="6"/>
    <n v="5"/>
    <x v="0"/>
    <n v="2003"/>
    <s v="Gable"/>
    <s v="CompShg"/>
    <s v="VinylSd"/>
    <s v="VinylSd"/>
    <s v="BrkFace"/>
    <n v="170"/>
    <s v="Gd"/>
    <s v="TA"/>
    <s v="PConc"/>
    <s v="Gd"/>
    <s v="TA"/>
    <s v="Av"/>
    <s v="GLQ"/>
    <n v="686"/>
    <s v="Unf"/>
    <n v="0"/>
    <n v="162"/>
    <n v="848"/>
    <s v="GasA"/>
    <s v="Ex"/>
    <s v="Y"/>
    <s v="SBrkr"/>
    <n v="848"/>
    <n v="0"/>
    <n v="0"/>
    <x v="182"/>
    <n v="1"/>
    <n v="0"/>
    <n v="1"/>
    <n v="0"/>
    <n v="1"/>
    <n v="1"/>
    <s v="Gd"/>
    <n v="3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3"/>
    <n v="2008"/>
    <s v="WD"/>
    <s v="Normal"/>
    <n v="136500"/>
  </r>
  <r>
    <n v="1424"/>
    <n v="80"/>
    <s v="RL"/>
    <s v="NA"/>
    <n v="19690"/>
    <s v="Pave"/>
    <s v="NA"/>
    <s v="IR1"/>
    <s v="Lvl"/>
    <s v="AllPub"/>
    <s v="CulDSac"/>
    <s v="Gtl"/>
    <x v="15"/>
    <x v="0"/>
    <s v="Norm"/>
    <x v="0"/>
    <x v="5"/>
    <n v="6"/>
    <n v="7"/>
    <x v="27"/>
    <n v="1966"/>
    <s v="Flat"/>
    <s v="Tar&amp;Grv"/>
    <s v="Plywood"/>
    <s v="Plywood"/>
    <s v="None"/>
    <n v="0"/>
    <s v="Gd"/>
    <s v="Gd"/>
    <s v="CBlock"/>
    <s v="Gd"/>
    <s v="TA"/>
    <s v="Av"/>
    <s v="Unf"/>
    <n v="0"/>
    <s v="Unf"/>
    <n v="0"/>
    <n v="697"/>
    <n v="697"/>
    <s v="GasA"/>
    <s v="TA"/>
    <s v="Y"/>
    <s v="SBrkr"/>
    <n v="1575"/>
    <n v="626"/>
    <n v="0"/>
    <x v="849"/>
    <n v="0"/>
    <n v="0"/>
    <n v="2"/>
    <n v="0"/>
    <n v="4"/>
    <n v="1"/>
    <s v="Gd"/>
    <n v="8"/>
    <s v="Typ"/>
    <n v="1"/>
    <s v="Gd"/>
    <s v="Attchd"/>
    <n v="1966"/>
    <s v="Unf"/>
    <n v="2"/>
    <n v="432"/>
    <s v="Gd"/>
    <s v="Gd"/>
    <s v="Y"/>
    <n v="586"/>
    <n v="236"/>
    <n v="0"/>
    <n v="0"/>
    <n v="0"/>
    <n v="738"/>
    <s v="Gd"/>
    <s v="GdPrv"/>
    <s v="NA"/>
    <n v="0"/>
    <n v="8"/>
    <n v="2006"/>
    <s v="WD"/>
    <s v="Alloca"/>
    <n v="274970"/>
  </r>
  <r>
    <n v="1425"/>
    <n v="20"/>
    <s v="RL"/>
    <s v="NA"/>
    <n v="9503"/>
    <s v="Pave"/>
    <s v="NA"/>
    <s v="Reg"/>
    <s v="Lvl"/>
    <s v="AllPub"/>
    <s v="Inside"/>
    <s v="Gtl"/>
    <x v="11"/>
    <x v="0"/>
    <s v="Norm"/>
    <x v="0"/>
    <x v="1"/>
    <n v="5"/>
    <n v="5"/>
    <x v="18"/>
    <n v="1983"/>
    <s v="Hip"/>
    <s v="CompShg"/>
    <s v="HdBoard"/>
    <s v="HdBoard"/>
    <s v="None"/>
    <n v="0"/>
    <s v="TA"/>
    <s v="TA"/>
    <s v="CBlock"/>
    <s v="TA"/>
    <s v="TA"/>
    <s v="No"/>
    <s v="ALQ"/>
    <n v="457"/>
    <s v="Rec"/>
    <n v="374"/>
    <n v="193"/>
    <n v="1024"/>
    <s v="GasA"/>
    <s v="TA"/>
    <s v="Y"/>
    <s v="SBrkr"/>
    <n v="1344"/>
    <n v="0"/>
    <n v="0"/>
    <x v="140"/>
    <n v="1"/>
    <n v="0"/>
    <n v="1"/>
    <n v="0"/>
    <n v="2"/>
    <n v="1"/>
    <s v="TA"/>
    <n v="6"/>
    <s v="Min1"/>
    <n v="1"/>
    <s v="TA"/>
    <s v="Detchd"/>
    <n v="1970"/>
    <s v="Unf"/>
    <n v="1"/>
    <n v="484"/>
    <s v="TA"/>
    <s v="TA"/>
    <s v="Y"/>
    <n v="316"/>
    <n v="28"/>
    <n v="0"/>
    <n v="0"/>
    <n v="0"/>
    <n v="0"/>
    <s v="NA"/>
    <s v="GdWo"/>
    <s v="NA"/>
    <n v="0"/>
    <n v="6"/>
    <n v="2007"/>
    <s v="WD"/>
    <s v="Normal"/>
    <n v="144000"/>
  </r>
  <r>
    <n v="1426"/>
    <n v="20"/>
    <s v="RL"/>
    <n v="80"/>
    <n v="10721"/>
    <s v="Pave"/>
    <s v="NA"/>
    <s v="IR1"/>
    <s v="Lvl"/>
    <s v="AllPub"/>
    <s v="Inside"/>
    <s v="Gtl"/>
    <x v="11"/>
    <x v="0"/>
    <s v="Norm"/>
    <x v="0"/>
    <x v="1"/>
    <n v="6"/>
    <n v="6"/>
    <x v="28"/>
    <n v="1959"/>
    <s v="Hip"/>
    <s v="CompShg"/>
    <s v="HdBoard"/>
    <s v="HdBoard"/>
    <s v="Stone"/>
    <n v="243"/>
    <s v="Gd"/>
    <s v="TA"/>
    <s v="CBlock"/>
    <s v="TA"/>
    <s v="TA"/>
    <s v="No"/>
    <s v="Unf"/>
    <n v="0"/>
    <s v="Unf"/>
    <n v="0"/>
    <n v="1252"/>
    <n v="1252"/>
    <s v="GasA"/>
    <s v="Ex"/>
    <s v="Y"/>
    <s v="SBrkr"/>
    <n v="1252"/>
    <n v="0"/>
    <n v="0"/>
    <x v="143"/>
    <n v="0"/>
    <n v="0"/>
    <n v="1"/>
    <n v="0"/>
    <n v="3"/>
    <n v="1"/>
    <s v="Gd"/>
    <n v="7"/>
    <s v="Typ"/>
    <n v="0"/>
    <s v="NA"/>
    <s v="Detchd"/>
    <n v="1960"/>
    <s v="Unf"/>
    <n v="2"/>
    <n v="528"/>
    <s v="TA"/>
    <s v="TA"/>
    <s v="Y"/>
    <n v="0"/>
    <n v="39"/>
    <n v="0"/>
    <n v="0"/>
    <n v="0"/>
    <n v="0"/>
    <s v="NA"/>
    <s v="NA"/>
    <s v="NA"/>
    <n v="0"/>
    <n v="10"/>
    <n v="2008"/>
    <s v="WD"/>
    <s v="Normal"/>
    <n v="142000"/>
  </r>
  <r>
    <n v="1427"/>
    <n v="60"/>
    <s v="RL"/>
    <n v="81"/>
    <n v="10944"/>
    <s v="Pave"/>
    <s v="NA"/>
    <s v="IR1"/>
    <s v="Lvl"/>
    <s v="AllPub"/>
    <s v="Inside"/>
    <s v="Gtl"/>
    <x v="3"/>
    <x v="0"/>
    <s v="Norm"/>
    <x v="0"/>
    <x v="0"/>
    <n v="7"/>
    <n v="5"/>
    <x v="29"/>
    <n v="1994"/>
    <s v="Gable"/>
    <s v="CompShg"/>
    <s v="VinylSd"/>
    <s v="VinylSd"/>
    <s v="BrkFace"/>
    <n v="448"/>
    <s v="Gd"/>
    <s v="TA"/>
    <s v="PConc"/>
    <s v="Gd"/>
    <s v="TA"/>
    <s v="No"/>
    <s v="GLQ"/>
    <n v="1000"/>
    <s v="Unf"/>
    <n v="0"/>
    <n v="223"/>
    <n v="1223"/>
    <s v="GasA"/>
    <s v="Ex"/>
    <s v="Y"/>
    <s v="SBrkr"/>
    <n v="1223"/>
    <n v="904"/>
    <n v="0"/>
    <x v="642"/>
    <n v="1"/>
    <n v="0"/>
    <n v="2"/>
    <n v="1"/>
    <n v="3"/>
    <n v="1"/>
    <s v="Gd"/>
    <n v="5"/>
    <s v="Typ"/>
    <n v="2"/>
    <s v="TA"/>
    <s v="Attchd"/>
    <n v="1994"/>
    <s v="RFn"/>
    <n v="2"/>
    <n v="525"/>
    <s v="TA"/>
    <s v="TA"/>
    <s v="Y"/>
    <n v="171"/>
    <n v="132"/>
    <n v="0"/>
    <n v="0"/>
    <n v="0"/>
    <n v="0"/>
    <s v="NA"/>
    <s v="NA"/>
    <s v="NA"/>
    <n v="0"/>
    <n v="8"/>
    <n v="2008"/>
    <s v="WD"/>
    <s v="Normal"/>
    <n v="271000"/>
  </r>
  <r>
    <n v="1428"/>
    <n v="50"/>
    <s v="RL"/>
    <n v="60"/>
    <n v="10930"/>
    <s v="Pave"/>
    <s v="Grvl"/>
    <s v="Reg"/>
    <s v="Bnk"/>
    <s v="AllPub"/>
    <s v="Inside"/>
    <s v="Gtl"/>
    <x v="11"/>
    <x v="3"/>
    <s v="Norm"/>
    <x v="0"/>
    <x v="2"/>
    <n v="5"/>
    <n v="6"/>
    <x v="43"/>
    <n v="1950"/>
    <s v="Gable"/>
    <s v="CompShg"/>
    <s v="MetalSd"/>
    <s v="MetalSd"/>
    <s v="None"/>
    <n v="0"/>
    <s v="TA"/>
    <s v="TA"/>
    <s v="CBlock"/>
    <s v="TA"/>
    <s v="TA"/>
    <s v="No"/>
    <s v="BLQ"/>
    <n v="580"/>
    <s v="Unf"/>
    <n v="0"/>
    <n v="333"/>
    <n v="913"/>
    <s v="GasA"/>
    <s v="TA"/>
    <s v="Y"/>
    <s v="FuseA"/>
    <n v="1048"/>
    <n v="510"/>
    <n v="0"/>
    <x v="250"/>
    <n v="1"/>
    <n v="0"/>
    <n v="1"/>
    <n v="1"/>
    <n v="3"/>
    <n v="1"/>
    <s v="TA"/>
    <n v="6"/>
    <s v="Typ"/>
    <n v="1"/>
    <s v="TA"/>
    <s v="Attchd"/>
    <n v="1962"/>
    <s v="Unf"/>
    <n v="1"/>
    <n v="288"/>
    <s v="TA"/>
    <s v="TA"/>
    <s v="Y"/>
    <n v="0"/>
    <n v="0"/>
    <n v="0"/>
    <n v="0"/>
    <n v="0"/>
    <n v="0"/>
    <s v="NA"/>
    <s v="NA"/>
    <s v="NA"/>
    <n v="0"/>
    <n v="4"/>
    <n v="2008"/>
    <s v="WD"/>
    <s v="Normal"/>
    <n v="140000"/>
  </r>
  <r>
    <n v="1429"/>
    <n v="30"/>
    <s v="RM"/>
    <n v="60"/>
    <n v="7200"/>
    <s v="Pave"/>
    <s v="NA"/>
    <s v="Reg"/>
    <s v="Lvl"/>
    <s v="AllPub"/>
    <s v="Corner"/>
    <s v="Gtl"/>
    <x v="7"/>
    <x v="0"/>
    <s v="Norm"/>
    <x v="0"/>
    <x v="1"/>
    <n v="5"/>
    <n v="7"/>
    <x v="70"/>
    <n v="1992"/>
    <s v="Gable"/>
    <s v="CompShg"/>
    <s v="MetalSd"/>
    <s v="MetalSd"/>
    <s v="Stone"/>
    <n v="294"/>
    <s v="TA"/>
    <s v="Gd"/>
    <s v="CBlock"/>
    <s v="TA"/>
    <s v="TA"/>
    <s v="No"/>
    <s v="BLQ"/>
    <n v="510"/>
    <s v="Unf"/>
    <n v="0"/>
    <n v="278"/>
    <n v="788"/>
    <s v="GasA"/>
    <s v="TA"/>
    <s v="Y"/>
    <s v="SBrkr"/>
    <n v="804"/>
    <n v="0"/>
    <n v="0"/>
    <x v="850"/>
    <n v="1"/>
    <n v="0"/>
    <n v="1"/>
    <n v="0"/>
    <n v="2"/>
    <n v="1"/>
    <s v="Gd"/>
    <n v="4"/>
    <s v="Typ"/>
    <n v="2"/>
    <s v="Gd"/>
    <s v="Attchd"/>
    <n v="1940"/>
    <s v="Unf"/>
    <n v="1"/>
    <n v="240"/>
    <s v="TA"/>
    <s v="TA"/>
    <s v="Y"/>
    <n v="0"/>
    <n v="0"/>
    <n v="154"/>
    <n v="0"/>
    <n v="0"/>
    <n v="0"/>
    <s v="NA"/>
    <s v="MnPrv"/>
    <s v="NA"/>
    <n v="0"/>
    <n v="2"/>
    <n v="2010"/>
    <s v="WD"/>
    <s v="Abnorml"/>
    <n v="119000"/>
  </r>
  <r>
    <n v="1430"/>
    <n v="20"/>
    <s v="RL"/>
    <s v="NA"/>
    <n v="12546"/>
    <s v="Pave"/>
    <s v="NA"/>
    <s v="IR1"/>
    <s v="Lvl"/>
    <s v="AllPub"/>
    <s v="Corner"/>
    <s v="Gtl"/>
    <x v="6"/>
    <x v="0"/>
    <s v="Norm"/>
    <x v="0"/>
    <x v="1"/>
    <n v="6"/>
    <n v="7"/>
    <x v="38"/>
    <n v="1981"/>
    <s v="Gable"/>
    <s v="CompShg"/>
    <s v="MetalSd"/>
    <s v="MetalSd"/>
    <s v="BrkFace"/>
    <n v="310"/>
    <s v="Gd"/>
    <s v="Gd"/>
    <s v="CBlock"/>
    <s v="Gd"/>
    <s v="TA"/>
    <s v="No"/>
    <s v="BLQ"/>
    <n v="678"/>
    <s v="Unf"/>
    <n v="0"/>
    <n v="762"/>
    <n v="1440"/>
    <s v="GasA"/>
    <s v="Ex"/>
    <s v="Y"/>
    <s v="SBrkr"/>
    <n v="1440"/>
    <n v="0"/>
    <n v="0"/>
    <x v="211"/>
    <n v="0"/>
    <n v="0"/>
    <n v="2"/>
    <n v="0"/>
    <n v="3"/>
    <n v="1"/>
    <s v="Gd"/>
    <n v="7"/>
    <s v="Typ"/>
    <n v="1"/>
    <s v="TA"/>
    <s v="Attchd"/>
    <n v="1981"/>
    <s v="Fin"/>
    <n v="2"/>
    <n v="467"/>
    <s v="TA"/>
    <s v="TA"/>
    <s v="Y"/>
    <n v="0"/>
    <n v="0"/>
    <n v="99"/>
    <n v="0"/>
    <n v="0"/>
    <n v="0"/>
    <s v="NA"/>
    <s v="NA"/>
    <s v="NA"/>
    <n v="0"/>
    <n v="4"/>
    <n v="2007"/>
    <s v="WD"/>
    <s v="Normal"/>
    <n v="182900"/>
  </r>
  <r>
    <n v="1431"/>
    <n v="60"/>
    <s v="RL"/>
    <n v="60"/>
    <n v="21930"/>
    <s v="Pave"/>
    <s v="NA"/>
    <s v="IR3"/>
    <s v="Lvl"/>
    <s v="AllPub"/>
    <s v="Inside"/>
    <s v="Gtl"/>
    <x v="17"/>
    <x v="6"/>
    <s v="Norm"/>
    <x v="0"/>
    <x v="0"/>
    <n v="5"/>
    <n v="5"/>
    <x v="11"/>
    <n v="2005"/>
    <s v="Gable"/>
    <s v="CompShg"/>
    <s v="VinylSd"/>
    <s v="VinylSd"/>
    <s v="None"/>
    <n v="0"/>
    <s v="Gd"/>
    <s v="TA"/>
    <s v="PConc"/>
    <s v="Gd"/>
    <s v="Gd"/>
    <s v="Av"/>
    <s v="Unf"/>
    <n v="0"/>
    <s v="Unf"/>
    <n v="0"/>
    <n v="732"/>
    <n v="732"/>
    <s v="GasA"/>
    <s v="Ex"/>
    <s v="Y"/>
    <s v="SBrkr"/>
    <n v="734"/>
    <n v="1104"/>
    <n v="0"/>
    <x v="427"/>
    <n v="0"/>
    <n v="0"/>
    <n v="2"/>
    <n v="1"/>
    <n v="4"/>
    <n v="1"/>
    <s v="TA"/>
    <n v="7"/>
    <s v="Typ"/>
    <n v="1"/>
    <s v="Gd"/>
    <s v="BuiltIn"/>
    <n v="2005"/>
    <s v="Fin"/>
    <n v="2"/>
    <n v="372"/>
    <s v="TA"/>
    <s v="TA"/>
    <s v="Y"/>
    <n v="100"/>
    <n v="40"/>
    <n v="0"/>
    <n v="0"/>
    <n v="0"/>
    <n v="0"/>
    <s v="NA"/>
    <s v="NA"/>
    <s v="NA"/>
    <n v="0"/>
    <n v="7"/>
    <n v="2006"/>
    <s v="WD"/>
    <s v="Normal"/>
    <n v="192140"/>
  </r>
  <r>
    <n v="1432"/>
    <n v="120"/>
    <s v="RL"/>
    <s v="NA"/>
    <n v="4928"/>
    <s v="Pave"/>
    <s v="NA"/>
    <s v="IR1"/>
    <s v="Lvl"/>
    <s v="AllPub"/>
    <s v="Inside"/>
    <s v="Gtl"/>
    <x v="20"/>
    <x v="0"/>
    <s v="Norm"/>
    <x v="3"/>
    <x v="1"/>
    <n v="6"/>
    <n v="6"/>
    <x v="1"/>
    <n v="1976"/>
    <s v="Gable"/>
    <s v="CompShg"/>
    <s v="Plywood"/>
    <s v="Plywood"/>
    <s v="None"/>
    <n v="0"/>
    <s v="TA"/>
    <s v="TA"/>
    <s v="CBlock"/>
    <s v="Gd"/>
    <s v="TA"/>
    <s v="No"/>
    <s v="LwQ"/>
    <n v="958"/>
    <s v="Unf"/>
    <n v="0"/>
    <n v="0"/>
    <n v="958"/>
    <s v="GasA"/>
    <s v="TA"/>
    <s v="Y"/>
    <s v="SBrkr"/>
    <n v="958"/>
    <n v="0"/>
    <n v="0"/>
    <x v="119"/>
    <n v="0"/>
    <n v="0"/>
    <n v="2"/>
    <n v="0"/>
    <n v="2"/>
    <n v="1"/>
    <s v="TA"/>
    <n v="5"/>
    <s v="Typ"/>
    <n v="0"/>
    <s v="NA"/>
    <s v="Attchd"/>
    <n v="1976"/>
    <s v="RFn"/>
    <n v="2"/>
    <n v="440"/>
    <s v="TA"/>
    <s v="TA"/>
    <s v="Y"/>
    <n v="0"/>
    <n v="60"/>
    <n v="0"/>
    <n v="0"/>
    <n v="0"/>
    <n v="0"/>
    <s v="NA"/>
    <s v="NA"/>
    <s v="NA"/>
    <n v="0"/>
    <n v="10"/>
    <n v="2009"/>
    <s v="WD"/>
    <s v="Normal"/>
    <n v="143750"/>
  </r>
  <r>
    <n v="1433"/>
    <n v="30"/>
    <s v="RL"/>
    <n v="60"/>
    <n v="10800"/>
    <s v="Pave"/>
    <s v="Grvl"/>
    <s v="Reg"/>
    <s v="Lvl"/>
    <s v="AllPub"/>
    <s v="Inside"/>
    <s v="Gtl"/>
    <x v="7"/>
    <x v="0"/>
    <s v="Norm"/>
    <x v="0"/>
    <x v="1"/>
    <n v="4"/>
    <n v="6"/>
    <x v="25"/>
    <n v="2007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656"/>
    <n v="656"/>
    <s v="GasA"/>
    <s v="TA"/>
    <s v="Y"/>
    <s v="SBrkr"/>
    <n v="968"/>
    <n v="0"/>
    <n v="0"/>
    <x v="165"/>
    <n v="0"/>
    <n v="0"/>
    <n v="2"/>
    <n v="0"/>
    <n v="4"/>
    <n v="1"/>
    <s v="TA"/>
    <n v="5"/>
    <s v="Typ"/>
    <n v="0"/>
    <s v="NA"/>
    <s v="Detchd"/>
    <n v="1928"/>
    <s v="Unf"/>
    <n v="1"/>
    <n v="216"/>
    <s v="Fa"/>
    <s v="Fa"/>
    <s v="Y"/>
    <n v="0"/>
    <n v="0"/>
    <n v="0"/>
    <n v="0"/>
    <n v="0"/>
    <n v="0"/>
    <s v="NA"/>
    <s v="NA"/>
    <s v="NA"/>
    <n v="0"/>
    <n v="8"/>
    <n v="2007"/>
    <s v="WD"/>
    <s v="Normal"/>
    <n v="64500"/>
  </r>
  <r>
    <n v="1434"/>
    <n v="60"/>
    <s v="RL"/>
    <n v="93"/>
    <n v="10261"/>
    <s v="Pave"/>
    <s v="NA"/>
    <s v="IR1"/>
    <s v="Lvl"/>
    <s v="AllPub"/>
    <s v="Inside"/>
    <s v="Gtl"/>
    <x v="17"/>
    <x v="0"/>
    <s v="Norm"/>
    <x v="0"/>
    <x v="0"/>
    <n v="6"/>
    <n v="5"/>
    <x v="4"/>
    <n v="2000"/>
    <s v="Gable"/>
    <s v="CompShg"/>
    <s v="VinylSd"/>
    <s v="VinylSd"/>
    <s v="BrkFace"/>
    <n v="318"/>
    <s v="TA"/>
    <s v="TA"/>
    <s v="PConc"/>
    <s v="Gd"/>
    <s v="TA"/>
    <s v="No"/>
    <s v="Unf"/>
    <n v="0"/>
    <s v="Unf"/>
    <n v="0"/>
    <n v="936"/>
    <n v="936"/>
    <s v="GasA"/>
    <s v="Ex"/>
    <s v="Y"/>
    <s v="SBrkr"/>
    <n v="962"/>
    <n v="830"/>
    <n v="0"/>
    <x v="223"/>
    <n v="1"/>
    <n v="0"/>
    <n v="2"/>
    <n v="1"/>
    <n v="3"/>
    <n v="1"/>
    <s v="TA"/>
    <n v="8"/>
    <s v="Typ"/>
    <n v="1"/>
    <s v="TA"/>
    <s v="Attchd"/>
    <n v="2000"/>
    <s v="Fin"/>
    <n v="2"/>
    <n v="451"/>
    <s v="TA"/>
    <s v="TA"/>
    <s v="Y"/>
    <n v="0"/>
    <n v="0"/>
    <n v="0"/>
    <n v="0"/>
    <n v="0"/>
    <n v="0"/>
    <s v="NA"/>
    <s v="NA"/>
    <s v="NA"/>
    <n v="0"/>
    <n v="5"/>
    <n v="2008"/>
    <s v="WD"/>
    <s v="Normal"/>
    <n v="186500"/>
  </r>
  <r>
    <n v="1435"/>
    <n v="20"/>
    <s v="RL"/>
    <n v="80"/>
    <n v="17400"/>
    <s v="Pave"/>
    <s v="NA"/>
    <s v="Reg"/>
    <s v="Low"/>
    <s v="AllPub"/>
    <s v="Inside"/>
    <s v="Mod"/>
    <x v="4"/>
    <x v="0"/>
    <s v="Norm"/>
    <x v="0"/>
    <x v="1"/>
    <n v="5"/>
    <n v="5"/>
    <x v="54"/>
    <n v="1977"/>
    <s v="Gable"/>
    <s v="CompShg"/>
    <s v="BrkFace"/>
    <s v="BrkFace"/>
    <s v="None"/>
    <n v="0"/>
    <s v="TA"/>
    <s v="TA"/>
    <s v="CBlock"/>
    <s v="TA"/>
    <s v="TA"/>
    <s v="No"/>
    <s v="ALQ"/>
    <n v="936"/>
    <s v="Unf"/>
    <n v="0"/>
    <n v="190"/>
    <n v="1126"/>
    <s v="GasA"/>
    <s v="Fa"/>
    <s v="Y"/>
    <s v="SBrkr"/>
    <n v="1126"/>
    <n v="0"/>
    <n v="0"/>
    <x v="437"/>
    <n v="1"/>
    <n v="0"/>
    <n v="2"/>
    <n v="0"/>
    <n v="3"/>
    <n v="1"/>
    <s v="TA"/>
    <n v="5"/>
    <s v="Typ"/>
    <n v="1"/>
    <s v="Gd"/>
    <s v="Attchd"/>
    <n v="1977"/>
    <s v="RFn"/>
    <n v="2"/>
    <n v="484"/>
    <s v="TA"/>
    <s v="TA"/>
    <s v="P"/>
    <n v="295"/>
    <n v="41"/>
    <n v="0"/>
    <n v="0"/>
    <n v="0"/>
    <n v="0"/>
    <s v="NA"/>
    <s v="NA"/>
    <s v="NA"/>
    <n v="0"/>
    <n v="5"/>
    <n v="2006"/>
    <s v="WD"/>
    <s v="Normal"/>
    <n v="160000"/>
  </r>
  <r>
    <n v="1436"/>
    <n v="20"/>
    <s v="RL"/>
    <n v="80"/>
    <n v="8400"/>
    <s v="Pave"/>
    <s v="NA"/>
    <s v="Reg"/>
    <s v="Lvl"/>
    <s v="AllPub"/>
    <s v="Inside"/>
    <s v="Gtl"/>
    <x v="11"/>
    <x v="0"/>
    <s v="Norm"/>
    <x v="0"/>
    <x v="1"/>
    <n v="6"/>
    <n v="9"/>
    <x v="12"/>
    <n v="2005"/>
    <s v="Gable"/>
    <s v="CompShg"/>
    <s v="Wd Sdng"/>
    <s v="Wd Sdng"/>
    <s v="BrkFace"/>
    <n v="237"/>
    <s v="Gd"/>
    <s v="Gd"/>
    <s v="CBlock"/>
    <s v="TA"/>
    <s v="TA"/>
    <s v="No"/>
    <s v="Unf"/>
    <n v="0"/>
    <s v="Unf"/>
    <n v="0"/>
    <n v="1319"/>
    <n v="1319"/>
    <s v="GasA"/>
    <s v="TA"/>
    <s v="Y"/>
    <s v="SBrkr"/>
    <n v="1537"/>
    <n v="0"/>
    <n v="0"/>
    <x v="851"/>
    <n v="1"/>
    <n v="0"/>
    <n v="1"/>
    <n v="1"/>
    <n v="3"/>
    <n v="1"/>
    <s v="Gd"/>
    <n v="7"/>
    <s v="Typ"/>
    <n v="1"/>
    <s v="Gd"/>
    <s v="Attchd"/>
    <n v="1962"/>
    <s v="RFn"/>
    <n v="2"/>
    <n v="462"/>
    <s v="TA"/>
    <s v="TA"/>
    <s v="Y"/>
    <n v="0"/>
    <n v="36"/>
    <n v="0"/>
    <n v="0"/>
    <n v="0"/>
    <n v="0"/>
    <s v="NA"/>
    <s v="GdPrv"/>
    <s v="NA"/>
    <n v="0"/>
    <n v="7"/>
    <n v="2008"/>
    <s v="COD"/>
    <s v="Abnorml"/>
    <n v="174000"/>
  </r>
  <r>
    <n v="1437"/>
    <n v="20"/>
    <s v="RL"/>
    <n v="60"/>
    <n v="9000"/>
    <s v="Pave"/>
    <s v="NA"/>
    <s v="Reg"/>
    <s v="Lvl"/>
    <s v="AllPub"/>
    <s v="FR2"/>
    <s v="Gtl"/>
    <x v="11"/>
    <x v="0"/>
    <s v="Norm"/>
    <x v="0"/>
    <x v="1"/>
    <n v="4"/>
    <n v="6"/>
    <x v="63"/>
    <n v="1971"/>
    <s v="Gable"/>
    <s v="CompShg"/>
    <s v="HdBoard"/>
    <s v="HdBoard"/>
    <s v="None"/>
    <n v="0"/>
    <s v="TA"/>
    <s v="TA"/>
    <s v="PConc"/>
    <s v="TA"/>
    <s v="TA"/>
    <s v="No"/>
    <s v="ALQ"/>
    <n v="616"/>
    <s v="Unf"/>
    <n v="0"/>
    <n v="248"/>
    <n v="864"/>
    <s v="GasA"/>
    <s v="TA"/>
    <s v="Y"/>
    <s v="SBrkr"/>
    <n v="864"/>
    <n v="0"/>
    <n v="0"/>
    <x v="132"/>
    <n v="0"/>
    <n v="0"/>
    <n v="1"/>
    <n v="0"/>
    <n v="3"/>
    <n v="1"/>
    <s v="TA"/>
    <n v="5"/>
    <s v="Typ"/>
    <n v="0"/>
    <s v="NA"/>
    <s v="Detchd"/>
    <n v="1974"/>
    <s v="Unf"/>
    <n v="2"/>
    <n v="528"/>
    <s v="TA"/>
    <s v="TA"/>
    <s v="Y"/>
    <n v="0"/>
    <n v="0"/>
    <n v="0"/>
    <n v="0"/>
    <n v="0"/>
    <n v="0"/>
    <s v="NA"/>
    <s v="GdWo"/>
    <s v="NA"/>
    <n v="0"/>
    <n v="5"/>
    <n v="2007"/>
    <s v="WD"/>
    <s v="Normal"/>
    <n v="120500"/>
  </r>
  <r>
    <n v="1438"/>
    <n v="20"/>
    <s v="RL"/>
    <n v="96"/>
    <n v="12444"/>
    <s v="Pave"/>
    <s v="NA"/>
    <s v="Reg"/>
    <s v="Lvl"/>
    <s v="AllPub"/>
    <s v="FR2"/>
    <s v="Gtl"/>
    <x v="10"/>
    <x v="0"/>
    <s v="Norm"/>
    <x v="0"/>
    <x v="1"/>
    <n v="8"/>
    <n v="5"/>
    <x v="74"/>
    <n v="2008"/>
    <s v="Hip"/>
    <s v="CompShg"/>
    <s v="VinylSd"/>
    <s v="VinylSd"/>
    <s v="Stone"/>
    <n v="426"/>
    <s v="Ex"/>
    <s v="TA"/>
    <s v="PConc"/>
    <s v="Ex"/>
    <s v="TA"/>
    <s v="Av"/>
    <s v="GLQ"/>
    <n v="1336"/>
    <s v="Unf"/>
    <n v="0"/>
    <n v="596"/>
    <n v="1932"/>
    <s v="GasA"/>
    <s v="Ex"/>
    <s v="Y"/>
    <s v="SBrkr"/>
    <n v="1932"/>
    <n v="0"/>
    <n v="0"/>
    <x v="852"/>
    <n v="1"/>
    <n v="0"/>
    <n v="2"/>
    <n v="0"/>
    <n v="2"/>
    <n v="1"/>
    <s v="Ex"/>
    <n v="7"/>
    <s v="Typ"/>
    <n v="1"/>
    <s v="Gd"/>
    <s v="Attchd"/>
    <n v="2008"/>
    <s v="Fin"/>
    <n v="3"/>
    <n v="774"/>
    <s v="TA"/>
    <s v="TA"/>
    <s v="Y"/>
    <n v="0"/>
    <n v="66"/>
    <n v="0"/>
    <n v="304"/>
    <n v="0"/>
    <n v="0"/>
    <s v="NA"/>
    <s v="NA"/>
    <s v="NA"/>
    <n v="0"/>
    <n v="11"/>
    <n v="2008"/>
    <s v="New"/>
    <s v="Partial"/>
    <n v="394617"/>
  </r>
  <r>
    <n v="1439"/>
    <n v="20"/>
    <s v="RM"/>
    <n v="90"/>
    <n v="7407"/>
    <s v="Pave"/>
    <s v="NA"/>
    <s v="Reg"/>
    <s v="Lvl"/>
    <s v="AllPub"/>
    <s v="Inside"/>
    <s v="Gtl"/>
    <x v="7"/>
    <x v="3"/>
    <s v="Norm"/>
    <x v="0"/>
    <x v="1"/>
    <n v="6"/>
    <n v="7"/>
    <x v="24"/>
    <n v="1996"/>
    <s v="Gable"/>
    <s v="CompShg"/>
    <s v="MetalSd"/>
    <s v="MetalSd"/>
    <s v="None"/>
    <n v="0"/>
    <s v="TA"/>
    <s v="TA"/>
    <s v="CBlock"/>
    <s v="TA"/>
    <s v="TA"/>
    <s v="No"/>
    <s v="GLQ"/>
    <n v="600"/>
    <s v="Unf"/>
    <n v="0"/>
    <n v="312"/>
    <n v="912"/>
    <s v="GasA"/>
    <s v="TA"/>
    <s v="Y"/>
    <s v="FuseA"/>
    <n v="1236"/>
    <n v="0"/>
    <n v="0"/>
    <x v="190"/>
    <n v="1"/>
    <n v="0"/>
    <n v="1"/>
    <n v="0"/>
    <n v="2"/>
    <n v="1"/>
    <s v="TA"/>
    <n v="6"/>
    <s v="Typ"/>
    <n v="0"/>
    <s v="NA"/>
    <s v="Attchd"/>
    <n v="1957"/>
    <s v="Unf"/>
    <n v="2"/>
    <n v="923"/>
    <s v="TA"/>
    <s v="TA"/>
    <s v="Y"/>
    <n v="0"/>
    <n v="158"/>
    <n v="158"/>
    <n v="0"/>
    <n v="0"/>
    <n v="0"/>
    <s v="NA"/>
    <s v="MnPrv"/>
    <s v="NA"/>
    <n v="0"/>
    <n v="4"/>
    <n v="2010"/>
    <s v="WD"/>
    <s v="Normal"/>
    <n v="149700"/>
  </r>
  <r>
    <n v="1440"/>
    <n v="60"/>
    <s v="RL"/>
    <n v="80"/>
    <n v="11584"/>
    <s v="Pave"/>
    <s v="NA"/>
    <s v="Reg"/>
    <s v="Lvl"/>
    <s v="AllPub"/>
    <s v="Inside"/>
    <s v="Gtl"/>
    <x v="6"/>
    <x v="0"/>
    <s v="Norm"/>
    <x v="0"/>
    <x v="5"/>
    <n v="7"/>
    <n v="6"/>
    <x v="56"/>
    <n v="1979"/>
    <s v="Hip"/>
    <s v="CompShg"/>
    <s v="HdBoard"/>
    <s v="HdBoard"/>
    <s v="BrkFace"/>
    <n v="96"/>
    <s v="TA"/>
    <s v="TA"/>
    <s v="CBlock"/>
    <s v="TA"/>
    <s v="TA"/>
    <s v="No"/>
    <s v="GLQ"/>
    <n v="315"/>
    <s v="Rec"/>
    <n v="110"/>
    <n v="114"/>
    <n v="539"/>
    <s v="GasA"/>
    <s v="TA"/>
    <s v="Y"/>
    <s v="SBrkr"/>
    <n v="1040"/>
    <n v="685"/>
    <n v="0"/>
    <x v="853"/>
    <n v="0"/>
    <n v="0"/>
    <n v="2"/>
    <n v="1"/>
    <n v="3"/>
    <n v="1"/>
    <s v="TA"/>
    <n v="6"/>
    <s v="Typ"/>
    <n v="1"/>
    <s v="TA"/>
    <s v="Attchd"/>
    <n v="1979"/>
    <s v="RFn"/>
    <n v="2"/>
    <n v="550"/>
    <s v="TA"/>
    <s v="TA"/>
    <s v="Y"/>
    <n v="0"/>
    <n v="88"/>
    <n v="216"/>
    <n v="0"/>
    <n v="0"/>
    <n v="0"/>
    <s v="NA"/>
    <s v="NA"/>
    <s v="NA"/>
    <n v="0"/>
    <n v="11"/>
    <n v="2007"/>
    <s v="WD"/>
    <s v="Normal"/>
    <n v="197000"/>
  </r>
  <r>
    <n v="1441"/>
    <n v="70"/>
    <s v="RL"/>
    <n v="79"/>
    <n v="11526"/>
    <s v="Pave"/>
    <s v="NA"/>
    <s v="IR1"/>
    <s v="Bnk"/>
    <s v="AllPub"/>
    <s v="Inside"/>
    <s v="Mod"/>
    <x v="2"/>
    <x v="0"/>
    <s v="Norm"/>
    <x v="0"/>
    <x v="7"/>
    <n v="6"/>
    <n v="7"/>
    <x v="91"/>
    <n v="1994"/>
    <s v="Gable"/>
    <s v="CompShg"/>
    <s v="MetalSd"/>
    <s v="MetalSd"/>
    <s v="None"/>
    <n v="0"/>
    <s v="TA"/>
    <s v="TA"/>
    <s v="BrkTil"/>
    <s v="Ex"/>
    <s v="TA"/>
    <s v="No"/>
    <s v="Unf"/>
    <n v="0"/>
    <s v="Unf"/>
    <n v="0"/>
    <n v="588"/>
    <n v="588"/>
    <s v="GasA"/>
    <s v="Fa"/>
    <s v="Y"/>
    <s v="SBrkr"/>
    <n v="1423"/>
    <n v="748"/>
    <n v="384"/>
    <x v="854"/>
    <n v="0"/>
    <n v="0"/>
    <n v="2"/>
    <n v="0"/>
    <n v="3"/>
    <n v="1"/>
    <s v="TA"/>
    <n v="11"/>
    <s v="Min1"/>
    <n v="1"/>
    <s v="Gd"/>
    <s v="Detchd"/>
    <n v="1993"/>
    <s v="Fin"/>
    <n v="2"/>
    <n v="672"/>
    <s v="TA"/>
    <s v="TA"/>
    <s v="Y"/>
    <n v="431"/>
    <n v="0"/>
    <n v="0"/>
    <n v="0"/>
    <n v="0"/>
    <n v="0"/>
    <s v="NA"/>
    <s v="NA"/>
    <s v="NA"/>
    <n v="0"/>
    <n v="9"/>
    <n v="2008"/>
    <s v="WD"/>
    <s v="Normal"/>
    <n v="191000"/>
  </r>
  <r>
    <n v="1442"/>
    <n v="120"/>
    <s v="RM"/>
    <s v="NA"/>
    <n v="4426"/>
    <s v="Pave"/>
    <s v="NA"/>
    <s v="Reg"/>
    <s v="Lvl"/>
    <s v="AllPub"/>
    <s v="Inside"/>
    <s v="Gtl"/>
    <x v="0"/>
    <x v="0"/>
    <s v="Norm"/>
    <x v="3"/>
    <x v="1"/>
    <n v="6"/>
    <n v="5"/>
    <x v="6"/>
    <n v="2004"/>
    <s v="Gable"/>
    <s v="CompShg"/>
    <s v="VinylSd"/>
    <s v="VinylSd"/>
    <s v="BrkFace"/>
    <n v="147"/>
    <s v="Gd"/>
    <s v="TA"/>
    <s v="PConc"/>
    <s v="Gd"/>
    <s v="TA"/>
    <s v="Av"/>
    <s v="GLQ"/>
    <n v="697"/>
    <s v="Unf"/>
    <n v="0"/>
    <n v="151"/>
    <n v="848"/>
    <s v="GasA"/>
    <s v="Ex"/>
    <s v="Y"/>
    <s v="SBrkr"/>
    <n v="848"/>
    <n v="0"/>
    <n v="0"/>
    <x v="182"/>
    <n v="1"/>
    <n v="0"/>
    <n v="1"/>
    <n v="0"/>
    <n v="1"/>
    <n v="1"/>
    <s v="Gd"/>
    <n v="3"/>
    <s v="Typ"/>
    <n v="1"/>
    <s v="TA"/>
    <s v="Attchd"/>
    <n v="2004"/>
    <s v="RFn"/>
    <n v="2"/>
    <n v="420"/>
    <s v="TA"/>
    <s v="TA"/>
    <s v="Y"/>
    <n v="149"/>
    <n v="0"/>
    <n v="0"/>
    <n v="0"/>
    <n v="0"/>
    <n v="0"/>
    <s v="NA"/>
    <s v="NA"/>
    <s v="NA"/>
    <n v="0"/>
    <n v="5"/>
    <n v="2008"/>
    <s v="WD"/>
    <s v="Normal"/>
    <n v="149300"/>
  </r>
  <r>
    <n v="1443"/>
    <n v="60"/>
    <s v="FV"/>
    <n v="85"/>
    <n v="11003"/>
    <s v="Pave"/>
    <s v="NA"/>
    <s v="Reg"/>
    <s v="Lvl"/>
    <s v="AllPub"/>
    <s v="Inside"/>
    <s v="Gtl"/>
    <x v="5"/>
    <x v="0"/>
    <s v="Norm"/>
    <x v="0"/>
    <x v="0"/>
    <n v="10"/>
    <n v="5"/>
    <x v="74"/>
    <n v="2008"/>
    <s v="Gable"/>
    <s v="CompShg"/>
    <s v="VinylSd"/>
    <s v="VinylSd"/>
    <s v="Stone"/>
    <n v="160"/>
    <s v="Ex"/>
    <s v="TA"/>
    <s v="PConc"/>
    <s v="Ex"/>
    <s v="TA"/>
    <s v="Av"/>
    <s v="GLQ"/>
    <n v="765"/>
    <s v="Unf"/>
    <n v="0"/>
    <n v="252"/>
    <n v="1017"/>
    <s v="GasA"/>
    <s v="Ex"/>
    <s v="Y"/>
    <s v="SBrkr"/>
    <n v="1026"/>
    <n v="981"/>
    <n v="0"/>
    <x v="855"/>
    <n v="1"/>
    <n v="0"/>
    <n v="2"/>
    <n v="1"/>
    <n v="3"/>
    <n v="1"/>
    <s v="Ex"/>
    <n v="10"/>
    <s v="Typ"/>
    <n v="1"/>
    <s v="Ex"/>
    <s v="Attchd"/>
    <n v="2008"/>
    <s v="Fin"/>
    <n v="3"/>
    <n v="812"/>
    <s v="TA"/>
    <s v="TA"/>
    <s v="Y"/>
    <n v="168"/>
    <n v="52"/>
    <n v="0"/>
    <n v="0"/>
    <n v="0"/>
    <n v="0"/>
    <s v="NA"/>
    <s v="NA"/>
    <s v="NA"/>
    <n v="0"/>
    <n v="4"/>
    <n v="2009"/>
    <s v="WD"/>
    <s v="Normal"/>
    <n v="310000"/>
  </r>
  <r>
    <n v="1444"/>
    <n v="30"/>
    <s v="RL"/>
    <s v="NA"/>
    <n v="8854"/>
    <s v="Pave"/>
    <s v="NA"/>
    <s v="Reg"/>
    <s v="Lvl"/>
    <s v="AllPub"/>
    <s v="Inside"/>
    <s v="Gtl"/>
    <x v="8"/>
    <x v="0"/>
    <s v="Norm"/>
    <x v="0"/>
    <x v="3"/>
    <n v="6"/>
    <n v="6"/>
    <x v="77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952"/>
    <n v="952"/>
    <s v="Grav"/>
    <s v="Fa"/>
    <s v="N"/>
    <s v="FuseF"/>
    <n v="952"/>
    <n v="0"/>
    <n v="0"/>
    <x v="73"/>
    <n v="0"/>
    <n v="0"/>
    <n v="1"/>
    <n v="0"/>
    <n v="2"/>
    <n v="1"/>
    <s v="Fa"/>
    <n v="4"/>
    <s v="Typ"/>
    <n v="1"/>
    <s v="Gd"/>
    <s v="Detchd"/>
    <n v="1916"/>
    <s v="Unf"/>
    <n v="1"/>
    <n v="192"/>
    <s v="Fa"/>
    <s v="Po"/>
    <s v="P"/>
    <n v="0"/>
    <n v="98"/>
    <n v="0"/>
    <n v="0"/>
    <n v="40"/>
    <n v="0"/>
    <s v="NA"/>
    <s v="NA"/>
    <s v="NA"/>
    <n v="0"/>
    <n v="5"/>
    <n v="2009"/>
    <s v="WD"/>
    <s v="Normal"/>
    <n v="121000"/>
  </r>
  <r>
    <n v="1445"/>
    <n v="20"/>
    <s v="RL"/>
    <n v="63"/>
    <n v="8500"/>
    <s v="Pave"/>
    <s v="NA"/>
    <s v="Reg"/>
    <s v="Lvl"/>
    <s v="AllPub"/>
    <s v="FR2"/>
    <s v="Gtl"/>
    <x v="0"/>
    <x v="0"/>
    <s v="Norm"/>
    <x v="0"/>
    <x v="1"/>
    <n v="7"/>
    <n v="5"/>
    <x v="6"/>
    <n v="2004"/>
    <s v="Gable"/>
    <s v="CompShg"/>
    <s v="VinylSd"/>
    <s v="VinylSd"/>
    <s v="BrkFace"/>
    <n v="106"/>
    <s v="Gd"/>
    <s v="TA"/>
    <s v="PConc"/>
    <s v="Gd"/>
    <s v="TA"/>
    <s v="Av"/>
    <s v="Unf"/>
    <n v="0"/>
    <s v="Unf"/>
    <n v="0"/>
    <n v="1422"/>
    <n v="1422"/>
    <s v="GasA"/>
    <s v="Ex"/>
    <s v="Y"/>
    <s v="SBrkr"/>
    <n v="1422"/>
    <n v="0"/>
    <n v="0"/>
    <x v="227"/>
    <n v="0"/>
    <n v="0"/>
    <n v="2"/>
    <n v="0"/>
    <n v="3"/>
    <n v="1"/>
    <s v="Gd"/>
    <n v="7"/>
    <s v="Typ"/>
    <n v="0"/>
    <s v="NA"/>
    <s v="Attchd"/>
    <n v="2004"/>
    <s v="RFn"/>
    <n v="2"/>
    <n v="626"/>
    <s v="TA"/>
    <s v="TA"/>
    <s v="Y"/>
    <n v="192"/>
    <n v="60"/>
    <n v="0"/>
    <n v="0"/>
    <n v="0"/>
    <n v="0"/>
    <s v="NA"/>
    <s v="NA"/>
    <s v="NA"/>
    <n v="0"/>
    <n v="11"/>
    <n v="2007"/>
    <s v="WD"/>
    <s v="Normal"/>
    <n v="179600"/>
  </r>
  <r>
    <n v="1446"/>
    <n v="85"/>
    <s v="RL"/>
    <n v="70"/>
    <n v="8400"/>
    <s v="Pave"/>
    <s v="NA"/>
    <s v="Reg"/>
    <s v="Lvl"/>
    <s v="AllPub"/>
    <s v="Inside"/>
    <s v="Gtl"/>
    <x v="9"/>
    <x v="0"/>
    <s v="Norm"/>
    <x v="0"/>
    <x v="4"/>
    <n v="6"/>
    <n v="5"/>
    <x v="27"/>
    <n v="1966"/>
    <s v="Gable"/>
    <s v="CompShg"/>
    <s v="VinylSd"/>
    <s v="VinylSd"/>
    <s v="None"/>
    <n v="0"/>
    <s v="TA"/>
    <s v="TA"/>
    <s v="CBlock"/>
    <s v="TA"/>
    <s v="TA"/>
    <s v="Gd"/>
    <s v="LwQ"/>
    <n v="187"/>
    <s v="Rec"/>
    <n v="627"/>
    <n v="0"/>
    <n v="814"/>
    <s v="GasA"/>
    <s v="Gd"/>
    <s v="Y"/>
    <s v="SBrkr"/>
    <n v="913"/>
    <n v="0"/>
    <n v="0"/>
    <x v="856"/>
    <n v="1"/>
    <n v="0"/>
    <n v="1"/>
    <n v="0"/>
    <n v="3"/>
    <n v="1"/>
    <s v="TA"/>
    <n v="6"/>
    <s v="Typ"/>
    <n v="0"/>
    <s v="NA"/>
    <s v="Detchd"/>
    <n v="1990"/>
    <s v="Unf"/>
    <n v="1"/>
    <n v="240"/>
    <s v="TA"/>
    <s v="TA"/>
    <s v="Y"/>
    <n v="0"/>
    <n v="0"/>
    <n v="252"/>
    <n v="0"/>
    <n v="0"/>
    <n v="0"/>
    <s v="NA"/>
    <s v="NA"/>
    <s v="NA"/>
    <n v="0"/>
    <n v="5"/>
    <n v="2007"/>
    <s v="WD"/>
    <s v="Normal"/>
    <n v="129000"/>
  </r>
  <r>
    <n v="1447"/>
    <n v="20"/>
    <s v="RL"/>
    <s v="NA"/>
    <n v="26142"/>
    <s v="Pave"/>
    <s v="NA"/>
    <s v="IR1"/>
    <s v="Lvl"/>
    <s v="AllPub"/>
    <s v="CulDSac"/>
    <s v="Gtl"/>
    <x v="4"/>
    <x v="0"/>
    <s v="Norm"/>
    <x v="0"/>
    <x v="1"/>
    <n v="5"/>
    <n v="7"/>
    <x v="12"/>
    <n v="1962"/>
    <s v="Gable"/>
    <s v="CompShg"/>
    <s v="HdBoard"/>
    <s v="HdBoard"/>
    <s v="BrkFace"/>
    <n v="189"/>
    <s v="TA"/>
    <s v="TA"/>
    <s v="CBlock"/>
    <s v="TA"/>
    <s v="TA"/>
    <s v="No"/>
    <s v="Rec"/>
    <n v="593"/>
    <s v="Unf"/>
    <n v="0"/>
    <n v="595"/>
    <n v="1188"/>
    <s v="GasA"/>
    <s v="TA"/>
    <s v="Y"/>
    <s v="SBrkr"/>
    <n v="1188"/>
    <n v="0"/>
    <n v="0"/>
    <x v="777"/>
    <n v="0"/>
    <n v="0"/>
    <n v="1"/>
    <n v="0"/>
    <n v="3"/>
    <n v="1"/>
    <s v="TA"/>
    <n v="6"/>
    <s v="Typ"/>
    <n v="0"/>
    <s v="NA"/>
    <s v="Attchd"/>
    <n v="1962"/>
    <s v="Unf"/>
    <n v="1"/>
    <n v="312"/>
    <s v="TA"/>
    <s v="TA"/>
    <s v="P"/>
    <n v="261"/>
    <n v="39"/>
    <n v="0"/>
    <n v="0"/>
    <n v="0"/>
    <n v="0"/>
    <s v="NA"/>
    <s v="NA"/>
    <s v="NA"/>
    <n v="0"/>
    <n v="4"/>
    <n v="2010"/>
    <s v="WD"/>
    <s v="Normal"/>
    <n v="157900"/>
  </r>
  <r>
    <n v="1448"/>
    <n v="60"/>
    <s v="RL"/>
    <n v="80"/>
    <n v="10000"/>
    <s v="Pave"/>
    <s v="NA"/>
    <s v="Reg"/>
    <s v="Lvl"/>
    <s v="AllPub"/>
    <s v="Inside"/>
    <s v="Gtl"/>
    <x v="0"/>
    <x v="0"/>
    <s v="Norm"/>
    <x v="0"/>
    <x v="0"/>
    <n v="8"/>
    <n v="5"/>
    <x v="49"/>
    <n v="1996"/>
    <s v="Gable"/>
    <s v="CompShg"/>
    <s v="VinylSd"/>
    <s v="VinylSd"/>
    <s v="BrkFace"/>
    <n v="438"/>
    <s v="Gd"/>
    <s v="TA"/>
    <s v="PConc"/>
    <s v="Gd"/>
    <s v="TA"/>
    <s v="No"/>
    <s v="GLQ"/>
    <n v="1079"/>
    <s v="Unf"/>
    <n v="0"/>
    <n v="141"/>
    <n v="1220"/>
    <s v="GasA"/>
    <s v="Ex"/>
    <s v="Y"/>
    <s v="SBrkr"/>
    <n v="1220"/>
    <n v="870"/>
    <n v="0"/>
    <x v="7"/>
    <n v="1"/>
    <n v="0"/>
    <n v="2"/>
    <n v="1"/>
    <n v="3"/>
    <n v="1"/>
    <s v="Gd"/>
    <n v="8"/>
    <s v="Typ"/>
    <n v="1"/>
    <s v="TA"/>
    <s v="Attchd"/>
    <n v="1995"/>
    <s v="RFn"/>
    <n v="2"/>
    <n v="556"/>
    <s v="TA"/>
    <s v="TA"/>
    <s v="Y"/>
    <n v="0"/>
    <n v="65"/>
    <n v="0"/>
    <n v="0"/>
    <n v="0"/>
    <n v="0"/>
    <s v="NA"/>
    <s v="NA"/>
    <s v="NA"/>
    <n v="0"/>
    <n v="12"/>
    <n v="2007"/>
    <s v="WD"/>
    <s v="Normal"/>
    <n v="240000"/>
  </r>
  <r>
    <n v="1449"/>
    <n v="50"/>
    <s v="RL"/>
    <n v="70"/>
    <n v="11767"/>
    <s v="Pave"/>
    <s v="NA"/>
    <s v="Reg"/>
    <s v="Lvl"/>
    <s v="AllPub"/>
    <s v="Inside"/>
    <s v="Gtl"/>
    <x v="15"/>
    <x v="0"/>
    <s v="Norm"/>
    <x v="0"/>
    <x v="0"/>
    <n v="4"/>
    <n v="7"/>
    <x v="48"/>
    <n v="2000"/>
    <s v="Gable"/>
    <s v="CompShg"/>
    <s v="MetalSd"/>
    <s v="HdBoard"/>
    <s v="None"/>
    <n v="0"/>
    <s v="TA"/>
    <s v="TA"/>
    <s v="CBlock"/>
    <s v="Fa"/>
    <s v="TA"/>
    <s v="No"/>
    <s v="Unf"/>
    <n v="0"/>
    <s v="Unf"/>
    <n v="0"/>
    <n v="560"/>
    <n v="560"/>
    <s v="GasA"/>
    <s v="Gd"/>
    <s v="N"/>
    <s v="SBrkr"/>
    <n v="796"/>
    <n v="550"/>
    <n v="0"/>
    <x v="857"/>
    <n v="0"/>
    <n v="0"/>
    <n v="1"/>
    <n v="1"/>
    <n v="2"/>
    <n v="1"/>
    <s v="TA"/>
    <n v="6"/>
    <s v="Min2"/>
    <n v="0"/>
    <s v="NA"/>
    <s v="Detchd"/>
    <n v="1950"/>
    <s v="Unf"/>
    <n v="1"/>
    <n v="384"/>
    <s v="Fa"/>
    <s v="TA"/>
    <s v="Y"/>
    <n v="168"/>
    <n v="24"/>
    <n v="0"/>
    <n v="0"/>
    <n v="0"/>
    <n v="0"/>
    <s v="NA"/>
    <s v="GdWo"/>
    <s v="NA"/>
    <n v="0"/>
    <n v="5"/>
    <n v="2007"/>
    <s v="WD"/>
    <s v="Normal"/>
    <n v="112000"/>
  </r>
  <r>
    <n v="1450"/>
    <n v="180"/>
    <s v="RM"/>
    <n v="21"/>
    <n v="1533"/>
    <s v="Pave"/>
    <s v="NA"/>
    <s v="Reg"/>
    <s v="Lvl"/>
    <s v="AllPub"/>
    <s v="Inside"/>
    <s v="Gtl"/>
    <x v="14"/>
    <x v="0"/>
    <s v="Norm"/>
    <x v="4"/>
    <x v="4"/>
    <n v="5"/>
    <n v="7"/>
    <x v="16"/>
    <n v="1970"/>
    <s v="Gable"/>
    <s v="CompShg"/>
    <s v="CemntBd"/>
    <s v="CmentBd"/>
    <s v="None"/>
    <n v="0"/>
    <s v="TA"/>
    <s v="TA"/>
    <s v="CBlock"/>
    <s v="Gd"/>
    <s v="TA"/>
    <s v="Av"/>
    <s v="GLQ"/>
    <n v="553"/>
    <s v="Unf"/>
    <n v="0"/>
    <n v="77"/>
    <n v="630"/>
    <s v="GasA"/>
    <s v="Ex"/>
    <s v="Y"/>
    <s v="SBrkr"/>
    <n v="630"/>
    <n v="0"/>
    <n v="0"/>
    <x v="353"/>
    <n v="1"/>
    <n v="0"/>
    <n v="1"/>
    <n v="0"/>
    <n v="1"/>
    <n v="1"/>
    <s v="Ex"/>
    <n v="3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n v="2006"/>
    <s v="WD"/>
    <s v="Abnorml"/>
    <n v="92000"/>
  </r>
  <r>
    <n v="1451"/>
    <n v="90"/>
    <s v="RL"/>
    <n v="60"/>
    <n v="9000"/>
    <s v="Pave"/>
    <s v="NA"/>
    <s v="Reg"/>
    <s v="Lvl"/>
    <s v="AllPub"/>
    <s v="FR2"/>
    <s v="Gtl"/>
    <x v="11"/>
    <x v="0"/>
    <s v="Norm"/>
    <x v="2"/>
    <x v="0"/>
    <n v="5"/>
    <n v="5"/>
    <x v="99"/>
    <n v="1974"/>
    <s v="Gable"/>
    <s v="CompShg"/>
    <s v="VinylSd"/>
    <s v="VinylSd"/>
    <s v="None"/>
    <n v="0"/>
    <s v="TA"/>
    <s v="TA"/>
    <s v="CBlock"/>
    <s v="Gd"/>
    <s v="TA"/>
    <s v="No"/>
    <s v="Unf"/>
    <n v="0"/>
    <s v="Unf"/>
    <n v="0"/>
    <n v="896"/>
    <n v="896"/>
    <s v="GasA"/>
    <s v="TA"/>
    <s v="Y"/>
    <s v="SBrkr"/>
    <n v="896"/>
    <n v="896"/>
    <n v="0"/>
    <x v="223"/>
    <n v="0"/>
    <n v="0"/>
    <n v="2"/>
    <n v="2"/>
    <n v="4"/>
    <n v="2"/>
    <s v="TA"/>
    <n v="8"/>
    <s v="Typ"/>
    <n v="0"/>
    <s v="NA"/>
    <s v="NA"/>
    <s v="NA"/>
    <s v="NA"/>
    <n v="0"/>
    <n v="0"/>
    <s v="NA"/>
    <s v="NA"/>
    <s v="Y"/>
    <n v="32"/>
    <n v="45"/>
    <n v="0"/>
    <n v="0"/>
    <n v="0"/>
    <n v="0"/>
    <s v="NA"/>
    <s v="NA"/>
    <s v="NA"/>
    <n v="0"/>
    <n v="9"/>
    <n v="2009"/>
    <s v="WD"/>
    <s v="Normal"/>
    <n v="136000"/>
  </r>
  <r>
    <n v="1452"/>
    <n v="20"/>
    <s v="RL"/>
    <n v="78"/>
    <n v="9262"/>
    <s v="Pave"/>
    <s v="NA"/>
    <s v="Reg"/>
    <s v="Lvl"/>
    <s v="AllPub"/>
    <s v="Inside"/>
    <s v="Gtl"/>
    <x v="5"/>
    <x v="0"/>
    <s v="Norm"/>
    <x v="0"/>
    <x v="1"/>
    <n v="8"/>
    <n v="5"/>
    <x v="74"/>
    <n v="2009"/>
    <s v="Gable"/>
    <s v="CompShg"/>
    <s v="CemntBd"/>
    <s v="CmentBd"/>
    <s v="Stone"/>
    <n v="194"/>
    <s v="Gd"/>
    <s v="TA"/>
    <s v="PConc"/>
    <s v="Gd"/>
    <s v="TA"/>
    <s v="No"/>
    <s v="Unf"/>
    <n v="0"/>
    <s v="Unf"/>
    <n v="0"/>
    <n v="1573"/>
    <n v="1573"/>
    <s v="GasA"/>
    <s v="Ex"/>
    <s v="Y"/>
    <s v="SBrkr"/>
    <n v="1578"/>
    <n v="0"/>
    <n v="0"/>
    <x v="394"/>
    <n v="0"/>
    <n v="0"/>
    <n v="2"/>
    <n v="0"/>
    <n v="3"/>
    <n v="1"/>
    <s v="Ex"/>
    <n v="7"/>
    <s v="Typ"/>
    <n v="1"/>
    <s v="Gd"/>
    <s v="Attchd"/>
    <n v="2008"/>
    <s v="Fin"/>
    <n v="3"/>
    <n v="840"/>
    <s v="TA"/>
    <s v="TA"/>
    <s v="Y"/>
    <n v="0"/>
    <n v="36"/>
    <n v="0"/>
    <n v="0"/>
    <n v="0"/>
    <n v="0"/>
    <s v="NA"/>
    <s v="NA"/>
    <s v="NA"/>
    <n v="0"/>
    <n v="5"/>
    <n v="2009"/>
    <s v="New"/>
    <s v="Partial"/>
    <n v="287090"/>
  </r>
  <r>
    <n v="1453"/>
    <n v="180"/>
    <s v="RM"/>
    <n v="35"/>
    <n v="3675"/>
    <s v="Pave"/>
    <s v="NA"/>
    <s v="Reg"/>
    <s v="Lvl"/>
    <s v="AllPub"/>
    <s v="Inside"/>
    <s v="Gtl"/>
    <x v="15"/>
    <x v="0"/>
    <s v="Norm"/>
    <x v="3"/>
    <x v="5"/>
    <n v="5"/>
    <n v="5"/>
    <x v="11"/>
    <n v="2005"/>
    <s v="Gable"/>
    <s v="CompShg"/>
    <s v="VinylSd"/>
    <s v="VinylSd"/>
    <s v="BrkFace"/>
    <n v="80"/>
    <s v="TA"/>
    <s v="TA"/>
    <s v="PConc"/>
    <s v="Gd"/>
    <s v="TA"/>
    <s v="Gd"/>
    <s v="GLQ"/>
    <n v="547"/>
    <s v="Unf"/>
    <n v="0"/>
    <n v="0"/>
    <n v="547"/>
    <s v="GasA"/>
    <s v="Gd"/>
    <s v="Y"/>
    <s v="SBrkr"/>
    <n v="1072"/>
    <n v="0"/>
    <n v="0"/>
    <x v="379"/>
    <n v="1"/>
    <n v="0"/>
    <n v="1"/>
    <n v="0"/>
    <n v="2"/>
    <n v="1"/>
    <s v="TA"/>
    <n v="5"/>
    <s v="Typ"/>
    <n v="0"/>
    <s v="NA"/>
    <s v="Basment"/>
    <n v="2005"/>
    <s v="Fin"/>
    <n v="2"/>
    <n v="525"/>
    <s v="TA"/>
    <s v="TA"/>
    <s v="Y"/>
    <n v="0"/>
    <n v="28"/>
    <n v="0"/>
    <n v="0"/>
    <n v="0"/>
    <n v="0"/>
    <s v="NA"/>
    <s v="NA"/>
    <s v="NA"/>
    <n v="0"/>
    <n v="5"/>
    <n v="2006"/>
    <s v="WD"/>
    <s v="Normal"/>
    <n v="145000"/>
  </r>
  <r>
    <n v="1454"/>
    <n v="20"/>
    <s v="RL"/>
    <n v="90"/>
    <n v="17217"/>
    <s v="Pave"/>
    <s v="NA"/>
    <s v="Reg"/>
    <s v="Lvl"/>
    <s v="AllPub"/>
    <s v="Inside"/>
    <s v="Gtl"/>
    <x v="4"/>
    <x v="0"/>
    <s v="Norm"/>
    <x v="0"/>
    <x v="1"/>
    <n v="5"/>
    <n v="5"/>
    <x v="13"/>
    <n v="2006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140"/>
    <n v="1140"/>
    <s v="GasA"/>
    <s v="Ex"/>
    <s v="Y"/>
    <s v="SBrkr"/>
    <n v="1140"/>
    <n v="0"/>
    <n v="0"/>
    <x v="550"/>
    <n v="0"/>
    <n v="0"/>
    <n v="1"/>
    <n v="0"/>
    <n v="3"/>
    <n v="1"/>
    <s v="TA"/>
    <n v="6"/>
    <s v="Typ"/>
    <n v="0"/>
    <s v="NA"/>
    <s v="NA"/>
    <s v="NA"/>
    <s v="NA"/>
    <n v="0"/>
    <n v="0"/>
    <s v="NA"/>
    <s v="NA"/>
    <s v="Y"/>
    <n v="36"/>
    <n v="56"/>
    <n v="0"/>
    <n v="0"/>
    <n v="0"/>
    <n v="0"/>
    <s v="NA"/>
    <s v="NA"/>
    <s v="NA"/>
    <n v="0"/>
    <n v="7"/>
    <n v="2006"/>
    <s v="WD"/>
    <s v="Abnorml"/>
    <n v="84500"/>
  </r>
  <r>
    <n v="1455"/>
    <n v="20"/>
    <s v="FV"/>
    <n v="62"/>
    <n v="7500"/>
    <s v="Pave"/>
    <s v="Pave"/>
    <s v="Reg"/>
    <s v="Lvl"/>
    <s v="AllPub"/>
    <s v="Inside"/>
    <s v="Gtl"/>
    <x v="5"/>
    <x v="0"/>
    <s v="Norm"/>
    <x v="0"/>
    <x v="1"/>
    <n v="7"/>
    <n v="5"/>
    <x v="6"/>
    <n v="2005"/>
    <s v="Gable"/>
    <s v="CompShg"/>
    <s v="VinylSd"/>
    <s v="VinylSd"/>
    <s v="None"/>
    <n v="0"/>
    <s v="Gd"/>
    <s v="TA"/>
    <s v="PConc"/>
    <s v="Gd"/>
    <s v="TA"/>
    <s v="No"/>
    <s v="GLQ"/>
    <n v="410"/>
    <s v="Unf"/>
    <n v="0"/>
    <n v="811"/>
    <n v="1221"/>
    <s v="GasA"/>
    <s v="Ex"/>
    <s v="Y"/>
    <s v="SBrkr"/>
    <n v="1221"/>
    <n v="0"/>
    <n v="0"/>
    <x v="755"/>
    <n v="1"/>
    <n v="0"/>
    <n v="2"/>
    <n v="0"/>
    <n v="2"/>
    <n v="1"/>
    <s v="Gd"/>
    <n v="6"/>
    <s v="Typ"/>
    <n v="0"/>
    <s v="NA"/>
    <s v="Attchd"/>
    <n v="2004"/>
    <s v="RFn"/>
    <n v="2"/>
    <n v="400"/>
    <s v="TA"/>
    <s v="TA"/>
    <s v="Y"/>
    <n v="0"/>
    <n v="113"/>
    <n v="0"/>
    <n v="0"/>
    <n v="0"/>
    <n v="0"/>
    <s v="NA"/>
    <s v="NA"/>
    <s v="NA"/>
    <n v="0"/>
    <n v="10"/>
    <n v="2009"/>
    <s v="WD"/>
    <s v="Normal"/>
    <n v="185000"/>
  </r>
  <r>
    <n v="1456"/>
    <n v="60"/>
    <s v="RL"/>
    <n v="62"/>
    <n v="7917"/>
    <s v="Pave"/>
    <s v="NA"/>
    <s v="Reg"/>
    <s v="Lvl"/>
    <s v="AllPub"/>
    <s v="Inside"/>
    <s v="Gtl"/>
    <x v="17"/>
    <x v="0"/>
    <s v="Norm"/>
    <x v="0"/>
    <x v="0"/>
    <n v="6"/>
    <n v="5"/>
    <x v="40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53"/>
    <n v="953"/>
    <s v="GasA"/>
    <s v="Ex"/>
    <s v="Y"/>
    <s v="SBrkr"/>
    <n v="953"/>
    <n v="694"/>
    <n v="0"/>
    <x v="445"/>
    <n v="0"/>
    <n v="0"/>
    <n v="2"/>
    <n v="1"/>
    <n v="3"/>
    <n v="1"/>
    <s v="TA"/>
    <n v="7"/>
    <s v="Typ"/>
    <n v="1"/>
    <s v="TA"/>
    <s v="Attchd"/>
    <n v="1999"/>
    <s v="RFn"/>
    <n v="2"/>
    <n v="460"/>
    <s v="TA"/>
    <s v="TA"/>
    <s v="Y"/>
    <n v="0"/>
    <n v="40"/>
    <n v="0"/>
    <n v="0"/>
    <n v="0"/>
    <n v="0"/>
    <s v="NA"/>
    <s v="NA"/>
    <s v="NA"/>
    <n v="0"/>
    <n v="8"/>
    <n v="2007"/>
    <s v="WD"/>
    <s v="Normal"/>
    <n v="175000"/>
  </r>
  <r>
    <n v="1457"/>
    <n v="20"/>
    <s v="RL"/>
    <n v="85"/>
    <n v="13175"/>
    <s v="Pave"/>
    <s v="NA"/>
    <s v="Reg"/>
    <s v="Lvl"/>
    <s v="AllPub"/>
    <s v="Inside"/>
    <s v="Gtl"/>
    <x v="6"/>
    <x v="0"/>
    <s v="Norm"/>
    <x v="0"/>
    <x v="1"/>
    <n v="6"/>
    <n v="6"/>
    <x v="90"/>
    <n v="1988"/>
    <s v="Gable"/>
    <s v="CompShg"/>
    <s v="Plywood"/>
    <s v="Plywood"/>
    <s v="Stone"/>
    <n v="119"/>
    <s v="TA"/>
    <s v="TA"/>
    <s v="CBlock"/>
    <s v="Gd"/>
    <s v="TA"/>
    <s v="No"/>
    <s v="ALQ"/>
    <n v="790"/>
    <s v="Rec"/>
    <n v="163"/>
    <n v="589"/>
    <n v="1542"/>
    <s v="GasA"/>
    <s v="TA"/>
    <s v="Y"/>
    <s v="SBrkr"/>
    <n v="2073"/>
    <n v="0"/>
    <n v="0"/>
    <x v="858"/>
    <n v="1"/>
    <n v="0"/>
    <n v="2"/>
    <n v="0"/>
    <n v="3"/>
    <n v="1"/>
    <s v="TA"/>
    <n v="7"/>
    <s v="Min1"/>
    <n v="2"/>
    <s v="TA"/>
    <s v="Attchd"/>
    <n v="1978"/>
    <s v="Unf"/>
    <n v="2"/>
    <n v="500"/>
    <s v="TA"/>
    <s v="TA"/>
    <s v="Y"/>
    <n v="349"/>
    <n v="0"/>
    <n v="0"/>
    <n v="0"/>
    <n v="0"/>
    <n v="0"/>
    <s v="NA"/>
    <s v="MnPrv"/>
    <s v="NA"/>
    <n v="0"/>
    <n v="2"/>
    <n v="2010"/>
    <s v="WD"/>
    <s v="Normal"/>
    <n v="210000"/>
  </r>
  <r>
    <n v="1458"/>
    <n v="70"/>
    <s v="RL"/>
    <n v="66"/>
    <n v="9042"/>
    <s v="Pave"/>
    <s v="NA"/>
    <s v="Reg"/>
    <s v="Lvl"/>
    <s v="AllPub"/>
    <s v="Inside"/>
    <s v="Gtl"/>
    <x v="2"/>
    <x v="0"/>
    <s v="Norm"/>
    <x v="0"/>
    <x v="0"/>
    <n v="7"/>
    <n v="9"/>
    <x v="71"/>
    <n v="2006"/>
    <s v="Gable"/>
    <s v="CompShg"/>
    <s v="CemntBd"/>
    <s v="CmentBd"/>
    <s v="None"/>
    <n v="0"/>
    <s v="Ex"/>
    <s v="Gd"/>
    <s v="Stone"/>
    <s v="TA"/>
    <s v="Gd"/>
    <s v="No"/>
    <s v="GLQ"/>
    <n v="275"/>
    <s v="Unf"/>
    <n v="0"/>
    <n v="877"/>
    <n v="1152"/>
    <s v="GasA"/>
    <s v="Ex"/>
    <s v="Y"/>
    <s v="SBrkr"/>
    <n v="1188"/>
    <n v="1152"/>
    <n v="0"/>
    <x v="859"/>
    <n v="0"/>
    <n v="0"/>
    <n v="2"/>
    <n v="0"/>
    <n v="4"/>
    <n v="1"/>
    <s v="Gd"/>
    <n v="9"/>
    <s v="Typ"/>
    <n v="2"/>
    <s v="Gd"/>
    <s v="Attchd"/>
    <n v="1941"/>
    <s v="RFn"/>
    <n v="1"/>
    <n v="252"/>
    <s v="TA"/>
    <s v="TA"/>
    <s v="Y"/>
    <n v="0"/>
    <n v="60"/>
    <n v="0"/>
    <n v="0"/>
    <n v="0"/>
    <n v="0"/>
    <s v="NA"/>
    <s v="GdPrv"/>
    <s v="Shed"/>
    <n v="2500"/>
    <n v="5"/>
    <n v="2010"/>
    <s v="WD"/>
    <s v="Normal"/>
    <n v="266500"/>
  </r>
  <r>
    <n v="1459"/>
    <n v="20"/>
    <s v="RL"/>
    <n v="68"/>
    <n v="9717"/>
    <s v="Pave"/>
    <s v="NA"/>
    <s v="Reg"/>
    <s v="Lvl"/>
    <s v="AllPub"/>
    <s v="Inside"/>
    <s v="Gtl"/>
    <x v="11"/>
    <x v="0"/>
    <s v="Norm"/>
    <x v="0"/>
    <x v="1"/>
    <n v="5"/>
    <n v="6"/>
    <x v="52"/>
    <n v="1996"/>
    <s v="Hip"/>
    <s v="CompShg"/>
    <s v="MetalSd"/>
    <s v="MetalSd"/>
    <s v="None"/>
    <n v="0"/>
    <s v="TA"/>
    <s v="TA"/>
    <s v="CBlock"/>
    <s v="TA"/>
    <s v="TA"/>
    <s v="Mn"/>
    <s v="GLQ"/>
    <n v="49"/>
    <s v="Rec"/>
    <n v="1029"/>
    <n v="0"/>
    <n v="1078"/>
    <s v="GasA"/>
    <s v="Gd"/>
    <s v="Y"/>
    <s v="FuseA"/>
    <n v="1078"/>
    <n v="0"/>
    <n v="0"/>
    <x v="826"/>
    <n v="1"/>
    <n v="0"/>
    <n v="1"/>
    <n v="0"/>
    <n v="2"/>
    <n v="1"/>
    <s v="Gd"/>
    <n v="5"/>
    <s v="Typ"/>
    <n v="0"/>
    <s v="NA"/>
    <s v="Attchd"/>
    <n v="1950"/>
    <s v="Unf"/>
    <n v="1"/>
    <n v="240"/>
    <s v="TA"/>
    <s v="TA"/>
    <s v="Y"/>
    <n v="366"/>
    <n v="0"/>
    <n v="112"/>
    <n v="0"/>
    <n v="0"/>
    <n v="0"/>
    <s v="NA"/>
    <s v="NA"/>
    <s v="NA"/>
    <n v="0"/>
    <n v="4"/>
    <n v="2010"/>
    <s v="WD"/>
    <s v="Normal"/>
    <n v="142125"/>
  </r>
  <r>
    <n v="1460"/>
    <n v="20"/>
    <s v="RL"/>
    <n v="75"/>
    <n v="9937"/>
    <s v="Pave"/>
    <s v="NA"/>
    <s v="Reg"/>
    <s v="Lvl"/>
    <s v="AllPub"/>
    <s v="Inside"/>
    <s v="Gtl"/>
    <x v="15"/>
    <x v="0"/>
    <s v="Norm"/>
    <x v="0"/>
    <x v="1"/>
    <n v="5"/>
    <n v="6"/>
    <x v="10"/>
    <n v="1965"/>
    <s v="Gable"/>
    <s v="CompShg"/>
    <s v="HdBoard"/>
    <s v="HdBoard"/>
    <s v="None"/>
    <n v="0"/>
    <s v="Gd"/>
    <s v="TA"/>
    <s v="CBlock"/>
    <s v="TA"/>
    <s v="TA"/>
    <s v="No"/>
    <s v="BLQ"/>
    <n v="830"/>
    <s v="LwQ"/>
    <n v="290"/>
    <n v="136"/>
    <n v="1256"/>
    <s v="GasA"/>
    <s v="Gd"/>
    <s v="Y"/>
    <s v="SBrkr"/>
    <n v="1256"/>
    <n v="0"/>
    <n v="0"/>
    <x v="860"/>
    <n v="1"/>
    <n v="0"/>
    <n v="1"/>
    <n v="1"/>
    <n v="3"/>
    <n v="1"/>
    <s v="TA"/>
    <n v="6"/>
    <s v="Typ"/>
    <n v="0"/>
    <s v="NA"/>
    <s v="Attchd"/>
    <n v="1965"/>
    <s v="Fin"/>
    <n v="1"/>
    <n v="276"/>
    <s v="TA"/>
    <s v="TA"/>
    <s v="Y"/>
    <n v="736"/>
    <n v="68"/>
    <n v="0"/>
    <n v="0"/>
    <n v="0"/>
    <n v="0"/>
    <s v="NA"/>
    <s v="NA"/>
    <s v="NA"/>
    <n v="0"/>
    <n v="6"/>
    <n v="2008"/>
    <s v="WD"/>
    <s v="Normal"/>
    <n v="14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EE439-0537-4ED6-B879-E077CCE145B4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23:B35" firstHeaderRow="1" firstDataRow="1" firstDataCol="1" rowPageCount="1" colPageCount="1"/>
  <pivotFields count="81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25">
        <item x="21"/>
        <item x="24"/>
        <item x="22"/>
        <item x="8"/>
        <item x="19"/>
        <item x="0"/>
        <item x="2"/>
        <item x="15"/>
        <item x="17"/>
        <item x="13"/>
        <item x="14"/>
        <item x="4"/>
        <item x="11"/>
        <item x="3"/>
        <item x="20"/>
        <item x="10"/>
        <item x="6"/>
        <item x="7"/>
        <item x="9"/>
        <item x="12"/>
        <item x="5"/>
        <item x="18"/>
        <item x="23"/>
        <item x="16"/>
        <item x="1"/>
      </items>
    </pivotField>
    <pivotField showAll="0" defaultSubtotal="0">
      <items count="9">
        <item x="3"/>
        <item x="1"/>
        <item x="0"/>
        <item x="7"/>
        <item x="2"/>
        <item x="4"/>
        <item x="6"/>
        <item x="8"/>
        <item x="5"/>
      </items>
    </pivotField>
    <pivotField showAll="0" defaultSubtotal="0"/>
    <pivotField axis="axisPage" showAll="0" defaultSubtotal="0">
      <items count="5">
        <item x="0"/>
        <item x="1"/>
        <item x="2"/>
        <item x="4"/>
        <item x="3"/>
      </items>
    </pivotField>
    <pivotField showAll="0" defaultSubtotal="0">
      <items count="8">
        <item x="2"/>
        <item x="3"/>
        <item x="1"/>
        <item x="7"/>
        <item x="6"/>
        <item x="0"/>
        <item x="4"/>
        <item x="5"/>
      </items>
    </pivotField>
    <pivotField showAll="0" defaultSubtotal="0"/>
    <pivotField showAll="0" defaultSubtotal="0"/>
    <pivotField axis="axisRow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861">
        <item x="422"/>
        <item x="718"/>
        <item x="640"/>
        <item x="27"/>
        <item x="418"/>
        <item x="527"/>
        <item x="353"/>
        <item x="331"/>
        <item x="677"/>
        <item x="817"/>
        <item x="355"/>
        <item x="727"/>
        <item x="813"/>
        <item x="296"/>
        <item x="533"/>
        <item x="65"/>
        <item x="308"/>
        <item x="118"/>
        <item x="226"/>
        <item x="429"/>
        <item x="433"/>
        <item x="578"/>
        <item x="814"/>
        <item x="230"/>
        <item x="57"/>
        <item x="318"/>
        <item x="325"/>
        <item x="101"/>
        <item x="833"/>
        <item x="517"/>
        <item x="492"/>
        <item x="490"/>
        <item x="273"/>
        <item x="850"/>
        <item x="364"/>
        <item x="50"/>
        <item x="434"/>
        <item x="421"/>
        <item x="476"/>
        <item x="725"/>
        <item x="92"/>
        <item x="457"/>
        <item x="120"/>
        <item x="287"/>
        <item x="68"/>
        <item x="182"/>
        <item x="15"/>
        <item x="243"/>
        <item x="458"/>
        <item x="258"/>
        <item x="132"/>
        <item x="210"/>
        <item x="668"/>
        <item x="819"/>
        <item x="786"/>
        <item x="138"/>
        <item x="152"/>
        <item x="40"/>
        <item x="395"/>
        <item x="623"/>
        <item x="711"/>
        <item x="204"/>
        <item x="398"/>
        <item x="25"/>
        <item x="571"/>
        <item x="633"/>
        <item x="310"/>
        <item x="348"/>
        <item x="617"/>
        <item x="12"/>
        <item x="856"/>
        <item x="311"/>
        <item x="666"/>
        <item x="518"/>
        <item x="463"/>
        <item x="651"/>
        <item x="416"/>
        <item x="696"/>
        <item x="739"/>
        <item x="460"/>
        <item x="590"/>
        <item x="41"/>
        <item x="448"/>
        <item x="676"/>
        <item x="543"/>
        <item x="719"/>
        <item x="629"/>
        <item x="73"/>
        <item x="690"/>
        <item x="47"/>
        <item x="119"/>
        <item x="91"/>
        <item x="88"/>
        <item x="659"/>
        <item x="165"/>
        <item x="141"/>
        <item x="382"/>
        <item x="537"/>
        <item x="260"/>
        <item x="731"/>
        <item x="480"/>
        <item x="498"/>
        <item x="679"/>
        <item x="733"/>
        <item x="200"/>
        <item x="72"/>
        <item x="86"/>
        <item x="442"/>
        <item x="389"/>
        <item x="615"/>
        <item x="249"/>
        <item x="16"/>
        <item x="728"/>
        <item x="737"/>
        <item x="588"/>
        <item x="726"/>
        <item x="638"/>
        <item x="734"/>
        <item x="683"/>
        <item x="552"/>
        <item x="339"/>
        <item x="471"/>
        <item x="473"/>
        <item x="326"/>
        <item x="613"/>
        <item x="10"/>
        <item x="404"/>
        <item x="587"/>
        <item x="100"/>
        <item x="439"/>
        <item x="675"/>
        <item x="589"/>
        <item x="122"/>
        <item x="475"/>
        <item x="278"/>
        <item x="36"/>
        <item x="23"/>
        <item x="574"/>
        <item x="634"/>
        <item x="80"/>
        <item x="598"/>
        <item x="628"/>
        <item x="436"/>
        <item x="379"/>
        <item x="390"/>
        <item x="762"/>
        <item x="9"/>
        <item x="826"/>
        <item x="115"/>
        <item x="684"/>
        <item x="70"/>
        <item x="717"/>
        <item x="621"/>
        <item x="110"/>
        <item x="499"/>
        <item x="665"/>
        <item x="145"/>
        <item x="34"/>
        <item x="664"/>
        <item x="600"/>
        <item x="186"/>
        <item x="521"/>
        <item x="705"/>
        <item x="21"/>
        <item x="450"/>
        <item x="568"/>
        <item x="59"/>
        <item x="289"/>
        <item x="231"/>
        <item x="18"/>
        <item x="483"/>
        <item x="563"/>
        <item x="261"/>
        <item x="474"/>
        <item x="179"/>
        <item x="806"/>
        <item x="114"/>
        <item x="751"/>
        <item x="111"/>
        <item x="437"/>
        <item x="582"/>
        <item x="754"/>
        <item x="385"/>
        <item x="685"/>
        <item x="343"/>
        <item x="373"/>
        <item x="515"/>
        <item x="526"/>
        <item x="771"/>
        <item x="550"/>
        <item x="780"/>
        <item x="299"/>
        <item x="327"/>
        <item x="573"/>
        <item x="541"/>
        <item x="528"/>
        <item x="42"/>
        <item x="37"/>
        <item x="706"/>
        <item x="620"/>
        <item x="58"/>
        <item x="425"/>
        <item x="271"/>
        <item x="530"/>
        <item x="602"/>
        <item x="789"/>
        <item x="298"/>
        <item x="781"/>
        <item x="49"/>
        <item x="534"/>
        <item x="512"/>
        <item x="507"/>
        <item x="363"/>
        <item x="321"/>
        <item x="777"/>
        <item x="776"/>
        <item x="277"/>
        <item x="202"/>
        <item x="346"/>
        <item x="351"/>
        <item x="116"/>
        <item x="144"/>
        <item x="371"/>
        <item x="565"/>
        <item x="349"/>
        <item x="767"/>
        <item x="188"/>
        <item x="128"/>
        <item x="285"/>
        <item x="388"/>
        <item x="171"/>
        <item x="399"/>
        <item x="562"/>
        <item x="755"/>
        <item x="595"/>
        <item x="84"/>
        <item x="93"/>
        <item x="97"/>
        <item x="29"/>
        <item x="641"/>
        <item x="76"/>
        <item x="149"/>
        <item x="30"/>
        <item x="87"/>
        <item x="190"/>
        <item x="712"/>
        <item x="669"/>
        <item x="368"/>
        <item x="412"/>
        <item x="802"/>
        <item x="716"/>
        <item x="193"/>
        <item x="242"/>
        <item x="715"/>
        <item x="143"/>
        <item x="14"/>
        <item x="860"/>
        <item x="358"/>
        <item x="747"/>
        <item x="1"/>
        <item x="687"/>
        <item x="741"/>
        <item x="415"/>
        <item x="305"/>
        <item x="320"/>
        <item x="682"/>
        <item x="807"/>
        <item x="338"/>
        <item x="375"/>
        <item x="180"/>
        <item x="764"/>
        <item x="183"/>
        <item x="74"/>
        <item x="306"/>
        <item x="330"/>
        <item x="519"/>
        <item x="411"/>
        <item x="17"/>
        <item x="35"/>
        <item x="738"/>
        <item x="316"/>
        <item x="198"/>
        <item x="393"/>
        <item x="218"/>
        <item x="663"/>
        <item x="586"/>
        <item x="181"/>
        <item x="221"/>
        <item x="225"/>
        <item x="28"/>
        <item x="309"/>
        <item x="452"/>
        <item x="401"/>
        <item x="38"/>
        <item x="125"/>
        <item x="39"/>
        <item x="816"/>
        <item x="253"/>
        <item x="78"/>
        <item x="703"/>
        <item x="19"/>
        <item x="168"/>
        <item x="569"/>
        <item x="750"/>
        <item x="140"/>
        <item x="857"/>
        <item x="423"/>
        <item x="121"/>
        <item x="544"/>
        <item x="485"/>
        <item x="300"/>
        <item x="154"/>
        <item x="795"/>
        <item x="280"/>
        <item x="52"/>
        <item x="5"/>
        <item x="233"/>
        <item x="700"/>
        <item x="352"/>
        <item x="323"/>
        <item x="405"/>
        <item x="514"/>
        <item x="60"/>
        <item x="614"/>
        <item x="831"/>
        <item x="215"/>
        <item x="362"/>
        <item x="403"/>
        <item x="658"/>
        <item x="158"/>
        <item x="275"/>
        <item x="134"/>
        <item x="554"/>
        <item x="491"/>
        <item x="347"/>
        <item x="529"/>
        <item x="189"/>
        <item x="625"/>
        <item x="304"/>
        <item x="796"/>
        <item x="244"/>
        <item x="341"/>
        <item x="464"/>
        <item x="785"/>
        <item x="257"/>
        <item x="488"/>
        <item x="350"/>
        <item x="206"/>
        <item x="603"/>
        <item x="522"/>
        <item x="227"/>
        <item x="53"/>
        <item x="612"/>
        <item x="583"/>
        <item x="453"/>
        <item x="105"/>
        <item x="174"/>
        <item x="264"/>
        <item x="593"/>
        <item x="191"/>
        <item x="511"/>
        <item x="211"/>
        <item x="516"/>
        <item x="184"/>
        <item x="608"/>
        <item x="440"/>
        <item x="46"/>
        <item x="295"/>
        <item x="113"/>
        <item x="109"/>
        <item x="714"/>
        <item x="545"/>
        <item x="650"/>
        <item x="240"/>
        <item x="503"/>
        <item x="48"/>
        <item x="553"/>
        <item x="267"/>
        <item x="459"/>
        <item x="81"/>
        <item x="830"/>
        <item x="513"/>
        <item x="451"/>
        <item x="291"/>
        <item x="64"/>
        <item x="610"/>
        <item x="601"/>
        <item x="391"/>
        <item x="505"/>
        <item x="208"/>
        <item x="592"/>
        <item x="770"/>
        <item x="383"/>
        <item x="13"/>
        <item x="430"/>
        <item x="194"/>
        <item x="653"/>
        <item x="135"/>
        <item x="377"/>
        <item x="678"/>
        <item x="302"/>
        <item x="558"/>
        <item x="774"/>
        <item x="420"/>
        <item x="502"/>
        <item x="228"/>
        <item x="481"/>
        <item x="842"/>
        <item x="597"/>
        <item x="102"/>
        <item x="494"/>
        <item x="484"/>
        <item x="681"/>
        <item x="699"/>
        <item x="794"/>
        <item x="166"/>
        <item x="85"/>
        <item x="549"/>
        <item x="729"/>
        <item x="365"/>
        <item x="96"/>
        <item x="283"/>
        <item x="851"/>
        <item x="525"/>
        <item x="151"/>
        <item x="556"/>
        <item x="236"/>
        <item x="329"/>
        <item x="196"/>
        <item x="783"/>
        <item x="487"/>
        <item x="201"/>
        <item x="465"/>
        <item x="441"/>
        <item x="250"/>
        <item x="599"/>
        <item x="83"/>
        <item x="32"/>
        <item x="79"/>
        <item x="577"/>
        <item x="209"/>
        <item x="493"/>
        <item x="847"/>
        <item x="708"/>
        <item x="332"/>
        <item x="357"/>
        <item x="303"/>
        <item x="241"/>
        <item x="584"/>
        <item x="290"/>
        <item x="394"/>
        <item x="742"/>
        <item x="461"/>
        <item x="838"/>
        <item x="117"/>
        <item x="90"/>
        <item x="367"/>
        <item x="172"/>
        <item x="297"/>
        <item x="24"/>
        <item x="426"/>
        <item x="344"/>
        <item x="567"/>
        <item x="222"/>
        <item x="71"/>
        <item x="843"/>
        <item x="94"/>
        <item x="709"/>
        <item x="566"/>
        <item x="153"/>
        <item x="644"/>
        <item x="333"/>
        <item x="284"/>
        <item x="759"/>
        <item x="757"/>
        <item x="219"/>
        <item x="292"/>
        <item x="279"/>
        <item x="761"/>
        <item x="235"/>
        <item x="376"/>
        <item x="432"/>
        <item x="635"/>
        <item x="281"/>
        <item x="334"/>
        <item x="220"/>
        <item x="263"/>
        <item x="248"/>
        <item x="607"/>
        <item x="445"/>
        <item x="160"/>
        <item x="381"/>
        <item x="689"/>
        <item x="45"/>
        <item x="680"/>
        <item x="723"/>
        <item x="798"/>
        <item x="374"/>
        <item x="354"/>
        <item x="369"/>
        <item x="307"/>
        <item x="501"/>
        <item x="370"/>
        <item x="216"/>
        <item x="632"/>
        <item x="744"/>
        <item x="443"/>
        <item x="790"/>
        <item x="510"/>
        <item x="335"/>
        <item x="127"/>
        <item x="627"/>
        <item x="288"/>
        <item x="645"/>
        <item x="841"/>
        <item x="580"/>
        <item x="359"/>
        <item x="722"/>
        <item x="315"/>
        <item x="449"/>
        <item x="6"/>
        <item x="185"/>
        <item x="539"/>
        <item x="756"/>
        <item x="31"/>
        <item x="604"/>
        <item x="773"/>
        <item x="26"/>
        <item x="157"/>
        <item x="805"/>
        <item x="137"/>
        <item x="0"/>
        <item x="624"/>
        <item x="178"/>
        <item x="559"/>
        <item x="246"/>
        <item x="3"/>
        <item x="69"/>
        <item x="274"/>
        <item x="55"/>
        <item x="126"/>
        <item x="424"/>
        <item x="853"/>
        <item x="175"/>
        <item x="136"/>
        <item x="95"/>
        <item x="591"/>
        <item x="133"/>
        <item x="829"/>
        <item x="54"/>
        <item x="713"/>
        <item x="538"/>
        <item x="252"/>
        <item x="207"/>
        <item x="837"/>
        <item x="486"/>
        <item x="43"/>
        <item x="366"/>
        <item x="520"/>
        <item x="835"/>
        <item x="131"/>
        <item x="497"/>
        <item x="159"/>
        <item x="75"/>
        <item x="695"/>
        <item x="8"/>
        <item x="605"/>
        <item x="540"/>
        <item x="609"/>
        <item x="778"/>
        <item x="2"/>
        <item x="811"/>
        <item x="648"/>
        <item x="482"/>
        <item x="223"/>
        <item x="22"/>
        <item x="409"/>
        <item x="317"/>
        <item x="314"/>
        <item x="400"/>
        <item x="167"/>
        <item x="691"/>
        <item x="758"/>
        <item x="740"/>
        <item x="328"/>
        <item x="98"/>
        <item x="397"/>
        <item x="532"/>
        <item x="387"/>
        <item x="477"/>
        <item x="596"/>
        <item x="560"/>
        <item x="427"/>
        <item x="500"/>
        <item x="845"/>
        <item x="51"/>
        <item x="103"/>
        <item x="765"/>
        <item x="768"/>
        <item x="846"/>
        <item x="386"/>
        <item x="674"/>
        <item x="130"/>
        <item x="104"/>
        <item x="313"/>
        <item x="818"/>
        <item x="760"/>
        <item x="825"/>
        <item x="155"/>
        <item x="735"/>
        <item x="294"/>
        <item x="213"/>
        <item x="743"/>
        <item x="361"/>
        <item x="360"/>
        <item x="791"/>
        <item x="662"/>
        <item x="576"/>
        <item x="766"/>
        <item x="466"/>
        <item x="652"/>
        <item x="286"/>
        <item x="402"/>
        <item x="839"/>
        <item x="821"/>
        <item x="467"/>
        <item x="245"/>
        <item x="163"/>
        <item x="282"/>
        <item x="812"/>
        <item x="301"/>
        <item x="214"/>
        <item x="495"/>
        <item x="852"/>
        <item x="772"/>
        <item x="372"/>
        <item x="508"/>
        <item x="232"/>
        <item x="672"/>
        <item x="259"/>
        <item x="147"/>
        <item x="779"/>
        <item x="616"/>
        <item x="251"/>
        <item x="319"/>
        <item x="192"/>
        <item x="660"/>
        <item x="129"/>
        <item x="205"/>
        <item x="324"/>
        <item x="656"/>
        <item x="724"/>
        <item x="146"/>
        <item x="378"/>
        <item x="799"/>
        <item x="655"/>
        <item x="564"/>
        <item x="380"/>
        <item x="697"/>
        <item x="647"/>
        <item x="827"/>
        <item x="730"/>
        <item x="239"/>
        <item x="803"/>
        <item x="468"/>
        <item x="788"/>
        <item x="698"/>
        <item x="702"/>
        <item x="99"/>
        <item x="142"/>
        <item x="255"/>
        <item x="639"/>
        <item x="855"/>
        <item x="469"/>
        <item x="575"/>
        <item x="792"/>
        <item x="667"/>
        <item x="406"/>
        <item x="721"/>
        <item x="238"/>
        <item x="456"/>
        <item x="673"/>
        <item x="542"/>
        <item x="61"/>
        <item x="139"/>
        <item x="262"/>
        <item x="454"/>
        <item x="438"/>
        <item x="124"/>
        <item x="636"/>
        <item x="784"/>
        <item x="162"/>
        <item x="187"/>
        <item x="654"/>
        <item x="858"/>
        <item x="782"/>
        <item x="337"/>
        <item x="410"/>
        <item x="169"/>
        <item x="570"/>
        <item x="572"/>
        <item x="7"/>
        <item x="844"/>
        <item x="435"/>
        <item x="340"/>
        <item x="551"/>
        <item x="745"/>
        <item x="212"/>
        <item x="810"/>
        <item x="504"/>
        <item x="834"/>
        <item x="407"/>
        <item x="237"/>
        <item x="594"/>
        <item x="642"/>
        <item x="447"/>
        <item x="276"/>
        <item x="769"/>
        <item x="585"/>
        <item x="77"/>
        <item x="217"/>
        <item x="44"/>
        <item x="472"/>
        <item x="822"/>
        <item x="123"/>
        <item x="161"/>
        <item x="156"/>
        <item x="787"/>
        <item x="820"/>
        <item x="336"/>
        <item x="431"/>
        <item x="701"/>
        <item x="229"/>
        <item x="763"/>
        <item x="4"/>
        <item x="643"/>
        <item x="849"/>
        <item x="63"/>
        <item x="732"/>
        <item x="626"/>
        <item x="67"/>
        <item x="619"/>
        <item x="177"/>
        <item x="622"/>
        <item x="164"/>
        <item x="649"/>
        <item x="630"/>
        <item x="256"/>
        <item x="547"/>
        <item x="107"/>
        <item x="707"/>
        <item x="478"/>
        <item x="247"/>
        <item x="195"/>
        <item x="234"/>
        <item x="637"/>
        <item x="428"/>
        <item x="66"/>
        <item x="671"/>
        <item x="89"/>
        <item x="444"/>
        <item x="462"/>
        <item x="108"/>
        <item x="11"/>
        <item x="692"/>
        <item x="322"/>
        <item x="704"/>
        <item x="859"/>
        <item x="408"/>
        <item x="749"/>
        <item x="265"/>
        <item x="606"/>
        <item x="631"/>
        <item x="557"/>
        <item x="800"/>
        <item x="646"/>
        <item x="20"/>
        <item x="509"/>
        <item x="197"/>
        <item x="414"/>
        <item x="356"/>
        <item x="657"/>
        <item x="392"/>
        <item x="82"/>
        <item x="536"/>
        <item x="797"/>
        <item x="506"/>
        <item x="848"/>
        <item x="33"/>
        <item x="148"/>
        <item x="312"/>
        <item x="269"/>
        <item x="62"/>
        <item x="840"/>
        <item x="446"/>
        <item x="752"/>
        <item x="419"/>
        <item x="524"/>
        <item x="199"/>
        <item x="710"/>
        <item x="693"/>
        <item x="804"/>
        <item x="555"/>
        <item x="535"/>
        <item x="854"/>
        <item x="224"/>
        <item x="531"/>
        <item x="268"/>
        <item x="809"/>
        <item x="828"/>
        <item x="618"/>
        <item x="670"/>
        <item x="479"/>
        <item x="775"/>
        <item x="720"/>
        <item x="342"/>
        <item x="345"/>
        <item x="832"/>
        <item x="823"/>
        <item x="548"/>
        <item x="384"/>
        <item x="266"/>
        <item x="611"/>
        <item x="150"/>
        <item x="106"/>
        <item x="496"/>
        <item x="417"/>
        <item x="546"/>
        <item x="173"/>
        <item x="293"/>
        <item x="270"/>
        <item x="455"/>
        <item x="836"/>
        <item x="815"/>
        <item x="203"/>
        <item x="808"/>
        <item x="581"/>
        <item x="736"/>
        <item x="694"/>
        <item x="661"/>
        <item x="686"/>
        <item x="56"/>
        <item x="272"/>
        <item x="688"/>
        <item x="748"/>
        <item x="176"/>
        <item x="579"/>
        <item x="470"/>
        <item x="112"/>
        <item x="396"/>
        <item x="824"/>
        <item x="561"/>
        <item x="489"/>
        <item x="793"/>
        <item x="254"/>
        <item x="170"/>
        <item x="746"/>
        <item x="523"/>
        <item x="753"/>
        <item x="413"/>
        <item x="80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5" item="0" hier="-1"/>
  </pageFields>
  <dataFields count="1">
    <dataField name="Average of GrLivArea" fld="46" subtotal="average" baseField="19" baseItem="1" numFmtId="2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A619B-DCEC-4395-A612-02F7B6494C7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ldgType" fld="1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5651-5F90-4707-BFDE-584A32B965C5}">
  <dimension ref="A1:CC1461"/>
  <sheetViews>
    <sheetView zoomScale="110" zoomScaleNormal="110" workbookViewId="0">
      <selection activeCell="BB20" sqref="BB20"/>
    </sheetView>
  </sheetViews>
  <sheetFormatPr defaultRowHeight="1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1" x14ac:dyDescent="0.25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1" x14ac:dyDescent="0.25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1" x14ac:dyDescent="0.25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1" x14ac:dyDescent="0.25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1" x14ac:dyDescent="0.25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1" x14ac:dyDescent="0.25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1" x14ac:dyDescent="0.25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1" x14ac:dyDescent="0.25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1" x14ac:dyDescent="0.25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1" x14ac:dyDescent="0.25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</row>
    <row r="13" spans="1:81" x14ac:dyDescent="0.25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</row>
    <row r="14" spans="1:81" x14ac:dyDescent="0.25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1" x14ac:dyDescent="0.25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</row>
    <row r="16" spans="1:81" x14ac:dyDescent="0.25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</row>
    <row r="17" spans="1:81" x14ac:dyDescent="0.25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1" x14ac:dyDescent="0.25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</row>
    <row r="19" spans="1:81" x14ac:dyDescent="0.25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1" x14ac:dyDescent="0.25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1" x14ac:dyDescent="0.25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</row>
    <row r="22" spans="1:81" x14ac:dyDescent="0.25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</row>
    <row r="23" spans="1:81" x14ac:dyDescent="0.25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1" x14ac:dyDescent="0.25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1" x14ac:dyDescent="0.25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1" x14ac:dyDescent="0.25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1" x14ac:dyDescent="0.25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1" x14ac:dyDescent="0.25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1" x14ac:dyDescent="0.25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1" x14ac:dyDescent="0.25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1" x14ac:dyDescent="0.25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1" x14ac:dyDescent="0.25">
      <c r="A32">
        <v>31</v>
      </c>
      <c r="B32">
        <v>70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 x14ac:dyDescent="0.25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 x14ac:dyDescent="0.25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 x14ac:dyDescent="0.25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 x14ac:dyDescent="0.25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 x14ac:dyDescent="0.25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 x14ac:dyDescent="0.25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 x14ac:dyDescent="0.25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 x14ac:dyDescent="0.25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 x14ac:dyDescent="0.25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</row>
    <row r="42" spans="1:81" x14ac:dyDescent="0.25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 x14ac:dyDescent="0.25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 x14ac:dyDescent="0.25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 x14ac:dyDescent="0.25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 x14ac:dyDescent="0.25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 x14ac:dyDescent="0.25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 x14ac:dyDescent="0.25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 x14ac:dyDescent="0.25">
      <c r="A49">
        <v>48</v>
      </c>
      <c r="B49">
        <v>20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 x14ac:dyDescent="0.25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</row>
    <row r="51" spans="1:81" x14ac:dyDescent="0.25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 x14ac:dyDescent="0.25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 x14ac:dyDescent="0.25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 x14ac:dyDescent="0.25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 x14ac:dyDescent="0.25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 x14ac:dyDescent="0.25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 x14ac:dyDescent="0.25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 x14ac:dyDescent="0.25">
      <c r="A58">
        <v>57</v>
      </c>
      <c r="B58">
        <v>160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 x14ac:dyDescent="0.25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 x14ac:dyDescent="0.25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</row>
    <row r="61" spans="1:81" x14ac:dyDescent="0.25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 x14ac:dyDescent="0.25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</row>
    <row r="63" spans="1:81" x14ac:dyDescent="0.25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 x14ac:dyDescent="0.25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 x14ac:dyDescent="0.25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 x14ac:dyDescent="0.25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 x14ac:dyDescent="0.25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 x14ac:dyDescent="0.25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 x14ac:dyDescent="0.25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 x14ac:dyDescent="0.25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 x14ac:dyDescent="0.25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 x14ac:dyDescent="0.25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 x14ac:dyDescent="0.25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 x14ac:dyDescent="0.25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 x14ac:dyDescent="0.25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 x14ac:dyDescent="0.25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 x14ac:dyDescent="0.25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 x14ac:dyDescent="0.25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 x14ac:dyDescent="0.25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 x14ac:dyDescent="0.25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 x14ac:dyDescent="0.25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 x14ac:dyDescent="0.25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 x14ac:dyDescent="0.25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 x14ac:dyDescent="0.25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 x14ac:dyDescent="0.25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</row>
    <row r="86" spans="1:81" x14ac:dyDescent="0.25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 x14ac:dyDescent="0.25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 x14ac:dyDescent="0.25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 x14ac:dyDescent="0.25">
      <c r="A89">
        <v>88</v>
      </c>
      <c r="B89">
        <v>160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</row>
    <row r="90" spans="1:81" x14ac:dyDescent="0.25">
      <c r="A90">
        <v>89</v>
      </c>
      <c r="B90">
        <v>50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</row>
    <row r="91" spans="1:81" x14ac:dyDescent="0.25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 x14ac:dyDescent="0.25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 x14ac:dyDescent="0.25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 x14ac:dyDescent="0.25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 x14ac:dyDescent="0.25">
      <c r="A95">
        <v>94</v>
      </c>
      <c r="B95">
        <v>190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 x14ac:dyDescent="0.25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 x14ac:dyDescent="0.25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 x14ac:dyDescent="0.25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 x14ac:dyDescent="0.25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 x14ac:dyDescent="0.25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</row>
    <row r="101" spans="1:81" x14ac:dyDescent="0.25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 x14ac:dyDescent="0.25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 x14ac:dyDescent="0.25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 x14ac:dyDescent="0.25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</row>
    <row r="105" spans="1:81" x14ac:dyDescent="0.25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 x14ac:dyDescent="0.25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 x14ac:dyDescent="0.25">
      <c r="A107">
        <v>106</v>
      </c>
      <c r="B107">
        <v>60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 x14ac:dyDescent="0.25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 x14ac:dyDescent="0.25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</row>
    <row r="110" spans="1:81" x14ac:dyDescent="0.25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 x14ac:dyDescent="0.25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</row>
    <row r="112" spans="1:81" x14ac:dyDescent="0.25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 x14ac:dyDescent="0.25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 x14ac:dyDescent="0.25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</row>
    <row r="115" spans="1:81" x14ac:dyDescent="0.25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</row>
    <row r="116" spans="1:81" x14ac:dyDescent="0.25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 x14ac:dyDescent="0.25">
      <c r="A117">
        <v>116</v>
      </c>
      <c r="B117">
        <v>160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 x14ac:dyDescent="0.25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 x14ac:dyDescent="0.25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</row>
    <row r="120" spans="1:81" x14ac:dyDescent="0.25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 x14ac:dyDescent="0.25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</row>
    <row r="122" spans="1:81" x14ac:dyDescent="0.25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 x14ac:dyDescent="0.25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 x14ac:dyDescent="0.25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 x14ac:dyDescent="0.25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 x14ac:dyDescent="0.25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 x14ac:dyDescent="0.25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 x14ac:dyDescent="0.25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 x14ac:dyDescent="0.25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 x14ac:dyDescent="0.25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 x14ac:dyDescent="0.25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 x14ac:dyDescent="0.25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 x14ac:dyDescent="0.25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 x14ac:dyDescent="0.25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 x14ac:dyDescent="0.25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 x14ac:dyDescent="0.25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 x14ac:dyDescent="0.25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 x14ac:dyDescent="0.25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 x14ac:dyDescent="0.25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</row>
    <row r="140" spans="1:81" x14ac:dyDescent="0.25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 x14ac:dyDescent="0.25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 x14ac:dyDescent="0.25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</row>
    <row r="143" spans="1:81" x14ac:dyDescent="0.25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 x14ac:dyDescent="0.25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 x14ac:dyDescent="0.25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 x14ac:dyDescent="0.25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</row>
    <row r="147" spans="1:81" x14ac:dyDescent="0.25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 x14ac:dyDescent="0.25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 x14ac:dyDescent="0.25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 x14ac:dyDescent="0.25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 x14ac:dyDescent="0.25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 x14ac:dyDescent="0.25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 x14ac:dyDescent="0.25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</row>
    <row r="154" spans="1:81" x14ac:dyDescent="0.25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 x14ac:dyDescent="0.25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 x14ac:dyDescent="0.25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</row>
    <row r="157" spans="1:81" x14ac:dyDescent="0.25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 x14ac:dyDescent="0.25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 x14ac:dyDescent="0.25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</row>
    <row r="160" spans="1:81" x14ac:dyDescent="0.25">
      <c r="A160">
        <v>159</v>
      </c>
      <c r="B160">
        <v>60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 x14ac:dyDescent="0.25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</row>
    <row r="162" spans="1:81" x14ac:dyDescent="0.25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 x14ac:dyDescent="0.25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 x14ac:dyDescent="0.25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</row>
    <row r="165" spans="1:81" x14ac:dyDescent="0.25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 x14ac:dyDescent="0.25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 x14ac:dyDescent="0.25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 x14ac:dyDescent="0.25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</row>
    <row r="169" spans="1:81" x14ac:dyDescent="0.25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</row>
    <row r="170" spans="1:81" x14ac:dyDescent="0.25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 x14ac:dyDescent="0.25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 x14ac:dyDescent="0.25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 x14ac:dyDescent="0.25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 x14ac:dyDescent="0.25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 x14ac:dyDescent="0.25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</row>
    <row r="176" spans="1:81" x14ac:dyDescent="0.25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 x14ac:dyDescent="0.25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 x14ac:dyDescent="0.25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 x14ac:dyDescent="0.25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 x14ac:dyDescent="0.25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</row>
    <row r="181" spans="1:81" x14ac:dyDescent="0.25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 x14ac:dyDescent="0.25">
      <c r="A182">
        <v>181</v>
      </c>
      <c r="B182">
        <v>160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 x14ac:dyDescent="0.25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 x14ac:dyDescent="0.25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 x14ac:dyDescent="0.25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 x14ac:dyDescent="0.25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 x14ac:dyDescent="0.25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 x14ac:dyDescent="0.25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 x14ac:dyDescent="0.25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 x14ac:dyDescent="0.25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</row>
    <row r="191" spans="1:81" x14ac:dyDescent="0.25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 x14ac:dyDescent="0.25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 x14ac:dyDescent="0.25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 x14ac:dyDescent="0.25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 x14ac:dyDescent="0.25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 x14ac:dyDescent="0.25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 x14ac:dyDescent="0.25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 x14ac:dyDescent="0.25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</row>
    <row r="199" spans="1:81" x14ac:dyDescent="0.25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 x14ac:dyDescent="0.25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 x14ac:dyDescent="0.25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 x14ac:dyDescent="0.25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 x14ac:dyDescent="0.25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 x14ac:dyDescent="0.25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</row>
    <row r="205" spans="1:81" x14ac:dyDescent="0.25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 x14ac:dyDescent="0.25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 x14ac:dyDescent="0.25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 x14ac:dyDescent="0.25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 x14ac:dyDescent="0.25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 x14ac:dyDescent="0.25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 x14ac:dyDescent="0.25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 x14ac:dyDescent="0.25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 x14ac:dyDescent="0.25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 x14ac:dyDescent="0.25">
      <c r="A214">
        <v>213</v>
      </c>
      <c r="B214">
        <v>60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</row>
    <row r="215" spans="1:81" x14ac:dyDescent="0.25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 x14ac:dyDescent="0.25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 x14ac:dyDescent="0.25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 x14ac:dyDescent="0.25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 x14ac:dyDescent="0.25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</row>
    <row r="220" spans="1:81" x14ac:dyDescent="0.25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 x14ac:dyDescent="0.25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</row>
    <row r="222" spans="1:81" x14ac:dyDescent="0.25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</row>
    <row r="223" spans="1:81" x14ac:dyDescent="0.25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</row>
    <row r="224" spans="1:81" x14ac:dyDescent="0.25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 x14ac:dyDescent="0.25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 x14ac:dyDescent="0.25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 x14ac:dyDescent="0.25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</row>
    <row r="228" spans="1:81" x14ac:dyDescent="0.25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 x14ac:dyDescent="0.25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 x14ac:dyDescent="0.25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 x14ac:dyDescent="0.25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 x14ac:dyDescent="0.25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 x14ac:dyDescent="0.25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 x14ac:dyDescent="0.25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 x14ac:dyDescent="0.25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 x14ac:dyDescent="0.25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 x14ac:dyDescent="0.25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 x14ac:dyDescent="0.25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 x14ac:dyDescent="0.25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 x14ac:dyDescent="0.25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</row>
    <row r="241" spans="1:81" x14ac:dyDescent="0.25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 x14ac:dyDescent="0.25">
      <c r="A242">
        <v>241</v>
      </c>
      <c r="B242">
        <v>20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 x14ac:dyDescent="0.25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 x14ac:dyDescent="0.25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 x14ac:dyDescent="0.25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 x14ac:dyDescent="0.25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 x14ac:dyDescent="0.25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 x14ac:dyDescent="0.25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 x14ac:dyDescent="0.25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 x14ac:dyDescent="0.25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 x14ac:dyDescent="0.25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 x14ac:dyDescent="0.25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 x14ac:dyDescent="0.25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</row>
    <row r="254" spans="1:81" x14ac:dyDescent="0.25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 x14ac:dyDescent="0.25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</row>
    <row r="256" spans="1:81" x14ac:dyDescent="0.25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 x14ac:dyDescent="0.25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 x14ac:dyDescent="0.25">
      <c r="A258">
        <v>257</v>
      </c>
      <c r="B258">
        <v>60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 x14ac:dyDescent="0.25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 x14ac:dyDescent="0.25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 x14ac:dyDescent="0.25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 x14ac:dyDescent="0.25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 x14ac:dyDescent="0.25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</row>
    <row r="264" spans="1:81" x14ac:dyDescent="0.25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 x14ac:dyDescent="0.25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 x14ac:dyDescent="0.25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 x14ac:dyDescent="0.25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 x14ac:dyDescent="0.25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 x14ac:dyDescent="0.25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 x14ac:dyDescent="0.25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 x14ac:dyDescent="0.25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 x14ac:dyDescent="0.25">
      <c r="A272">
        <v>271</v>
      </c>
      <c r="B272">
        <v>60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</row>
    <row r="273" spans="1:81" x14ac:dyDescent="0.25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 x14ac:dyDescent="0.25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 x14ac:dyDescent="0.25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 x14ac:dyDescent="0.25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 x14ac:dyDescent="0.25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 x14ac:dyDescent="0.25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 x14ac:dyDescent="0.25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 x14ac:dyDescent="0.25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</row>
    <row r="281" spans="1:81" x14ac:dyDescent="0.25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 x14ac:dyDescent="0.25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 x14ac:dyDescent="0.25">
      <c r="A283">
        <v>282</v>
      </c>
      <c r="B283">
        <v>20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</row>
    <row r="284" spans="1:81" x14ac:dyDescent="0.25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</row>
    <row r="285" spans="1:81" x14ac:dyDescent="0.25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</row>
    <row r="286" spans="1:81" x14ac:dyDescent="0.25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 x14ac:dyDescent="0.25">
      <c r="A287">
        <v>286</v>
      </c>
      <c r="B287">
        <v>160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</row>
    <row r="288" spans="1:81" x14ac:dyDescent="0.25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 x14ac:dyDescent="0.25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 x14ac:dyDescent="0.25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 x14ac:dyDescent="0.25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 x14ac:dyDescent="0.25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</row>
    <row r="293" spans="1:81" x14ac:dyDescent="0.25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 x14ac:dyDescent="0.25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 x14ac:dyDescent="0.25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 x14ac:dyDescent="0.25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 x14ac:dyDescent="0.25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 x14ac:dyDescent="0.25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 x14ac:dyDescent="0.25">
      <c r="A299">
        <v>298</v>
      </c>
      <c r="B299">
        <v>60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 x14ac:dyDescent="0.25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 x14ac:dyDescent="0.25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</row>
    <row r="302" spans="1:81" x14ac:dyDescent="0.25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 x14ac:dyDescent="0.25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 x14ac:dyDescent="0.25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 x14ac:dyDescent="0.25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 x14ac:dyDescent="0.25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 x14ac:dyDescent="0.25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 x14ac:dyDescent="0.25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 x14ac:dyDescent="0.25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 x14ac:dyDescent="0.25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 x14ac:dyDescent="0.25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 x14ac:dyDescent="0.25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 x14ac:dyDescent="0.25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 x14ac:dyDescent="0.25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 x14ac:dyDescent="0.25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 x14ac:dyDescent="0.25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 x14ac:dyDescent="0.25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 x14ac:dyDescent="0.25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 x14ac:dyDescent="0.25">
      <c r="A319">
        <v>318</v>
      </c>
      <c r="B319">
        <v>60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 x14ac:dyDescent="0.25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 x14ac:dyDescent="0.25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 x14ac:dyDescent="0.25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</row>
    <row r="323" spans="1:81" x14ac:dyDescent="0.25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 x14ac:dyDescent="0.25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 x14ac:dyDescent="0.25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 x14ac:dyDescent="0.25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 x14ac:dyDescent="0.25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 x14ac:dyDescent="0.25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</row>
    <row r="329" spans="1:81" x14ac:dyDescent="0.25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 x14ac:dyDescent="0.25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 x14ac:dyDescent="0.25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 x14ac:dyDescent="0.25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 x14ac:dyDescent="0.25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 x14ac:dyDescent="0.25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 x14ac:dyDescent="0.25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 x14ac:dyDescent="0.25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 x14ac:dyDescent="0.25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 x14ac:dyDescent="0.25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 x14ac:dyDescent="0.25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 x14ac:dyDescent="0.25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 x14ac:dyDescent="0.25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 x14ac:dyDescent="0.25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 x14ac:dyDescent="0.25">
      <c r="A343">
        <v>342</v>
      </c>
      <c r="B343">
        <v>20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 x14ac:dyDescent="0.25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 x14ac:dyDescent="0.25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 x14ac:dyDescent="0.25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 x14ac:dyDescent="0.25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 x14ac:dyDescent="0.25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 x14ac:dyDescent="0.25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 x14ac:dyDescent="0.25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 x14ac:dyDescent="0.25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</row>
    <row r="352" spans="1:81" x14ac:dyDescent="0.25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</row>
    <row r="353" spans="1:81" x14ac:dyDescent="0.25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 x14ac:dyDescent="0.25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</row>
    <row r="355" spans="1:81" x14ac:dyDescent="0.25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 x14ac:dyDescent="0.25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 x14ac:dyDescent="0.25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 x14ac:dyDescent="0.25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 x14ac:dyDescent="0.25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 x14ac:dyDescent="0.25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 x14ac:dyDescent="0.25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 x14ac:dyDescent="0.25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 x14ac:dyDescent="0.25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 x14ac:dyDescent="0.25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</row>
    <row r="365" spans="1:81" x14ac:dyDescent="0.25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 x14ac:dyDescent="0.25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 x14ac:dyDescent="0.25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 x14ac:dyDescent="0.25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 x14ac:dyDescent="0.25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 x14ac:dyDescent="0.25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 x14ac:dyDescent="0.25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 x14ac:dyDescent="0.25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 x14ac:dyDescent="0.25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 x14ac:dyDescent="0.25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 x14ac:dyDescent="0.25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 x14ac:dyDescent="0.25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 x14ac:dyDescent="0.25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 x14ac:dyDescent="0.25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 x14ac:dyDescent="0.25">
      <c r="A379">
        <v>378</v>
      </c>
      <c r="B379">
        <v>60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 x14ac:dyDescent="0.25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</row>
    <row r="381" spans="1:81" x14ac:dyDescent="0.25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 x14ac:dyDescent="0.25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 x14ac:dyDescent="0.25">
      <c r="A383">
        <v>382</v>
      </c>
      <c r="B383">
        <v>20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</row>
    <row r="384" spans="1:81" x14ac:dyDescent="0.25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 x14ac:dyDescent="0.25">
      <c r="A385">
        <v>384</v>
      </c>
      <c r="B385">
        <v>45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 x14ac:dyDescent="0.25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 x14ac:dyDescent="0.25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 x14ac:dyDescent="0.25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</row>
    <row r="389" spans="1:81" x14ac:dyDescent="0.25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 x14ac:dyDescent="0.25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 x14ac:dyDescent="0.25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</row>
    <row r="392" spans="1:81" x14ac:dyDescent="0.25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 x14ac:dyDescent="0.25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 x14ac:dyDescent="0.25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 x14ac:dyDescent="0.25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 x14ac:dyDescent="0.25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 x14ac:dyDescent="0.25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 x14ac:dyDescent="0.25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 x14ac:dyDescent="0.25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 x14ac:dyDescent="0.25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 x14ac:dyDescent="0.25">
      <c r="A401">
        <v>400</v>
      </c>
      <c r="B401">
        <v>60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 x14ac:dyDescent="0.25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 x14ac:dyDescent="0.25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</row>
    <row r="404" spans="1:81" x14ac:dyDescent="0.25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 x14ac:dyDescent="0.25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 x14ac:dyDescent="0.25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 x14ac:dyDescent="0.25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 x14ac:dyDescent="0.25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 x14ac:dyDescent="0.25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 x14ac:dyDescent="0.25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</row>
    <row r="411" spans="1:81" x14ac:dyDescent="0.25">
      <c r="A411">
        <v>410</v>
      </c>
      <c r="B411">
        <v>60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</row>
    <row r="412" spans="1:81" x14ac:dyDescent="0.25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</row>
    <row r="413" spans="1:81" x14ac:dyDescent="0.25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 x14ac:dyDescent="0.25">
      <c r="A414">
        <v>413</v>
      </c>
      <c r="B414">
        <v>20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</row>
    <row r="415" spans="1:81" x14ac:dyDescent="0.25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 x14ac:dyDescent="0.25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 x14ac:dyDescent="0.25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</row>
    <row r="418" spans="1:81" x14ac:dyDescent="0.25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 x14ac:dyDescent="0.25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 x14ac:dyDescent="0.25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</row>
    <row r="421" spans="1:81" x14ac:dyDescent="0.25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 x14ac:dyDescent="0.25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</row>
    <row r="423" spans="1:81" x14ac:dyDescent="0.25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 x14ac:dyDescent="0.25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 x14ac:dyDescent="0.25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 x14ac:dyDescent="0.25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 x14ac:dyDescent="0.25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 x14ac:dyDescent="0.25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 x14ac:dyDescent="0.25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 x14ac:dyDescent="0.25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</row>
    <row r="431" spans="1:81" x14ac:dyDescent="0.25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 x14ac:dyDescent="0.25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</row>
    <row r="433" spans="1:81" x14ac:dyDescent="0.25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</row>
    <row r="434" spans="1:81" x14ac:dyDescent="0.25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 x14ac:dyDescent="0.25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 x14ac:dyDescent="0.25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 x14ac:dyDescent="0.25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</row>
    <row r="438" spans="1:81" x14ac:dyDescent="0.25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 x14ac:dyDescent="0.25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 x14ac:dyDescent="0.25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 x14ac:dyDescent="0.25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</row>
    <row r="442" spans="1:81" x14ac:dyDescent="0.25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 x14ac:dyDescent="0.25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 x14ac:dyDescent="0.25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 x14ac:dyDescent="0.25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</row>
    <row r="446" spans="1:81" x14ac:dyDescent="0.25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 x14ac:dyDescent="0.25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</row>
    <row r="448" spans="1:81" x14ac:dyDescent="0.25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 x14ac:dyDescent="0.25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 x14ac:dyDescent="0.25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 x14ac:dyDescent="0.25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 x14ac:dyDescent="0.25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 x14ac:dyDescent="0.25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 x14ac:dyDescent="0.25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 x14ac:dyDescent="0.25">
      <c r="A455">
        <v>454</v>
      </c>
      <c r="B455">
        <v>60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 x14ac:dyDescent="0.25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</row>
    <row r="457" spans="1:81" x14ac:dyDescent="0.25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 x14ac:dyDescent="0.25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</row>
    <row r="459" spans="1:81" x14ac:dyDescent="0.25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 x14ac:dyDescent="0.25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 x14ac:dyDescent="0.25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 x14ac:dyDescent="0.25">
      <c r="A462">
        <v>461</v>
      </c>
      <c r="B462">
        <v>60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</row>
    <row r="463" spans="1:81" x14ac:dyDescent="0.25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 x14ac:dyDescent="0.25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 x14ac:dyDescent="0.25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 x14ac:dyDescent="0.25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 x14ac:dyDescent="0.25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 x14ac:dyDescent="0.25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 x14ac:dyDescent="0.25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 x14ac:dyDescent="0.25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 x14ac:dyDescent="0.25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 x14ac:dyDescent="0.25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 x14ac:dyDescent="0.25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 x14ac:dyDescent="0.25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 x14ac:dyDescent="0.25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</row>
    <row r="476" spans="1:81" x14ac:dyDescent="0.25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 x14ac:dyDescent="0.25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 x14ac:dyDescent="0.25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 x14ac:dyDescent="0.25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 x14ac:dyDescent="0.25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 x14ac:dyDescent="0.25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</row>
    <row r="482" spans="1:81" x14ac:dyDescent="0.25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 x14ac:dyDescent="0.25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 x14ac:dyDescent="0.25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 x14ac:dyDescent="0.25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 x14ac:dyDescent="0.25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 x14ac:dyDescent="0.25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 x14ac:dyDescent="0.25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 x14ac:dyDescent="0.25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 x14ac:dyDescent="0.25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</row>
    <row r="491" spans="1:81" x14ac:dyDescent="0.25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 x14ac:dyDescent="0.25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 x14ac:dyDescent="0.25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 x14ac:dyDescent="0.25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</row>
    <row r="495" spans="1:81" x14ac:dyDescent="0.25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 x14ac:dyDescent="0.25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 x14ac:dyDescent="0.25">
      <c r="A497">
        <v>496</v>
      </c>
      <c r="B497">
        <v>30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 x14ac:dyDescent="0.25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 x14ac:dyDescent="0.25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 x14ac:dyDescent="0.25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 x14ac:dyDescent="0.25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 x14ac:dyDescent="0.25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 x14ac:dyDescent="0.25">
      <c r="A503">
        <v>502</v>
      </c>
      <c r="B503">
        <v>60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 x14ac:dyDescent="0.25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 x14ac:dyDescent="0.25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 x14ac:dyDescent="0.25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 x14ac:dyDescent="0.25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</row>
    <row r="508" spans="1:81" x14ac:dyDescent="0.25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 x14ac:dyDescent="0.25">
      <c r="A509">
        <v>508</v>
      </c>
      <c r="B509">
        <v>20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</row>
    <row r="510" spans="1:81" x14ac:dyDescent="0.25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 x14ac:dyDescent="0.25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 x14ac:dyDescent="0.25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 x14ac:dyDescent="0.25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</row>
    <row r="514" spans="1:81" x14ac:dyDescent="0.25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 x14ac:dyDescent="0.25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 x14ac:dyDescent="0.25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 x14ac:dyDescent="0.25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</row>
    <row r="518" spans="1:81" x14ac:dyDescent="0.25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</row>
    <row r="519" spans="1:81" x14ac:dyDescent="0.25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 x14ac:dyDescent="0.25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 x14ac:dyDescent="0.25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 x14ac:dyDescent="0.25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 x14ac:dyDescent="0.25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 x14ac:dyDescent="0.25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 x14ac:dyDescent="0.25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</row>
    <row r="526" spans="1:81" x14ac:dyDescent="0.25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 x14ac:dyDescent="0.25">
      <c r="A527">
        <v>526</v>
      </c>
      <c r="B527">
        <v>20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 x14ac:dyDescent="0.25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 x14ac:dyDescent="0.25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</row>
    <row r="530" spans="1:81" x14ac:dyDescent="0.25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 x14ac:dyDescent="0.25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</row>
    <row r="532" spans="1:81" x14ac:dyDescent="0.25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 x14ac:dyDescent="0.25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 x14ac:dyDescent="0.25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 x14ac:dyDescent="0.25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 x14ac:dyDescent="0.25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 x14ac:dyDescent="0.25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 x14ac:dyDescent="0.25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 x14ac:dyDescent="0.25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</row>
    <row r="540" spans="1:81" x14ac:dyDescent="0.25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 x14ac:dyDescent="0.25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 x14ac:dyDescent="0.25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 x14ac:dyDescent="0.25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 x14ac:dyDescent="0.25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 x14ac:dyDescent="0.25">
      <c r="A545">
        <v>544</v>
      </c>
      <c r="B545">
        <v>120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 x14ac:dyDescent="0.25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</row>
    <row r="547" spans="1:81" x14ac:dyDescent="0.25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 x14ac:dyDescent="0.25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 x14ac:dyDescent="0.25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 x14ac:dyDescent="0.25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 x14ac:dyDescent="0.25">
      <c r="A551">
        <v>550</v>
      </c>
      <c r="B551">
        <v>60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 x14ac:dyDescent="0.25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</row>
    <row r="553" spans="1:81" x14ac:dyDescent="0.25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 x14ac:dyDescent="0.25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 x14ac:dyDescent="0.25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 x14ac:dyDescent="0.25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 x14ac:dyDescent="0.25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 x14ac:dyDescent="0.25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 x14ac:dyDescent="0.25">
      <c r="A559">
        <v>558</v>
      </c>
      <c r="B559">
        <v>50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</row>
    <row r="560" spans="1:81" x14ac:dyDescent="0.25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 x14ac:dyDescent="0.25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 x14ac:dyDescent="0.25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 x14ac:dyDescent="0.25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 x14ac:dyDescent="0.25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 x14ac:dyDescent="0.25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 x14ac:dyDescent="0.25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 x14ac:dyDescent="0.25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 x14ac:dyDescent="0.25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 x14ac:dyDescent="0.25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 x14ac:dyDescent="0.25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 x14ac:dyDescent="0.25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 x14ac:dyDescent="0.25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 x14ac:dyDescent="0.25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 x14ac:dyDescent="0.25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</row>
    <row r="575" spans="1:81" x14ac:dyDescent="0.25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 x14ac:dyDescent="0.25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 x14ac:dyDescent="0.25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</row>
    <row r="578" spans="1:81" x14ac:dyDescent="0.25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 x14ac:dyDescent="0.25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 x14ac:dyDescent="0.25">
      <c r="A580">
        <v>579</v>
      </c>
      <c r="B580">
        <v>160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 x14ac:dyDescent="0.25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 x14ac:dyDescent="0.25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 x14ac:dyDescent="0.25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</row>
    <row r="584" spans="1:81" x14ac:dyDescent="0.25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 x14ac:dyDescent="0.25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 x14ac:dyDescent="0.25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 x14ac:dyDescent="0.25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</row>
    <row r="588" spans="1:81" x14ac:dyDescent="0.25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 x14ac:dyDescent="0.25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 x14ac:dyDescent="0.25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</row>
    <row r="591" spans="1:81" x14ac:dyDescent="0.25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 x14ac:dyDescent="0.25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 x14ac:dyDescent="0.25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</row>
    <row r="594" spans="1:81" x14ac:dyDescent="0.25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 x14ac:dyDescent="0.25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 x14ac:dyDescent="0.25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 x14ac:dyDescent="0.25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</row>
    <row r="598" spans="1:81" x14ac:dyDescent="0.25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 x14ac:dyDescent="0.25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</row>
    <row r="600" spans="1:81" x14ac:dyDescent="0.25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 x14ac:dyDescent="0.25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</row>
    <row r="602" spans="1:81" x14ac:dyDescent="0.25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 x14ac:dyDescent="0.25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 x14ac:dyDescent="0.25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 x14ac:dyDescent="0.25">
      <c r="A605">
        <v>604</v>
      </c>
      <c r="B605">
        <v>160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 x14ac:dyDescent="0.25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 x14ac:dyDescent="0.25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 x14ac:dyDescent="0.25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 x14ac:dyDescent="0.25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 x14ac:dyDescent="0.25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</row>
    <row r="611" spans="1:81" x14ac:dyDescent="0.25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 x14ac:dyDescent="0.25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 x14ac:dyDescent="0.25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 x14ac:dyDescent="0.25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 x14ac:dyDescent="0.25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</row>
    <row r="616" spans="1:81" x14ac:dyDescent="0.25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 x14ac:dyDescent="0.25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 x14ac:dyDescent="0.25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 x14ac:dyDescent="0.25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 x14ac:dyDescent="0.25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</row>
    <row r="621" spans="1:81" x14ac:dyDescent="0.25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 x14ac:dyDescent="0.25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 x14ac:dyDescent="0.25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 x14ac:dyDescent="0.25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 x14ac:dyDescent="0.25">
      <c r="A625">
        <v>624</v>
      </c>
      <c r="B625">
        <v>160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 x14ac:dyDescent="0.25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 x14ac:dyDescent="0.25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 x14ac:dyDescent="0.25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 x14ac:dyDescent="0.25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 x14ac:dyDescent="0.25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</row>
    <row r="631" spans="1:81" x14ac:dyDescent="0.25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 x14ac:dyDescent="0.25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 x14ac:dyDescent="0.25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 x14ac:dyDescent="0.25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</row>
    <row r="635" spans="1:81" x14ac:dyDescent="0.25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 x14ac:dyDescent="0.25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 x14ac:dyDescent="0.25">
      <c r="A637">
        <v>636</v>
      </c>
      <c r="B637">
        <v>190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 x14ac:dyDescent="0.25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</row>
    <row r="639" spans="1:81" x14ac:dyDescent="0.25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 x14ac:dyDescent="0.25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 x14ac:dyDescent="0.25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</row>
    <row r="642" spans="1:81" x14ac:dyDescent="0.25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 x14ac:dyDescent="0.25">
      <c r="A643">
        <v>642</v>
      </c>
      <c r="B643">
        <v>60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 x14ac:dyDescent="0.25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 x14ac:dyDescent="0.25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 x14ac:dyDescent="0.25">
      <c r="A646">
        <v>645</v>
      </c>
      <c r="B646">
        <v>20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</row>
    <row r="647" spans="1:81" x14ac:dyDescent="0.25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 x14ac:dyDescent="0.25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 x14ac:dyDescent="0.25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 x14ac:dyDescent="0.25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 x14ac:dyDescent="0.25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 x14ac:dyDescent="0.25">
      <c r="A652">
        <v>651</v>
      </c>
      <c r="B652">
        <v>60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 x14ac:dyDescent="0.25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 x14ac:dyDescent="0.25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 x14ac:dyDescent="0.25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 x14ac:dyDescent="0.25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 x14ac:dyDescent="0.25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</row>
    <row r="658" spans="1:81" x14ac:dyDescent="0.25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 x14ac:dyDescent="0.25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 x14ac:dyDescent="0.25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 x14ac:dyDescent="0.25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 x14ac:dyDescent="0.25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 x14ac:dyDescent="0.25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 x14ac:dyDescent="0.25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 x14ac:dyDescent="0.25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 x14ac:dyDescent="0.25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</row>
    <row r="667" spans="1:81" x14ac:dyDescent="0.25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 x14ac:dyDescent="0.25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 x14ac:dyDescent="0.25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 x14ac:dyDescent="0.25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 x14ac:dyDescent="0.25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 x14ac:dyDescent="0.25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 x14ac:dyDescent="0.25">
      <c r="A673">
        <v>672</v>
      </c>
      <c r="B673">
        <v>70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 x14ac:dyDescent="0.25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 x14ac:dyDescent="0.25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 x14ac:dyDescent="0.25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 x14ac:dyDescent="0.25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 x14ac:dyDescent="0.25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 x14ac:dyDescent="0.25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 x14ac:dyDescent="0.25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</row>
    <row r="681" spans="1:81" x14ac:dyDescent="0.25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 x14ac:dyDescent="0.25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 x14ac:dyDescent="0.25">
      <c r="A683">
        <v>682</v>
      </c>
      <c r="B683">
        <v>50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 x14ac:dyDescent="0.25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 x14ac:dyDescent="0.25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 x14ac:dyDescent="0.25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 x14ac:dyDescent="0.25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 x14ac:dyDescent="0.25">
      <c r="A688">
        <v>687</v>
      </c>
      <c r="B688">
        <v>60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</row>
    <row r="689" spans="1:81" x14ac:dyDescent="0.25">
      <c r="A689">
        <v>688</v>
      </c>
      <c r="B689">
        <v>160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 x14ac:dyDescent="0.25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</row>
    <row r="691" spans="1:81" x14ac:dyDescent="0.25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 x14ac:dyDescent="0.25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 x14ac:dyDescent="0.25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 x14ac:dyDescent="0.25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 x14ac:dyDescent="0.25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 x14ac:dyDescent="0.25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 x14ac:dyDescent="0.25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 x14ac:dyDescent="0.25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 x14ac:dyDescent="0.25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 x14ac:dyDescent="0.25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 x14ac:dyDescent="0.25">
      <c r="A701">
        <v>700</v>
      </c>
      <c r="B701">
        <v>120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 x14ac:dyDescent="0.25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 x14ac:dyDescent="0.25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</row>
    <row r="704" spans="1:81" x14ac:dyDescent="0.25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</row>
    <row r="705" spans="1:81" x14ac:dyDescent="0.25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 x14ac:dyDescent="0.25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 x14ac:dyDescent="0.25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 x14ac:dyDescent="0.25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 x14ac:dyDescent="0.25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 x14ac:dyDescent="0.25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</row>
    <row r="711" spans="1:81" x14ac:dyDescent="0.25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 x14ac:dyDescent="0.25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 x14ac:dyDescent="0.25">
      <c r="A713">
        <v>712</v>
      </c>
      <c r="B713">
        <v>50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 x14ac:dyDescent="0.25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 x14ac:dyDescent="0.25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 x14ac:dyDescent="0.25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 x14ac:dyDescent="0.25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 x14ac:dyDescent="0.25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 x14ac:dyDescent="0.25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 x14ac:dyDescent="0.25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 x14ac:dyDescent="0.25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 x14ac:dyDescent="0.25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 x14ac:dyDescent="0.25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 x14ac:dyDescent="0.25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 x14ac:dyDescent="0.25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 x14ac:dyDescent="0.25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 x14ac:dyDescent="0.25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 x14ac:dyDescent="0.25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 x14ac:dyDescent="0.25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 x14ac:dyDescent="0.25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</row>
    <row r="731" spans="1:81" x14ac:dyDescent="0.25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 x14ac:dyDescent="0.25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 x14ac:dyDescent="0.25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 x14ac:dyDescent="0.25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 x14ac:dyDescent="0.25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 x14ac:dyDescent="0.25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</row>
    <row r="737" spans="1:81" x14ac:dyDescent="0.25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 x14ac:dyDescent="0.25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 x14ac:dyDescent="0.25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 x14ac:dyDescent="0.25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</row>
    <row r="741" spans="1:81" x14ac:dyDescent="0.25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 x14ac:dyDescent="0.25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 x14ac:dyDescent="0.25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 x14ac:dyDescent="0.25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 x14ac:dyDescent="0.25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 x14ac:dyDescent="0.25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 x14ac:dyDescent="0.25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 x14ac:dyDescent="0.25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 x14ac:dyDescent="0.25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 x14ac:dyDescent="0.25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 x14ac:dyDescent="0.25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 x14ac:dyDescent="0.25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 x14ac:dyDescent="0.25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 x14ac:dyDescent="0.25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 x14ac:dyDescent="0.25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 x14ac:dyDescent="0.25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 x14ac:dyDescent="0.25">
      <c r="A757">
        <v>756</v>
      </c>
      <c r="B757">
        <v>160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 x14ac:dyDescent="0.25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 x14ac:dyDescent="0.25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 x14ac:dyDescent="0.25">
      <c r="A760">
        <v>759</v>
      </c>
      <c r="B760">
        <v>160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 x14ac:dyDescent="0.25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 x14ac:dyDescent="0.25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 x14ac:dyDescent="0.25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 x14ac:dyDescent="0.25">
      <c r="A764">
        <v>763</v>
      </c>
      <c r="B764">
        <v>60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</row>
    <row r="765" spans="1:81" x14ac:dyDescent="0.25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 x14ac:dyDescent="0.25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 x14ac:dyDescent="0.25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</row>
    <row r="768" spans="1:81" x14ac:dyDescent="0.25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 x14ac:dyDescent="0.25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 x14ac:dyDescent="0.25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 x14ac:dyDescent="0.25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 x14ac:dyDescent="0.25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 x14ac:dyDescent="0.25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</row>
    <row r="774" spans="1:81" x14ac:dyDescent="0.25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 x14ac:dyDescent="0.25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</row>
    <row r="776" spans="1:81" x14ac:dyDescent="0.25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</row>
    <row r="777" spans="1:81" x14ac:dyDescent="0.25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 x14ac:dyDescent="0.25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</row>
    <row r="779" spans="1:81" x14ac:dyDescent="0.25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 x14ac:dyDescent="0.25">
      <c r="A780">
        <v>779</v>
      </c>
      <c r="B780">
        <v>90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 x14ac:dyDescent="0.25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 x14ac:dyDescent="0.25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 x14ac:dyDescent="0.25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 x14ac:dyDescent="0.25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 x14ac:dyDescent="0.25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 x14ac:dyDescent="0.25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 x14ac:dyDescent="0.25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 x14ac:dyDescent="0.25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 x14ac:dyDescent="0.25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 x14ac:dyDescent="0.25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 x14ac:dyDescent="0.25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 x14ac:dyDescent="0.25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 x14ac:dyDescent="0.25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 x14ac:dyDescent="0.25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 x14ac:dyDescent="0.25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</row>
    <row r="796" spans="1:81" x14ac:dyDescent="0.25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 x14ac:dyDescent="0.25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 x14ac:dyDescent="0.25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 x14ac:dyDescent="0.25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 x14ac:dyDescent="0.25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</row>
    <row r="801" spans="1:81" x14ac:dyDescent="0.25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 x14ac:dyDescent="0.25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 x14ac:dyDescent="0.25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 x14ac:dyDescent="0.25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 x14ac:dyDescent="0.25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</row>
    <row r="806" spans="1:81" x14ac:dyDescent="0.25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</row>
    <row r="807" spans="1:81" x14ac:dyDescent="0.25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</row>
    <row r="808" spans="1:81" x14ac:dyDescent="0.25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 x14ac:dyDescent="0.25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 x14ac:dyDescent="0.25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 x14ac:dyDescent="0.25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 x14ac:dyDescent="0.25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 x14ac:dyDescent="0.25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</row>
    <row r="814" spans="1:81" x14ac:dyDescent="0.25">
      <c r="A814">
        <v>813</v>
      </c>
      <c r="B814">
        <v>20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</row>
    <row r="815" spans="1:81" x14ac:dyDescent="0.25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</row>
    <row r="816" spans="1:81" x14ac:dyDescent="0.25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 x14ac:dyDescent="0.25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 x14ac:dyDescent="0.25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 x14ac:dyDescent="0.25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 x14ac:dyDescent="0.25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 x14ac:dyDescent="0.25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</row>
    <row r="822" spans="1:81" x14ac:dyDescent="0.25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 x14ac:dyDescent="0.25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 x14ac:dyDescent="0.25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</row>
    <row r="825" spans="1:81" x14ac:dyDescent="0.25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 x14ac:dyDescent="0.25">
      <c r="A826">
        <v>825</v>
      </c>
      <c r="B826">
        <v>20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</row>
    <row r="827" spans="1:81" x14ac:dyDescent="0.25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</row>
    <row r="828" spans="1:81" x14ac:dyDescent="0.25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 x14ac:dyDescent="0.25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 x14ac:dyDescent="0.25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 x14ac:dyDescent="0.25">
      <c r="A831">
        <v>830</v>
      </c>
      <c r="B831">
        <v>160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 x14ac:dyDescent="0.25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 x14ac:dyDescent="0.25">
      <c r="A833">
        <v>832</v>
      </c>
      <c r="B833">
        <v>160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 x14ac:dyDescent="0.25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 x14ac:dyDescent="0.25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 x14ac:dyDescent="0.25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 x14ac:dyDescent="0.25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 x14ac:dyDescent="0.25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</row>
    <row r="839" spans="1:81" x14ac:dyDescent="0.25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 x14ac:dyDescent="0.25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 x14ac:dyDescent="0.25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 x14ac:dyDescent="0.25">
      <c r="A842">
        <v>841</v>
      </c>
      <c r="B842">
        <v>70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 x14ac:dyDescent="0.25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 x14ac:dyDescent="0.25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 x14ac:dyDescent="0.25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 x14ac:dyDescent="0.25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 x14ac:dyDescent="0.25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 x14ac:dyDescent="0.25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 x14ac:dyDescent="0.25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 x14ac:dyDescent="0.25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 x14ac:dyDescent="0.25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 x14ac:dyDescent="0.25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 x14ac:dyDescent="0.25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 x14ac:dyDescent="0.25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 x14ac:dyDescent="0.25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 x14ac:dyDescent="0.25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 x14ac:dyDescent="0.25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 x14ac:dyDescent="0.25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 x14ac:dyDescent="0.25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 x14ac:dyDescent="0.25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</row>
    <row r="861" spans="1:81" x14ac:dyDescent="0.25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 x14ac:dyDescent="0.25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 x14ac:dyDescent="0.25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 x14ac:dyDescent="0.25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 x14ac:dyDescent="0.25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 x14ac:dyDescent="0.25">
      <c r="A866">
        <v>865</v>
      </c>
      <c r="B866">
        <v>20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</row>
    <row r="867" spans="1:81" x14ac:dyDescent="0.25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 x14ac:dyDescent="0.25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</row>
    <row r="869" spans="1:81" x14ac:dyDescent="0.25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 x14ac:dyDescent="0.25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 x14ac:dyDescent="0.25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 x14ac:dyDescent="0.25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 x14ac:dyDescent="0.25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 x14ac:dyDescent="0.25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 x14ac:dyDescent="0.25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 x14ac:dyDescent="0.25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 x14ac:dyDescent="0.25">
      <c r="A877">
        <v>876</v>
      </c>
      <c r="B877">
        <v>60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</row>
    <row r="878" spans="1:81" x14ac:dyDescent="0.25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 x14ac:dyDescent="0.25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 x14ac:dyDescent="0.25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 x14ac:dyDescent="0.25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 x14ac:dyDescent="0.25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 x14ac:dyDescent="0.25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 x14ac:dyDescent="0.25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 x14ac:dyDescent="0.25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 x14ac:dyDescent="0.25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 x14ac:dyDescent="0.25">
      <c r="A887">
        <v>886</v>
      </c>
      <c r="B887">
        <v>120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</row>
    <row r="888" spans="1:81" x14ac:dyDescent="0.25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</row>
    <row r="889" spans="1:81" x14ac:dyDescent="0.25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 x14ac:dyDescent="0.25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 x14ac:dyDescent="0.25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 x14ac:dyDescent="0.25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 x14ac:dyDescent="0.25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 x14ac:dyDescent="0.25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 x14ac:dyDescent="0.25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 x14ac:dyDescent="0.25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</row>
    <row r="897" spans="1:81" x14ac:dyDescent="0.25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 x14ac:dyDescent="0.25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 x14ac:dyDescent="0.25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</row>
    <row r="900" spans="1:81" x14ac:dyDescent="0.25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</row>
    <row r="901" spans="1:81" x14ac:dyDescent="0.25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 x14ac:dyDescent="0.25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 x14ac:dyDescent="0.25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 x14ac:dyDescent="0.25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 x14ac:dyDescent="0.25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</row>
    <row r="906" spans="1:81" x14ac:dyDescent="0.25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 x14ac:dyDescent="0.25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 x14ac:dyDescent="0.25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 x14ac:dyDescent="0.25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 x14ac:dyDescent="0.25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 x14ac:dyDescent="0.25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 x14ac:dyDescent="0.25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 x14ac:dyDescent="0.25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 x14ac:dyDescent="0.25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 x14ac:dyDescent="0.25">
      <c r="A915">
        <v>914</v>
      </c>
      <c r="B915">
        <v>90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 x14ac:dyDescent="0.25">
      <c r="A916">
        <v>915</v>
      </c>
      <c r="B916">
        <v>160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</row>
    <row r="917" spans="1:81" x14ac:dyDescent="0.25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 x14ac:dyDescent="0.25">
      <c r="A918">
        <v>917</v>
      </c>
      <c r="B918">
        <v>20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 x14ac:dyDescent="0.25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 x14ac:dyDescent="0.25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 x14ac:dyDescent="0.25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 x14ac:dyDescent="0.25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 x14ac:dyDescent="0.25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 x14ac:dyDescent="0.25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</row>
    <row r="925" spans="1:81" x14ac:dyDescent="0.25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 x14ac:dyDescent="0.25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 x14ac:dyDescent="0.25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 x14ac:dyDescent="0.25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 x14ac:dyDescent="0.25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 x14ac:dyDescent="0.25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 x14ac:dyDescent="0.25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 x14ac:dyDescent="0.25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 x14ac:dyDescent="0.25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 x14ac:dyDescent="0.25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 x14ac:dyDescent="0.25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 x14ac:dyDescent="0.25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 x14ac:dyDescent="0.25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 x14ac:dyDescent="0.25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 x14ac:dyDescent="0.25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 x14ac:dyDescent="0.25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</row>
    <row r="941" spans="1:81" x14ac:dyDescent="0.25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</row>
    <row r="942" spans="1:81" x14ac:dyDescent="0.25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 x14ac:dyDescent="0.25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 x14ac:dyDescent="0.25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</row>
    <row r="945" spans="1:81" x14ac:dyDescent="0.25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 x14ac:dyDescent="0.25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</row>
    <row r="947" spans="1:81" x14ac:dyDescent="0.25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 x14ac:dyDescent="0.25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 x14ac:dyDescent="0.25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 x14ac:dyDescent="0.25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 x14ac:dyDescent="0.25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 x14ac:dyDescent="0.25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 x14ac:dyDescent="0.25">
      <c r="A953">
        <v>952</v>
      </c>
      <c r="B953">
        <v>20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 x14ac:dyDescent="0.25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 x14ac:dyDescent="0.25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 x14ac:dyDescent="0.25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</row>
    <row r="957" spans="1:81" x14ac:dyDescent="0.25">
      <c r="A957">
        <v>956</v>
      </c>
      <c r="B957">
        <v>90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 x14ac:dyDescent="0.25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 x14ac:dyDescent="0.25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 x14ac:dyDescent="0.25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 x14ac:dyDescent="0.25">
      <c r="A961">
        <v>960</v>
      </c>
      <c r="B961">
        <v>160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 x14ac:dyDescent="0.25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 x14ac:dyDescent="0.25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 x14ac:dyDescent="0.25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 x14ac:dyDescent="0.25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 x14ac:dyDescent="0.25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 x14ac:dyDescent="0.25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</row>
    <row r="968" spans="1:81" x14ac:dyDescent="0.25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 x14ac:dyDescent="0.25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 x14ac:dyDescent="0.25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 x14ac:dyDescent="0.25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</row>
    <row r="972" spans="1:81" x14ac:dyDescent="0.25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 x14ac:dyDescent="0.25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 x14ac:dyDescent="0.25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 x14ac:dyDescent="0.25">
      <c r="A975">
        <v>974</v>
      </c>
      <c r="B975">
        <v>20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</row>
    <row r="976" spans="1:81" x14ac:dyDescent="0.25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 x14ac:dyDescent="0.25">
      <c r="A977">
        <v>976</v>
      </c>
      <c r="B977">
        <v>160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 x14ac:dyDescent="0.25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 x14ac:dyDescent="0.25">
      <c r="A979">
        <v>978</v>
      </c>
      <c r="B979">
        <v>120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</row>
    <row r="980" spans="1:81" x14ac:dyDescent="0.25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 x14ac:dyDescent="0.25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 x14ac:dyDescent="0.25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 x14ac:dyDescent="0.25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 x14ac:dyDescent="0.25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 x14ac:dyDescent="0.25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 x14ac:dyDescent="0.25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</row>
    <row r="987" spans="1:81" x14ac:dyDescent="0.25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</row>
    <row r="988" spans="1:81" x14ac:dyDescent="0.25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 x14ac:dyDescent="0.25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</row>
    <row r="990" spans="1:81" x14ac:dyDescent="0.25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 x14ac:dyDescent="0.25">
      <c r="A991">
        <v>990</v>
      </c>
      <c r="B991">
        <v>60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</row>
    <row r="992" spans="1:81" x14ac:dyDescent="0.25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 x14ac:dyDescent="0.25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 x14ac:dyDescent="0.25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 x14ac:dyDescent="0.25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</row>
    <row r="996" spans="1:81" x14ac:dyDescent="0.25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 x14ac:dyDescent="0.25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 x14ac:dyDescent="0.25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</row>
    <row r="999" spans="1:81" x14ac:dyDescent="0.25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 x14ac:dyDescent="0.25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 x14ac:dyDescent="0.25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 x14ac:dyDescent="0.25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 x14ac:dyDescent="0.25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 x14ac:dyDescent="0.25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 x14ac:dyDescent="0.25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 x14ac:dyDescent="0.25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 x14ac:dyDescent="0.25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 x14ac:dyDescent="0.25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 x14ac:dyDescent="0.25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 x14ac:dyDescent="0.25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 x14ac:dyDescent="0.25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 x14ac:dyDescent="0.25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 x14ac:dyDescent="0.25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 x14ac:dyDescent="0.25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 x14ac:dyDescent="0.25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 x14ac:dyDescent="0.25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 x14ac:dyDescent="0.25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 x14ac:dyDescent="0.25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 x14ac:dyDescent="0.25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</row>
    <row r="1020" spans="1:81" x14ac:dyDescent="0.25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 x14ac:dyDescent="0.25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 x14ac:dyDescent="0.25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 x14ac:dyDescent="0.25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</row>
    <row r="1024" spans="1:81" x14ac:dyDescent="0.25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 x14ac:dyDescent="0.25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 x14ac:dyDescent="0.25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</row>
    <row r="1027" spans="1:81" x14ac:dyDescent="0.25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 x14ac:dyDescent="0.25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 x14ac:dyDescent="0.25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</row>
    <row r="1030" spans="1:81" x14ac:dyDescent="0.25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 x14ac:dyDescent="0.25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 x14ac:dyDescent="0.25">
      <c r="A1032">
        <v>1031</v>
      </c>
      <c r="B1032">
        <v>190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 x14ac:dyDescent="0.25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 x14ac:dyDescent="0.25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 x14ac:dyDescent="0.25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 x14ac:dyDescent="0.25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 x14ac:dyDescent="0.25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 x14ac:dyDescent="0.25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 x14ac:dyDescent="0.25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 x14ac:dyDescent="0.25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 x14ac:dyDescent="0.25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 x14ac:dyDescent="0.25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 x14ac:dyDescent="0.25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 x14ac:dyDescent="0.25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 x14ac:dyDescent="0.25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 x14ac:dyDescent="0.25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 x14ac:dyDescent="0.25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 x14ac:dyDescent="0.25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</row>
    <row r="1049" spans="1:81" x14ac:dyDescent="0.25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 x14ac:dyDescent="0.25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 x14ac:dyDescent="0.25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 x14ac:dyDescent="0.25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</row>
    <row r="1053" spans="1:81" x14ac:dyDescent="0.25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</row>
    <row r="1054" spans="1:81" x14ac:dyDescent="0.25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 x14ac:dyDescent="0.25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 x14ac:dyDescent="0.25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 x14ac:dyDescent="0.25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</row>
    <row r="1058" spans="1:81" x14ac:dyDescent="0.25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 x14ac:dyDescent="0.25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 x14ac:dyDescent="0.25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 x14ac:dyDescent="0.25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 x14ac:dyDescent="0.25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 x14ac:dyDescent="0.25">
      <c r="A1063">
        <v>1062</v>
      </c>
      <c r="B1063">
        <v>30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</row>
    <row r="1064" spans="1:81" x14ac:dyDescent="0.25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 x14ac:dyDescent="0.25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 x14ac:dyDescent="0.25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 x14ac:dyDescent="0.25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 x14ac:dyDescent="0.25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 x14ac:dyDescent="0.25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 x14ac:dyDescent="0.25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 x14ac:dyDescent="0.25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 x14ac:dyDescent="0.25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 x14ac:dyDescent="0.25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 x14ac:dyDescent="0.25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 x14ac:dyDescent="0.25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 x14ac:dyDescent="0.25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 x14ac:dyDescent="0.25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</row>
    <row r="1078" spans="1:81" x14ac:dyDescent="0.25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 x14ac:dyDescent="0.25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 x14ac:dyDescent="0.25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 x14ac:dyDescent="0.25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 x14ac:dyDescent="0.25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</row>
    <row r="1083" spans="1:81" x14ac:dyDescent="0.25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 x14ac:dyDescent="0.25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 x14ac:dyDescent="0.25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 x14ac:dyDescent="0.25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 x14ac:dyDescent="0.25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 x14ac:dyDescent="0.25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 x14ac:dyDescent="0.25">
      <c r="A1089">
        <v>1088</v>
      </c>
      <c r="B1089">
        <v>60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 x14ac:dyDescent="0.25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 x14ac:dyDescent="0.25">
      <c r="A1091">
        <v>1090</v>
      </c>
      <c r="B1091">
        <v>120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 x14ac:dyDescent="0.25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 x14ac:dyDescent="0.25">
      <c r="A1093">
        <v>1092</v>
      </c>
      <c r="B1093">
        <v>160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 x14ac:dyDescent="0.25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 x14ac:dyDescent="0.25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 x14ac:dyDescent="0.25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 x14ac:dyDescent="0.25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 x14ac:dyDescent="0.25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 x14ac:dyDescent="0.25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 x14ac:dyDescent="0.25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 x14ac:dyDescent="0.25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</row>
    <row r="1102" spans="1:81" x14ac:dyDescent="0.25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 x14ac:dyDescent="0.25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 x14ac:dyDescent="0.25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</row>
    <row r="1105" spans="1:81" x14ac:dyDescent="0.25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 x14ac:dyDescent="0.25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 x14ac:dyDescent="0.25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 x14ac:dyDescent="0.25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 x14ac:dyDescent="0.25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</row>
    <row r="1110" spans="1:81" x14ac:dyDescent="0.25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 x14ac:dyDescent="0.25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 x14ac:dyDescent="0.25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 x14ac:dyDescent="0.25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 x14ac:dyDescent="0.25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 x14ac:dyDescent="0.25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 x14ac:dyDescent="0.25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 x14ac:dyDescent="0.25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</row>
    <row r="1118" spans="1:81" x14ac:dyDescent="0.25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 x14ac:dyDescent="0.25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 x14ac:dyDescent="0.25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 x14ac:dyDescent="0.25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 x14ac:dyDescent="0.25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 x14ac:dyDescent="0.25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</row>
    <row r="1124" spans="1:81" x14ac:dyDescent="0.25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</row>
    <row r="1125" spans="1:81" x14ac:dyDescent="0.25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 x14ac:dyDescent="0.25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 x14ac:dyDescent="0.25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 x14ac:dyDescent="0.25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 x14ac:dyDescent="0.25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</row>
    <row r="1130" spans="1:81" x14ac:dyDescent="0.25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 x14ac:dyDescent="0.25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 x14ac:dyDescent="0.25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 x14ac:dyDescent="0.25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</row>
    <row r="1134" spans="1:81" x14ac:dyDescent="0.25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 x14ac:dyDescent="0.25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 x14ac:dyDescent="0.25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 x14ac:dyDescent="0.25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 x14ac:dyDescent="0.25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 x14ac:dyDescent="0.25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 x14ac:dyDescent="0.25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 x14ac:dyDescent="0.25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 x14ac:dyDescent="0.25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</row>
    <row r="1143" spans="1:81" x14ac:dyDescent="0.25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 x14ac:dyDescent="0.25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</row>
    <row r="1145" spans="1:81" x14ac:dyDescent="0.25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 x14ac:dyDescent="0.25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 x14ac:dyDescent="0.25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</row>
    <row r="1148" spans="1:81" x14ac:dyDescent="0.25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 x14ac:dyDescent="0.25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 x14ac:dyDescent="0.25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 x14ac:dyDescent="0.25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 x14ac:dyDescent="0.25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 x14ac:dyDescent="0.25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 x14ac:dyDescent="0.25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 x14ac:dyDescent="0.25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 x14ac:dyDescent="0.25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 x14ac:dyDescent="0.25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 x14ac:dyDescent="0.25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 x14ac:dyDescent="0.25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 x14ac:dyDescent="0.25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</row>
    <row r="1161" spans="1:81" x14ac:dyDescent="0.25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 x14ac:dyDescent="0.25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 x14ac:dyDescent="0.25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 x14ac:dyDescent="0.25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 x14ac:dyDescent="0.25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</row>
    <row r="1166" spans="1:81" x14ac:dyDescent="0.25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 x14ac:dyDescent="0.25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</row>
    <row r="1168" spans="1:81" x14ac:dyDescent="0.25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 x14ac:dyDescent="0.25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 x14ac:dyDescent="0.25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 x14ac:dyDescent="0.25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 x14ac:dyDescent="0.25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 x14ac:dyDescent="0.25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 x14ac:dyDescent="0.25">
      <c r="A1174">
        <v>1173</v>
      </c>
      <c r="B1174">
        <v>160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 x14ac:dyDescent="0.25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 x14ac:dyDescent="0.25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 x14ac:dyDescent="0.25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 x14ac:dyDescent="0.25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 x14ac:dyDescent="0.25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 x14ac:dyDescent="0.25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 x14ac:dyDescent="0.25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 x14ac:dyDescent="0.25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 x14ac:dyDescent="0.25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</row>
    <row r="1184" spans="1:81" x14ac:dyDescent="0.25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 x14ac:dyDescent="0.25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 x14ac:dyDescent="0.25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 x14ac:dyDescent="0.25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 x14ac:dyDescent="0.25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 x14ac:dyDescent="0.25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 x14ac:dyDescent="0.25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 x14ac:dyDescent="0.25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 x14ac:dyDescent="0.25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 x14ac:dyDescent="0.25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 x14ac:dyDescent="0.25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 x14ac:dyDescent="0.25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 x14ac:dyDescent="0.25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 x14ac:dyDescent="0.25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 x14ac:dyDescent="0.25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 x14ac:dyDescent="0.25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 x14ac:dyDescent="0.25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 x14ac:dyDescent="0.25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 x14ac:dyDescent="0.25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 x14ac:dyDescent="0.25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 x14ac:dyDescent="0.25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 x14ac:dyDescent="0.25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 x14ac:dyDescent="0.25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 x14ac:dyDescent="0.25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 x14ac:dyDescent="0.25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 x14ac:dyDescent="0.25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 x14ac:dyDescent="0.25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 x14ac:dyDescent="0.25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 x14ac:dyDescent="0.25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 x14ac:dyDescent="0.25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 x14ac:dyDescent="0.25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 x14ac:dyDescent="0.25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 x14ac:dyDescent="0.25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 x14ac:dyDescent="0.25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 x14ac:dyDescent="0.25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 x14ac:dyDescent="0.25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 x14ac:dyDescent="0.25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 x14ac:dyDescent="0.25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 x14ac:dyDescent="0.25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 x14ac:dyDescent="0.25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 x14ac:dyDescent="0.25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 x14ac:dyDescent="0.25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 x14ac:dyDescent="0.25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 x14ac:dyDescent="0.25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 x14ac:dyDescent="0.25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 x14ac:dyDescent="0.25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 x14ac:dyDescent="0.25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 x14ac:dyDescent="0.25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 x14ac:dyDescent="0.25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 x14ac:dyDescent="0.25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 x14ac:dyDescent="0.25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 x14ac:dyDescent="0.25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 x14ac:dyDescent="0.25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 x14ac:dyDescent="0.25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 x14ac:dyDescent="0.25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 x14ac:dyDescent="0.25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 x14ac:dyDescent="0.25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 x14ac:dyDescent="0.25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 x14ac:dyDescent="0.25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 x14ac:dyDescent="0.25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 x14ac:dyDescent="0.25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 x14ac:dyDescent="0.25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 x14ac:dyDescent="0.25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 x14ac:dyDescent="0.25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 x14ac:dyDescent="0.25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 x14ac:dyDescent="0.25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 x14ac:dyDescent="0.25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 x14ac:dyDescent="0.25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 x14ac:dyDescent="0.25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 x14ac:dyDescent="0.25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 x14ac:dyDescent="0.25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 x14ac:dyDescent="0.25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 x14ac:dyDescent="0.25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 x14ac:dyDescent="0.25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 x14ac:dyDescent="0.25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 x14ac:dyDescent="0.25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 x14ac:dyDescent="0.25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 x14ac:dyDescent="0.25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 x14ac:dyDescent="0.25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 x14ac:dyDescent="0.25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 x14ac:dyDescent="0.25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 x14ac:dyDescent="0.25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 x14ac:dyDescent="0.25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 x14ac:dyDescent="0.25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 x14ac:dyDescent="0.25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 x14ac:dyDescent="0.25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 x14ac:dyDescent="0.25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 x14ac:dyDescent="0.25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 x14ac:dyDescent="0.25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 x14ac:dyDescent="0.25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 x14ac:dyDescent="0.25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 x14ac:dyDescent="0.25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 x14ac:dyDescent="0.25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 x14ac:dyDescent="0.25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 x14ac:dyDescent="0.25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 x14ac:dyDescent="0.25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 x14ac:dyDescent="0.25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 x14ac:dyDescent="0.25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 x14ac:dyDescent="0.25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 x14ac:dyDescent="0.25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 x14ac:dyDescent="0.25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 x14ac:dyDescent="0.25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 x14ac:dyDescent="0.25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 x14ac:dyDescent="0.25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 x14ac:dyDescent="0.25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 x14ac:dyDescent="0.25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 x14ac:dyDescent="0.25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 x14ac:dyDescent="0.25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 x14ac:dyDescent="0.25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 x14ac:dyDescent="0.25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 x14ac:dyDescent="0.25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 x14ac:dyDescent="0.25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 x14ac:dyDescent="0.25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 x14ac:dyDescent="0.25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 x14ac:dyDescent="0.25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 x14ac:dyDescent="0.25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 x14ac:dyDescent="0.25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</row>
    <row r="1301" spans="1:81" x14ac:dyDescent="0.25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 x14ac:dyDescent="0.25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 x14ac:dyDescent="0.25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 x14ac:dyDescent="0.25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 x14ac:dyDescent="0.25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 x14ac:dyDescent="0.25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 x14ac:dyDescent="0.25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 x14ac:dyDescent="0.25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</row>
    <row r="1309" spans="1:81" x14ac:dyDescent="0.25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 x14ac:dyDescent="0.25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 x14ac:dyDescent="0.25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 x14ac:dyDescent="0.25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 x14ac:dyDescent="0.25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</row>
    <row r="1314" spans="1:81" x14ac:dyDescent="0.25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 x14ac:dyDescent="0.25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 x14ac:dyDescent="0.25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 x14ac:dyDescent="0.25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 x14ac:dyDescent="0.25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 x14ac:dyDescent="0.25">
      <c r="A1319">
        <v>1318</v>
      </c>
      <c r="B1319">
        <v>120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</row>
    <row r="1320" spans="1:81" x14ac:dyDescent="0.25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 x14ac:dyDescent="0.25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 x14ac:dyDescent="0.25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 x14ac:dyDescent="0.25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 x14ac:dyDescent="0.25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 x14ac:dyDescent="0.25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 x14ac:dyDescent="0.25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</row>
    <row r="1327" spans="1:81" x14ac:dyDescent="0.25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 x14ac:dyDescent="0.25">
      <c r="A1328">
        <v>1327</v>
      </c>
      <c r="B1328">
        <v>30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 x14ac:dyDescent="0.25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 x14ac:dyDescent="0.25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 x14ac:dyDescent="0.25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 x14ac:dyDescent="0.25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 x14ac:dyDescent="0.25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 x14ac:dyDescent="0.25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 x14ac:dyDescent="0.25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 x14ac:dyDescent="0.25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 x14ac:dyDescent="0.25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 x14ac:dyDescent="0.25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 x14ac:dyDescent="0.25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 x14ac:dyDescent="0.25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 x14ac:dyDescent="0.25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 x14ac:dyDescent="0.25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 x14ac:dyDescent="0.25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 x14ac:dyDescent="0.25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 x14ac:dyDescent="0.25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 x14ac:dyDescent="0.25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</row>
    <row r="1347" spans="1:81" x14ac:dyDescent="0.25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 x14ac:dyDescent="0.25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 x14ac:dyDescent="0.25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</row>
    <row r="1350" spans="1:81" x14ac:dyDescent="0.25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 x14ac:dyDescent="0.25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 x14ac:dyDescent="0.25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 x14ac:dyDescent="0.25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 x14ac:dyDescent="0.25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 x14ac:dyDescent="0.25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 x14ac:dyDescent="0.25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 x14ac:dyDescent="0.25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 x14ac:dyDescent="0.25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 x14ac:dyDescent="0.25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 x14ac:dyDescent="0.25">
      <c r="A1360">
        <v>1359</v>
      </c>
      <c r="B1360">
        <v>160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 x14ac:dyDescent="0.25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 x14ac:dyDescent="0.25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 x14ac:dyDescent="0.25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 x14ac:dyDescent="0.25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 x14ac:dyDescent="0.25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</row>
    <row r="1366" spans="1:81" x14ac:dyDescent="0.25">
      <c r="A1366">
        <v>1365</v>
      </c>
      <c r="B1366">
        <v>160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 x14ac:dyDescent="0.25">
      <c r="A1367">
        <v>1366</v>
      </c>
      <c r="B1367">
        <v>60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 x14ac:dyDescent="0.25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 x14ac:dyDescent="0.25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 x14ac:dyDescent="0.25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 x14ac:dyDescent="0.25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 x14ac:dyDescent="0.25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 x14ac:dyDescent="0.25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 x14ac:dyDescent="0.25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 x14ac:dyDescent="0.25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 x14ac:dyDescent="0.25">
      <c r="A1376">
        <v>1375</v>
      </c>
      <c r="B1376">
        <v>60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 x14ac:dyDescent="0.25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</row>
    <row r="1378" spans="1:81" x14ac:dyDescent="0.25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 x14ac:dyDescent="0.25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 x14ac:dyDescent="0.25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 x14ac:dyDescent="0.25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 x14ac:dyDescent="0.25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 x14ac:dyDescent="0.25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 x14ac:dyDescent="0.25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 x14ac:dyDescent="0.25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 x14ac:dyDescent="0.25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 x14ac:dyDescent="0.25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 x14ac:dyDescent="0.25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 x14ac:dyDescent="0.25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</row>
    <row r="1390" spans="1:81" x14ac:dyDescent="0.25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 x14ac:dyDescent="0.25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 x14ac:dyDescent="0.25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 x14ac:dyDescent="0.25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 x14ac:dyDescent="0.25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 x14ac:dyDescent="0.25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 x14ac:dyDescent="0.25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</row>
    <row r="1397" spans="1:81" x14ac:dyDescent="0.25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 x14ac:dyDescent="0.25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 x14ac:dyDescent="0.25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 x14ac:dyDescent="0.25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 x14ac:dyDescent="0.25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 x14ac:dyDescent="0.25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 x14ac:dyDescent="0.25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 x14ac:dyDescent="0.25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</row>
    <row r="1405" spans="1:81" x14ac:dyDescent="0.25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 x14ac:dyDescent="0.25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</row>
    <row r="1407" spans="1:81" x14ac:dyDescent="0.25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 x14ac:dyDescent="0.25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 x14ac:dyDescent="0.25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 x14ac:dyDescent="0.25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 x14ac:dyDescent="0.25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 x14ac:dyDescent="0.25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 x14ac:dyDescent="0.25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 x14ac:dyDescent="0.25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 x14ac:dyDescent="0.25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</row>
    <row r="1416" spans="1:81" x14ac:dyDescent="0.25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 x14ac:dyDescent="0.25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 x14ac:dyDescent="0.25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 x14ac:dyDescent="0.25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 x14ac:dyDescent="0.25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</row>
    <row r="1421" spans="1:81" x14ac:dyDescent="0.25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 x14ac:dyDescent="0.25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 x14ac:dyDescent="0.25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 x14ac:dyDescent="0.25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 x14ac:dyDescent="0.25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</row>
    <row r="1426" spans="1:81" x14ac:dyDescent="0.25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 x14ac:dyDescent="0.25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 x14ac:dyDescent="0.25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 x14ac:dyDescent="0.25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 x14ac:dyDescent="0.25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 x14ac:dyDescent="0.25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 x14ac:dyDescent="0.25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 x14ac:dyDescent="0.25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 x14ac:dyDescent="0.25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 x14ac:dyDescent="0.25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 x14ac:dyDescent="0.25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 x14ac:dyDescent="0.25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</row>
    <row r="1438" spans="1:81" x14ac:dyDescent="0.25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 x14ac:dyDescent="0.25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</row>
    <row r="1440" spans="1:81" x14ac:dyDescent="0.25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 x14ac:dyDescent="0.25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 x14ac:dyDescent="0.25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 x14ac:dyDescent="0.25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 x14ac:dyDescent="0.25">
      <c r="A1444">
        <v>1443</v>
      </c>
      <c r="B1444">
        <v>60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 x14ac:dyDescent="0.25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 x14ac:dyDescent="0.25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 x14ac:dyDescent="0.25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 x14ac:dyDescent="0.25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 x14ac:dyDescent="0.25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 x14ac:dyDescent="0.25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 x14ac:dyDescent="0.25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 x14ac:dyDescent="0.25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 x14ac:dyDescent="0.25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</row>
    <row r="1454" spans="1:81" x14ac:dyDescent="0.25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 x14ac:dyDescent="0.25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 x14ac:dyDescent="0.25">
      <c r="A1456">
        <v>1455</v>
      </c>
      <c r="B1456">
        <v>20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 x14ac:dyDescent="0.25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 x14ac:dyDescent="0.25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 x14ac:dyDescent="0.25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 x14ac:dyDescent="0.25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 x14ac:dyDescent="0.25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F066-BDFD-4F2C-BD5C-8670E300025F}">
  <dimension ref="A3:B35"/>
  <sheetViews>
    <sheetView workbookViewId="0">
      <selection activeCell="F25" sqref="F25"/>
    </sheetView>
  </sheetViews>
  <sheetFormatPr defaultRowHeight="15" x14ac:dyDescent="0.25"/>
  <cols>
    <col min="1" max="1" width="12" bestFit="1" customWidth="1"/>
    <col min="2" max="2" width="15" bestFit="1" customWidth="1"/>
    <col min="3" max="6" width="11.7109375" bestFit="1" customWidth="1"/>
    <col min="7" max="7" width="9.85546875" bestFit="1" customWidth="1"/>
    <col min="8" max="102" width="3.7109375" bestFit="1" customWidth="1"/>
    <col min="103" max="788" width="4.7109375" bestFit="1" customWidth="1"/>
    <col min="789" max="789" width="9.42578125" bestFit="1" customWidth="1"/>
    <col min="790" max="790" width="8.7109375" bestFit="1" customWidth="1"/>
    <col min="791" max="793" width="3.7109375" bestFit="1" customWidth="1"/>
    <col min="794" max="819" width="4.7109375" bestFit="1" customWidth="1"/>
    <col min="820" max="820" width="11.28515625" bestFit="1" customWidth="1"/>
    <col min="821" max="821" width="8" bestFit="1" customWidth="1"/>
    <col min="822" max="824" width="3.7109375" bestFit="1" customWidth="1"/>
    <col min="825" max="861" width="4.7109375" bestFit="1" customWidth="1"/>
    <col min="862" max="862" width="10.5703125" bestFit="1" customWidth="1"/>
    <col min="863" max="863" width="7.42578125" bestFit="1" customWidth="1"/>
    <col min="864" max="865" width="3.7109375" bestFit="1" customWidth="1"/>
    <col min="866" max="886" width="4.7109375" bestFit="1" customWidth="1"/>
    <col min="887" max="887" width="10" bestFit="1" customWidth="1"/>
    <col min="888" max="888" width="8.42578125" bestFit="1" customWidth="1"/>
    <col min="889" max="895" width="3.7109375" bestFit="1" customWidth="1"/>
    <col min="896" max="973" width="4.7109375" bestFit="1" customWidth="1"/>
    <col min="974" max="974" width="11" bestFit="1" customWidth="1"/>
    <col min="975" max="975" width="9.85546875" bestFit="1" customWidth="1"/>
  </cols>
  <sheetData>
    <row r="3" spans="1:2" x14ac:dyDescent="0.25">
      <c r="A3" s="1" t="s">
        <v>256</v>
      </c>
      <c r="B3" t="s">
        <v>258</v>
      </c>
    </row>
    <row r="4" spans="1:2" x14ac:dyDescent="0.25">
      <c r="A4" s="2" t="s">
        <v>91</v>
      </c>
      <c r="B4">
        <v>1220</v>
      </c>
    </row>
    <row r="5" spans="1:2" x14ac:dyDescent="0.25">
      <c r="A5" s="2" t="s">
        <v>149</v>
      </c>
      <c r="B5">
        <v>31</v>
      </c>
    </row>
    <row r="6" spans="1:2" x14ac:dyDescent="0.25">
      <c r="A6" s="2" t="s">
        <v>167</v>
      </c>
      <c r="B6">
        <v>52</v>
      </c>
    </row>
    <row r="7" spans="1:2" x14ac:dyDescent="0.25">
      <c r="A7" s="2" t="s">
        <v>198</v>
      </c>
      <c r="B7">
        <v>43</v>
      </c>
    </row>
    <row r="8" spans="1:2" x14ac:dyDescent="0.25">
      <c r="A8" s="2" t="s">
        <v>179</v>
      </c>
      <c r="B8">
        <v>114</v>
      </c>
    </row>
    <row r="9" spans="1:2" x14ac:dyDescent="0.25">
      <c r="A9" s="2" t="s">
        <v>257</v>
      </c>
      <c r="B9">
        <v>1460</v>
      </c>
    </row>
    <row r="21" spans="1:2" x14ac:dyDescent="0.25">
      <c r="A21" s="1" t="s">
        <v>15</v>
      </c>
      <c r="B21" t="s">
        <v>91</v>
      </c>
    </row>
    <row r="23" spans="1:2" x14ac:dyDescent="0.25">
      <c r="A23" s="1" t="s">
        <v>256</v>
      </c>
      <c r="B23" t="s">
        <v>281</v>
      </c>
    </row>
    <row r="24" spans="1:2" x14ac:dyDescent="0.25">
      <c r="A24" s="2" t="s">
        <v>282</v>
      </c>
      <c r="B24" s="11">
        <v>2255.4285714285716</v>
      </c>
    </row>
    <row r="25" spans="1:2" x14ac:dyDescent="0.25">
      <c r="A25" s="2" t="s">
        <v>283</v>
      </c>
      <c r="B25" s="11">
        <v>1547.125</v>
      </c>
    </row>
    <row r="26" spans="1:2" x14ac:dyDescent="0.25">
      <c r="A26" s="2" t="s">
        <v>284</v>
      </c>
      <c r="B26" s="11">
        <v>1555.9215686274511</v>
      </c>
    </row>
    <row r="27" spans="1:2" x14ac:dyDescent="0.25">
      <c r="A27" s="2" t="s">
        <v>285</v>
      </c>
      <c r="B27" s="11">
        <v>1288.1770833333333</v>
      </c>
    </row>
    <row r="28" spans="1:2" x14ac:dyDescent="0.25">
      <c r="A28" s="2" t="s">
        <v>286</v>
      </c>
      <c r="B28" s="11">
        <v>1444.2</v>
      </c>
    </row>
    <row r="29" spans="1:2" x14ac:dyDescent="0.25">
      <c r="A29" s="2" t="s">
        <v>287</v>
      </c>
      <c r="B29" s="11">
        <v>1297.8333333333333</v>
      </c>
    </row>
    <row r="30" spans="1:2" x14ac:dyDescent="0.25">
      <c r="A30" s="2" t="s">
        <v>288</v>
      </c>
      <c r="B30" s="11">
        <v>1268.8311688311687</v>
      </c>
    </row>
    <row r="31" spans="1:2" x14ac:dyDescent="0.25">
      <c r="A31" s="2" t="s">
        <v>289</v>
      </c>
      <c r="B31" s="11">
        <v>1340.9617834394905</v>
      </c>
    </row>
    <row r="32" spans="1:2" x14ac:dyDescent="0.25">
      <c r="A32" s="2" t="s">
        <v>290</v>
      </c>
      <c r="B32" s="11">
        <v>1403.3174603174602</v>
      </c>
    </row>
    <row r="33" spans="1:2" x14ac:dyDescent="0.25">
      <c r="A33" s="2" t="s">
        <v>291</v>
      </c>
      <c r="B33" s="11">
        <v>1539.5869565217392</v>
      </c>
    </row>
    <row r="34" spans="1:2" x14ac:dyDescent="0.25">
      <c r="A34" s="2" t="s">
        <v>292</v>
      </c>
      <c r="B34" s="11">
        <v>1900.0942028985507</v>
      </c>
    </row>
    <row r="35" spans="1:2" x14ac:dyDescent="0.25">
      <c r="A35" s="2" t="s">
        <v>293</v>
      </c>
      <c r="B35" s="11">
        <v>1784.9805194805194</v>
      </c>
    </row>
  </sheetData>
  <conditionalFormatting pivot="1" sqref="B24:B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50A4-0C7C-4192-A20B-450B1BDE903A}">
  <dimension ref="A1:G1461"/>
  <sheetViews>
    <sheetView workbookViewId="0">
      <selection activeCell="E23" sqref="E23"/>
    </sheetView>
  </sheetViews>
  <sheetFormatPr defaultRowHeight="15" x14ac:dyDescent="0.25"/>
  <cols>
    <col min="4" max="4" width="15.5703125" bestFit="1" customWidth="1"/>
    <col min="5" max="5" width="11.7109375" bestFit="1" customWidth="1"/>
    <col min="6" max="6" width="9.5703125" bestFit="1" customWidth="1"/>
    <col min="7" max="7" width="12" bestFit="1" customWidth="1"/>
  </cols>
  <sheetData>
    <row r="1" spans="1:7" ht="15.75" thickBot="1" x14ac:dyDescent="0.3">
      <c r="A1" t="s">
        <v>80</v>
      </c>
      <c r="C1" t="s">
        <v>259</v>
      </c>
    </row>
    <row r="2" spans="1:7" x14ac:dyDescent="0.25">
      <c r="A2">
        <v>208500</v>
      </c>
      <c r="C2">
        <v>100000</v>
      </c>
      <c r="E2" s="6" t="s">
        <v>259</v>
      </c>
      <c r="F2" s="6" t="s">
        <v>261</v>
      </c>
      <c r="G2" s="6" t="s">
        <v>262</v>
      </c>
    </row>
    <row r="3" spans="1:7" x14ac:dyDescent="0.25">
      <c r="A3">
        <v>181500</v>
      </c>
      <c r="C3">
        <v>200000</v>
      </c>
      <c r="E3">
        <v>100000</v>
      </c>
      <c r="F3">
        <v>123</v>
      </c>
      <c r="G3" s="3">
        <v>8.4246575342465754E-2</v>
      </c>
    </row>
    <row r="4" spans="1:7" x14ac:dyDescent="0.25">
      <c r="A4">
        <v>223500</v>
      </c>
      <c r="C4">
        <v>300000</v>
      </c>
      <c r="E4">
        <v>200000</v>
      </c>
      <c r="F4">
        <v>910</v>
      </c>
      <c r="G4" s="3">
        <v>0.70753424657534247</v>
      </c>
    </row>
    <row r="5" spans="1:7" x14ac:dyDescent="0.25">
      <c r="A5">
        <v>140000</v>
      </c>
      <c r="C5">
        <v>400000</v>
      </c>
      <c r="E5">
        <v>300000</v>
      </c>
      <c r="F5">
        <v>312</v>
      </c>
      <c r="G5" s="3">
        <v>0.92123287671232879</v>
      </c>
    </row>
    <row r="6" spans="1:7" x14ac:dyDescent="0.25">
      <c r="A6">
        <v>250000</v>
      </c>
      <c r="C6">
        <v>500000</v>
      </c>
      <c r="E6">
        <v>400000</v>
      </c>
      <c r="F6">
        <v>87</v>
      </c>
      <c r="G6" s="3">
        <v>0.98082191780821915</v>
      </c>
    </row>
    <row r="7" spans="1:7" x14ac:dyDescent="0.25">
      <c r="A7">
        <v>143000</v>
      </c>
      <c r="C7">
        <v>600000</v>
      </c>
      <c r="E7">
        <v>500000</v>
      </c>
      <c r="F7">
        <v>19</v>
      </c>
      <c r="G7" s="3">
        <v>0.99383561643835616</v>
      </c>
    </row>
    <row r="8" spans="1:7" x14ac:dyDescent="0.25">
      <c r="A8">
        <v>307000</v>
      </c>
      <c r="C8">
        <v>700000</v>
      </c>
      <c r="E8">
        <v>600000</v>
      </c>
      <c r="F8">
        <v>5</v>
      </c>
      <c r="G8" s="3">
        <v>0.99726027397260275</v>
      </c>
    </row>
    <row r="9" spans="1:7" x14ac:dyDescent="0.25">
      <c r="A9">
        <v>200000</v>
      </c>
      <c r="E9">
        <v>700000</v>
      </c>
      <c r="F9">
        <v>2</v>
      </c>
      <c r="G9" s="3">
        <v>0.99863013698630132</v>
      </c>
    </row>
    <row r="10" spans="1:7" ht="15.75" thickBot="1" x14ac:dyDescent="0.3">
      <c r="A10">
        <v>129900</v>
      </c>
      <c r="E10" s="4" t="s">
        <v>260</v>
      </c>
      <c r="F10" s="4">
        <v>2</v>
      </c>
      <c r="G10" s="5">
        <v>1</v>
      </c>
    </row>
    <row r="11" spans="1:7" x14ac:dyDescent="0.25">
      <c r="A11">
        <v>118000</v>
      </c>
    </row>
    <row r="12" spans="1:7" x14ac:dyDescent="0.25">
      <c r="A12">
        <v>129500</v>
      </c>
    </row>
    <row r="13" spans="1:7" x14ac:dyDescent="0.25">
      <c r="A13">
        <v>345000</v>
      </c>
    </row>
    <row r="14" spans="1:7" x14ac:dyDescent="0.25">
      <c r="A14">
        <v>144000</v>
      </c>
    </row>
    <row r="15" spans="1:7" x14ac:dyDescent="0.25">
      <c r="A15">
        <v>279500</v>
      </c>
    </row>
    <row r="16" spans="1:7" x14ac:dyDescent="0.25">
      <c r="A16">
        <v>157000</v>
      </c>
    </row>
    <row r="17" spans="1:5" x14ac:dyDescent="0.25">
      <c r="A17">
        <v>132000</v>
      </c>
    </row>
    <row r="18" spans="1:5" ht="15.75" thickBot="1" x14ac:dyDescent="0.3">
      <c r="A18">
        <v>149000</v>
      </c>
    </row>
    <row r="19" spans="1:5" x14ac:dyDescent="0.25">
      <c r="A19">
        <v>90000</v>
      </c>
      <c r="D19" s="7" t="s">
        <v>80</v>
      </c>
      <c r="E19" s="7"/>
    </row>
    <row r="20" spans="1:5" x14ac:dyDescent="0.25">
      <c r="A20">
        <v>159000</v>
      </c>
    </row>
    <row r="21" spans="1:5" x14ac:dyDescent="0.25">
      <c r="A21">
        <v>139000</v>
      </c>
      <c r="D21" t="s">
        <v>263</v>
      </c>
      <c r="E21">
        <v>180921.19589041095</v>
      </c>
    </row>
    <row r="22" spans="1:5" x14ac:dyDescent="0.25">
      <c r="A22">
        <v>325300</v>
      </c>
      <c r="D22" t="s">
        <v>264</v>
      </c>
      <c r="E22">
        <v>2079.1053239672437</v>
      </c>
    </row>
    <row r="23" spans="1:5" x14ac:dyDescent="0.25">
      <c r="A23">
        <v>139400</v>
      </c>
      <c r="D23" t="s">
        <v>265</v>
      </c>
      <c r="E23">
        <v>163000</v>
      </c>
    </row>
    <row r="24" spans="1:5" x14ac:dyDescent="0.25">
      <c r="A24">
        <v>230000</v>
      </c>
      <c r="D24" t="s">
        <v>266</v>
      </c>
      <c r="E24">
        <v>140000</v>
      </c>
    </row>
    <row r="25" spans="1:5" x14ac:dyDescent="0.25">
      <c r="A25">
        <v>129900</v>
      </c>
      <c r="D25" t="s">
        <v>267</v>
      </c>
      <c r="E25">
        <v>79442.50288288662</v>
      </c>
    </row>
    <row r="26" spans="1:5" x14ac:dyDescent="0.25">
      <c r="A26">
        <v>154000</v>
      </c>
      <c r="D26" t="s">
        <v>268</v>
      </c>
      <c r="E26">
        <v>6311111264.2974482</v>
      </c>
    </row>
    <row r="27" spans="1:5" x14ac:dyDescent="0.25">
      <c r="A27">
        <v>256300</v>
      </c>
      <c r="D27" t="s">
        <v>269</v>
      </c>
      <c r="E27">
        <v>6.5362818600645234</v>
      </c>
    </row>
    <row r="28" spans="1:5" x14ac:dyDescent="0.25">
      <c r="A28">
        <v>134800</v>
      </c>
      <c r="D28" t="s">
        <v>270</v>
      </c>
      <c r="E28">
        <v>1.8828757597682115</v>
      </c>
    </row>
    <row r="29" spans="1:5" x14ac:dyDescent="0.25">
      <c r="A29">
        <v>306000</v>
      </c>
      <c r="D29" t="s">
        <v>271</v>
      </c>
      <c r="E29">
        <v>720100</v>
      </c>
    </row>
    <row r="30" spans="1:5" x14ac:dyDescent="0.25">
      <c r="A30">
        <v>207500</v>
      </c>
      <c r="D30" t="s">
        <v>272</v>
      </c>
      <c r="E30">
        <v>34900</v>
      </c>
    </row>
    <row r="31" spans="1:5" x14ac:dyDescent="0.25">
      <c r="A31">
        <v>68500</v>
      </c>
      <c r="D31" t="s">
        <v>273</v>
      </c>
      <c r="E31">
        <v>755000</v>
      </c>
    </row>
    <row r="32" spans="1:5" x14ac:dyDescent="0.25">
      <c r="A32">
        <v>40000</v>
      </c>
      <c r="D32" t="s">
        <v>274</v>
      </c>
      <c r="E32">
        <v>264144946</v>
      </c>
    </row>
    <row r="33" spans="1:5" ht="15.75" thickBot="1" x14ac:dyDescent="0.3">
      <c r="A33">
        <v>149350</v>
      </c>
      <c r="D33" s="4" t="s">
        <v>275</v>
      </c>
      <c r="E33" s="4">
        <v>1460</v>
      </c>
    </row>
    <row r="34" spans="1:5" x14ac:dyDescent="0.25">
      <c r="A34">
        <v>179900</v>
      </c>
    </row>
    <row r="35" spans="1:5" x14ac:dyDescent="0.25">
      <c r="A35">
        <v>165500</v>
      </c>
    </row>
    <row r="36" spans="1:5" x14ac:dyDescent="0.25">
      <c r="A36">
        <v>277500</v>
      </c>
    </row>
    <row r="37" spans="1:5" x14ac:dyDescent="0.25">
      <c r="A37">
        <v>309000</v>
      </c>
    </row>
    <row r="38" spans="1:5" x14ac:dyDescent="0.25">
      <c r="A38">
        <v>145000</v>
      </c>
    </row>
    <row r="39" spans="1:5" x14ac:dyDescent="0.25">
      <c r="A39">
        <v>153000</v>
      </c>
    </row>
    <row r="40" spans="1:5" x14ac:dyDescent="0.25">
      <c r="A40">
        <v>109000</v>
      </c>
    </row>
    <row r="41" spans="1:5" x14ac:dyDescent="0.25">
      <c r="A41">
        <v>82000</v>
      </c>
    </row>
    <row r="42" spans="1:5" x14ac:dyDescent="0.25">
      <c r="A42">
        <v>160000</v>
      </c>
    </row>
    <row r="43" spans="1:5" x14ac:dyDescent="0.25">
      <c r="A43">
        <v>170000</v>
      </c>
    </row>
    <row r="44" spans="1:5" x14ac:dyDescent="0.25">
      <c r="A44">
        <v>144000</v>
      </c>
    </row>
    <row r="45" spans="1:5" x14ac:dyDescent="0.25">
      <c r="A45">
        <v>130250</v>
      </c>
    </row>
    <row r="46" spans="1:5" x14ac:dyDescent="0.25">
      <c r="A46">
        <v>141000</v>
      </c>
    </row>
    <row r="47" spans="1:5" x14ac:dyDescent="0.25">
      <c r="A47">
        <v>319900</v>
      </c>
    </row>
    <row r="48" spans="1:5" x14ac:dyDescent="0.25">
      <c r="A48">
        <v>239686</v>
      </c>
    </row>
    <row r="49" spans="1:1" x14ac:dyDescent="0.25">
      <c r="A49">
        <v>249700</v>
      </c>
    </row>
    <row r="50" spans="1:1" x14ac:dyDescent="0.25">
      <c r="A50">
        <v>113000</v>
      </c>
    </row>
    <row r="51" spans="1:1" x14ac:dyDescent="0.25">
      <c r="A51">
        <v>127000</v>
      </c>
    </row>
    <row r="52" spans="1:1" x14ac:dyDescent="0.25">
      <c r="A52">
        <v>177000</v>
      </c>
    </row>
    <row r="53" spans="1:1" x14ac:dyDescent="0.25">
      <c r="A53">
        <v>114500</v>
      </c>
    </row>
    <row r="54" spans="1:1" x14ac:dyDescent="0.25">
      <c r="A54">
        <v>110000</v>
      </c>
    </row>
    <row r="55" spans="1:1" x14ac:dyDescent="0.25">
      <c r="A55">
        <v>385000</v>
      </c>
    </row>
    <row r="56" spans="1:1" x14ac:dyDescent="0.25">
      <c r="A56">
        <v>130000</v>
      </c>
    </row>
    <row r="57" spans="1:1" x14ac:dyDescent="0.25">
      <c r="A57">
        <v>180500</v>
      </c>
    </row>
    <row r="58" spans="1:1" x14ac:dyDescent="0.25">
      <c r="A58">
        <v>172500</v>
      </c>
    </row>
    <row r="59" spans="1:1" x14ac:dyDescent="0.25">
      <c r="A59">
        <v>196500</v>
      </c>
    </row>
    <row r="60" spans="1:1" x14ac:dyDescent="0.25">
      <c r="A60">
        <v>438780</v>
      </c>
    </row>
    <row r="61" spans="1:1" x14ac:dyDescent="0.25">
      <c r="A61">
        <v>124900</v>
      </c>
    </row>
    <row r="62" spans="1:1" x14ac:dyDescent="0.25">
      <c r="A62">
        <v>158000</v>
      </c>
    </row>
    <row r="63" spans="1:1" x14ac:dyDescent="0.25">
      <c r="A63">
        <v>101000</v>
      </c>
    </row>
    <row r="64" spans="1:1" x14ac:dyDescent="0.25">
      <c r="A64">
        <v>202500</v>
      </c>
    </row>
    <row r="65" spans="1:1" x14ac:dyDescent="0.25">
      <c r="A65">
        <v>140000</v>
      </c>
    </row>
    <row r="66" spans="1:1" x14ac:dyDescent="0.25">
      <c r="A66">
        <v>219500</v>
      </c>
    </row>
    <row r="67" spans="1:1" x14ac:dyDescent="0.25">
      <c r="A67">
        <v>317000</v>
      </c>
    </row>
    <row r="68" spans="1:1" x14ac:dyDescent="0.25">
      <c r="A68">
        <v>180000</v>
      </c>
    </row>
    <row r="69" spans="1:1" x14ac:dyDescent="0.25">
      <c r="A69">
        <v>226000</v>
      </c>
    </row>
    <row r="70" spans="1:1" x14ac:dyDescent="0.25">
      <c r="A70">
        <v>80000</v>
      </c>
    </row>
    <row r="71" spans="1:1" x14ac:dyDescent="0.25">
      <c r="A71">
        <v>225000</v>
      </c>
    </row>
    <row r="72" spans="1:1" x14ac:dyDescent="0.25">
      <c r="A72">
        <v>244000</v>
      </c>
    </row>
    <row r="73" spans="1:1" x14ac:dyDescent="0.25">
      <c r="A73">
        <v>129500</v>
      </c>
    </row>
    <row r="74" spans="1:1" x14ac:dyDescent="0.25">
      <c r="A74">
        <v>185000</v>
      </c>
    </row>
    <row r="75" spans="1:1" x14ac:dyDescent="0.25">
      <c r="A75">
        <v>144900</v>
      </c>
    </row>
    <row r="76" spans="1:1" x14ac:dyDescent="0.25">
      <c r="A76">
        <v>107400</v>
      </c>
    </row>
    <row r="77" spans="1:1" x14ac:dyDescent="0.25">
      <c r="A77">
        <v>91000</v>
      </c>
    </row>
    <row r="78" spans="1:1" x14ac:dyDescent="0.25">
      <c r="A78">
        <v>135750</v>
      </c>
    </row>
    <row r="79" spans="1:1" x14ac:dyDescent="0.25">
      <c r="A79">
        <v>127000</v>
      </c>
    </row>
    <row r="80" spans="1:1" x14ac:dyDescent="0.25">
      <c r="A80">
        <v>136500</v>
      </c>
    </row>
    <row r="81" spans="1:1" x14ac:dyDescent="0.25">
      <c r="A81">
        <v>110000</v>
      </c>
    </row>
    <row r="82" spans="1:1" x14ac:dyDescent="0.25">
      <c r="A82">
        <v>193500</v>
      </c>
    </row>
    <row r="83" spans="1:1" x14ac:dyDescent="0.25">
      <c r="A83">
        <v>153500</v>
      </c>
    </row>
    <row r="84" spans="1:1" x14ac:dyDescent="0.25">
      <c r="A84">
        <v>245000</v>
      </c>
    </row>
    <row r="85" spans="1:1" x14ac:dyDescent="0.25">
      <c r="A85">
        <v>126500</v>
      </c>
    </row>
    <row r="86" spans="1:1" x14ac:dyDescent="0.25">
      <c r="A86">
        <v>168500</v>
      </c>
    </row>
    <row r="87" spans="1:1" x14ac:dyDescent="0.25">
      <c r="A87">
        <v>260000</v>
      </c>
    </row>
    <row r="88" spans="1:1" x14ac:dyDescent="0.25">
      <c r="A88">
        <v>174000</v>
      </c>
    </row>
    <row r="89" spans="1:1" x14ac:dyDescent="0.25">
      <c r="A89">
        <v>164500</v>
      </c>
    </row>
    <row r="90" spans="1:1" x14ac:dyDescent="0.25">
      <c r="A90">
        <v>85000</v>
      </c>
    </row>
    <row r="91" spans="1:1" x14ac:dyDescent="0.25">
      <c r="A91">
        <v>123600</v>
      </c>
    </row>
    <row r="92" spans="1:1" x14ac:dyDescent="0.25">
      <c r="A92">
        <v>109900</v>
      </c>
    </row>
    <row r="93" spans="1:1" x14ac:dyDescent="0.25">
      <c r="A93">
        <v>98600</v>
      </c>
    </row>
    <row r="94" spans="1:1" x14ac:dyDescent="0.25">
      <c r="A94">
        <v>163500</v>
      </c>
    </row>
    <row r="95" spans="1:1" x14ac:dyDescent="0.25">
      <c r="A95">
        <v>133900</v>
      </c>
    </row>
    <row r="96" spans="1:1" x14ac:dyDescent="0.25">
      <c r="A96">
        <v>204750</v>
      </c>
    </row>
    <row r="97" spans="1:1" x14ac:dyDescent="0.25">
      <c r="A97">
        <v>185000</v>
      </c>
    </row>
    <row r="98" spans="1:1" x14ac:dyDescent="0.25">
      <c r="A98">
        <v>214000</v>
      </c>
    </row>
    <row r="99" spans="1:1" x14ac:dyDescent="0.25">
      <c r="A99">
        <v>94750</v>
      </c>
    </row>
    <row r="100" spans="1:1" x14ac:dyDescent="0.25">
      <c r="A100">
        <v>83000</v>
      </c>
    </row>
    <row r="101" spans="1:1" x14ac:dyDescent="0.25">
      <c r="A101">
        <v>128950</v>
      </c>
    </row>
    <row r="102" spans="1:1" x14ac:dyDescent="0.25">
      <c r="A102">
        <v>205000</v>
      </c>
    </row>
    <row r="103" spans="1:1" x14ac:dyDescent="0.25">
      <c r="A103">
        <v>178000</v>
      </c>
    </row>
    <row r="104" spans="1:1" x14ac:dyDescent="0.25">
      <c r="A104">
        <v>118964</v>
      </c>
    </row>
    <row r="105" spans="1:1" x14ac:dyDescent="0.25">
      <c r="A105">
        <v>198900</v>
      </c>
    </row>
    <row r="106" spans="1:1" x14ac:dyDescent="0.25">
      <c r="A106">
        <v>169500</v>
      </c>
    </row>
    <row r="107" spans="1:1" x14ac:dyDescent="0.25">
      <c r="A107">
        <v>250000</v>
      </c>
    </row>
    <row r="108" spans="1:1" x14ac:dyDescent="0.25">
      <c r="A108">
        <v>100000</v>
      </c>
    </row>
    <row r="109" spans="1:1" x14ac:dyDescent="0.25">
      <c r="A109">
        <v>115000</v>
      </c>
    </row>
    <row r="110" spans="1:1" x14ac:dyDescent="0.25">
      <c r="A110">
        <v>115000</v>
      </c>
    </row>
    <row r="111" spans="1:1" x14ac:dyDescent="0.25">
      <c r="A111">
        <v>190000</v>
      </c>
    </row>
    <row r="112" spans="1:1" x14ac:dyDescent="0.25">
      <c r="A112">
        <v>136900</v>
      </c>
    </row>
    <row r="113" spans="1:1" x14ac:dyDescent="0.25">
      <c r="A113">
        <v>180000</v>
      </c>
    </row>
    <row r="114" spans="1:1" x14ac:dyDescent="0.25">
      <c r="A114">
        <v>383970</v>
      </c>
    </row>
    <row r="115" spans="1:1" x14ac:dyDescent="0.25">
      <c r="A115">
        <v>217000</v>
      </c>
    </row>
    <row r="116" spans="1:1" x14ac:dyDescent="0.25">
      <c r="A116">
        <v>259500</v>
      </c>
    </row>
    <row r="117" spans="1:1" x14ac:dyDescent="0.25">
      <c r="A117">
        <v>176000</v>
      </c>
    </row>
    <row r="118" spans="1:1" x14ac:dyDescent="0.25">
      <c r="A118">
        <v>139000</v>
      </c>
    </row>
    <row r="119" spans="1:1" x14ac:dyDescent="0.25">
      <c r="A119">
        <v>155000</v>
      </c>
    </row>
    <row r="120" spans="1:1" x14ac:dyDescent="0.25">
      <c r="A120">
        <v>320000</v>
      </c>
    </row>
    <row r="121" spans="1:1" x14ac:dyDescent="0.25">
      <c r="A121">
        <v>163990</v>
      </c>
    </row>
    <row r="122" spans="1:1" x14ac:dyDescent="0.25">
      <c r="A122">
        <v>180000</v>
      </c>
    </row>
    <row r="123" spans="1:1" x14ac:dyDescent="0.25">
      <c r="A123">
        <v>100000</v>
      </c>
    </row>
    <row r="124" spans="1:1" x14ac:dyDescent="0.25">
      <c r="A124">
        <v>136000</v>
      </c>
    </row>
    <row r="125" spans="1:1" x14ac:dyDescent="0.25">
      <c r="A125">
        <v>153900</v>
      </c>
    </row>
    <row r="126" spans="1:1" x14ac:dyDescent="0.25">
      <c r="A126">
        <v>181000</v>
      </c>
    </row>
    <row r="127" spans="1:1" x14ac:dyDescent="0.25">
      <c r="A127">
        <v>84500</v>
      </c>
    </row>
    <row r="128" spans="1:1" x14ac:dyDescent="0.25">
      <c r="A128">
        <v>128000</v>
      </c>
    </row>
    <row r="129" spans="1:1" x14ac:dyDescent="0.25">
      <c r="A129">
        <v>87000</v>
      </c>
    </row>
    <row r="130" spans="1:1" x14ac:dyDescent="0.25">
      <c r="A130">
        <v>155000</v>
      </c>
    </row>
    <row r="131" spans="1:1" x14ac:dyDescent="0.25">
      <c r="A131">
        <v>150000</v>
      </c>
    </row>
    <row r="132" spans="1:1" x14ac:dyDescent="0.25">
      <c r="A132">
        <v>226000</v>
      </c>
    </row>
    <row r="133" spans="1:1" x14ac:dyDescent="0.25">
      <c r="A133">
        <v>244000</v>
      </c>
    </row>
    <row r="134" spans="1:1" x14ac:dyDescent="0.25">
      <c r="A134">
        <v>150750</v>
      </c>
    </row>
    <row r="135" spans="1:1" x14ac:dyDescent="0.25">
      <c r="A135">
        <v>220000</v>
      </c>
    </row>
    <row r="136" spans="1:1" x14ac:dyDescent="0.25">
      <c r="A136">
        <v>180000</v>
      </c>
    </row>
    <row r="137" spans="1:1" x14ac:dyDescent="0.25">
      <c r="A137">
        <v>174000</v>
      </c>
    </row>
    <row r="138" spans="1:1" x14ac:dyDescent="0.25">
      <c r="A138">
        <v>143000</v>
      </c>
    </row>
    <row r="139" spans="1:1" x14ac:dyDescent="0.25">
      <c r="A139">
        <v>171000</v>
      </c>
    </row>
    <row r="140" spans="1:1" x14ac:dyDescent="0.25">
      <c r="A140">
        <v>230000</v>
      </c>
    </row>
    <row r="141" spans="1:1" x14ac:dyDescent="0.25">
      <c r="A141">
        <v>231500</v>
      </c>
    </row>
    <row r="142" spans="1:1" x14ac:dyDescent="0.25">
      <c r="A142">
        <v>115000</v>
      </c>
    </row>
    <row r="143" spans="1:1" x14ac:dyDescent="0.25">
      <c r="A143">
        <v>260000</v>
      </c>
    </row>
    <row r="144" spans="1:1" x14ac:dyDescent="0.25">
      <c r="A144">
        <v>166000</v>
      </c>
    </row>
    <row r="145" spans="1:1" x14ac:dyDescent="0.25">
      <c r="A145">
        <v>204000</v>
      </c>
    </row>
    <row r="146" spans="1:1" x14ac:dyDescent="0.25">
      <c r="A146">
        <v>125000</v>
      </c>
    </row>
    <row r="147" spans="1:1" x14ac:dyDescent="0.25">
      <c r="A147">
        <v>130000</v>
      </c>
    </row>
    <row r="148" spans="1:1" x14ac:dyDescent="0.25">
      <c r="A148">
        <v>105000</v>
      </c>
    </row>
    <row r="149" spans="1:1" x14ac:dyDescent="0.25">
      <c r="A149">
        <v>222500</v>
      </c>
    </row>
    <row r="150" spans="1:1" x14ac:dyDescent="0.25">
      <c r="A150">
        <v>141000</v>
      </c>
    </row>
    <row r="151" spans="1:1" x14ac:dyDescent="0.25">
      <c r="A151">
        <v>115000</v>
      </c>
    </row>
    <row r="152" spans="1:1" x14ac:dyDescent="0.25">
      <c r="A152">
        <v>122000</v>
      </c>
    </row>
    <row r="153" spans="1:1" x14ac:dyDescent="0.25">
      <c r="A153">
        <v>372402</v>
      </c>
    </row>
    <row r="154" spans="1:1" x14ac:dyDescent="0.25">
      <c r="A154">
        <v>190000</v>
      </c>
    </row>
    <row r="155" spans="1:1" x14ac:dyDescent="0.25">
      <c r="A155">
        <v>235000</v>
      </c>
    </row>
    <row r="156" spans="1:1" x14ac:dyDescent="0.25">
      <c r="A156">
        <v>125000</v>
      </c>
    </row>
    <row r="157" spans="1:1" x14ac:dyDescent="0.25">
      <c r="A157">
        <v>79000</v>
      </c>
    </row>
    <row r="158" spans="1:1" x14ac:dyDescent="0.25">
      <c r="A158">
        <v>109500</v>
      </c>
    </row>
    <row r="159" spans="1:1" x14ac:dyDescent="0.25">
      <c r="A159">
        <v>269500</v>
      </c>
    </row>
    <row r="160" spans="1:1" x14ac:dyDescent="0.25">
      <c r="A160">
        <v>254900</v>
      </c>
    </row>
    <row r="161" spans="1:1" x14ac:dyDescent="0.25">
      <c r="A161">
        <v>320000</v>
      </c>
    </row>
    <row r="162" spans="1:1" x14ac:dyDescent="0.25">
      <c r="A162">
        <v>162500</v>
      </c>
    </row>
    <row r="163" spans="1:1" x14ac:dyDescent="0.25">
      <c r="A163">
        <v>412500</v>
      </c>
    </row>
    <row r="164" spans="1:1" x14ac:dyDescent="0.25">
      <c r="A164">
        <v>220000</v>
      </c>
    </row>
    <row r="165" spans="1:1" x14ac:dyDescent="0.25">
      <c r="A165">
        <v>103200</v>
      </c>
    </row>
    <row r="166" spans="1:1" x14ac:dyDescent="0.25">
      <c r="A166">
        <v>152000</v>
      </c>
    </row>
    <row r="167" spans="1:1" x14ac:dyDescent="0.25">
      <c r="A167">
        <v>127500</v>
      </c>
    </row>
    <row r="168" spans="1:1" x14ac:dyDescent="0.25">
      <c r="A168">
        <v>190000</v>
      </c>
    </row>
    <row r="169" spans="1:1" x14ac:dyDescent="0.25">
      <c r="A169">
        <v>325624</v>
      </c>
    </row>
    <row r="170" spans="1:1" x14ac:dyDescent="0.25">
      <c r="A170">
        <v>183500</v>
      </c>
    </row>
    <row r="171" spans="1:1" x14ac:dyDescent="0.25">
      <c r="A171">
        <v>228000</v>
      </c>
    </row>
    <row r="172" spans="1:1" x14ac:dyDescent="0.25">
      <c r="A172">
        <v>128500</v>
      </c>
    </row>
    <row r="173" spans="1:1" x14ac:dyDescent="0.25">
      <c r="A173">
        <v>215000</v>
      </c>
    </row>
    <row r="174" spans="1:1" x14ac:dyDescent="0.25">
      <c r="A174">
        <v>239000</v>
      </c>
    </row>
    <row r="175" spans="1:1" x14ac:dyDescent="0.25">
      <c r="A175">
        <v>163000</v>
      </c>
    </row>
    <row r="176" spans="1:1" x14ac:dyDescent="0.25">
      <c r="A176">
        <v>184000</v>
      </c>
    </row>
    <row r="177" spans="1:1" x14ac:dyDescent="0.25">
      <c r="A177">
        <v>243000</v>
      </c>
    </row>
    <row r="178" spans="1:1" x14ac:dyDescent="0.25">
      <c r="A178">
        <v>211000</v>
      </c>
    </row>
    <row r="179" spans="1:1" x14ac:dyDescent="0.25">
      <c r="A179">
        <v>172500</v>
      </c>
    </row>
    <row r="180" spans="1:1" x14ac:dyDescent="0.25">
      <c r="A180">
        <v>501837</v>
      </c>
    </row>
    <row r="181" spans="1:1" x14ac:dyDescent="0.25">
      <c r="A181">
        <v>100000</v>
      </c>
    </row>
    <row r="182" spans="1:1" x14ac:dyDescent="0.25">
      <c r="A182">
        <v>177000</v>
      </c>
    </row>
    <row r="183" spans="1:1" x14ac:dyDescent="0.25">
      <c r="A183">
        <v>200100</v>
      </c>
    </row>
    <row r="184" spans="1:1" x14ac:dyDescent="0.25">
      <c r="A184">
        <v>120000</v>
      </c>
    </row>
    <row r="185" spans="1:1" x14ac:dyDescent="0.25">
      <c r="A185">
        <v>200000</v>
      </c>
    </row>
    <row r="186" spans="1:1" x14ac:dyDescent="0.25">
      <c r="A186">
        <v>127000</v>
      </c>
    </row>
    <row r="187" spans="1:1" x14ac:dyDescent="0.25">
      <c r="A187">
        <v>475000</v>
      </c>
    </row>
    <row r="188" spans="1:1" x14ac:dyDescent="0.25">
      <c r="A188">
        <v>173000</v>
      </c>
    </row>
    <row r="189" spans="1:1" x14ac:dyDescent="0.25">
      <c r="A189">
        <v>135000</v>
      </c>
    </row>
    <row r="190" spans="1:1" x14ac:dyDescent="0.25">
      <c r="A190">
        <v>153337</v>
      </c>
    </row>
    <row r="191" spans="1:1" x14ac:dyDescent="0.25">
      <c r="A191">
        <v>286000</v>
      </c>
    </row>
    <row r="192" spans="1:1" x14ac:dyDescent="0.25">
      <c r="A192">
        <v>315000</v>
      </c>
    </row>
    <row r="193" spans="1:1" x14ac:dyDescent="0.25">
      <c r="A193">
        <v>184000</v>
      </c>
    </row>
    <row r="194" spans="1:1" x14ac:dyDescent="0.25">
      <c r="A194">
        <v>192000</v>
      </c>
    </row>
    <row r="195" spans="1:1" x14ac:dyDescent="0.25">
      <c r="A195">
        <v>130000</v>
      </c>
    </row>
    <row r="196" spans="1:1" x14ac:dyDescent="0.25">
      <c r="A196">
        <v>127000</v>
      </c>
    </row>
    <row r="197" spans="1:1" x14ac:dyDescent="0.25">
      <c r="A197">
        <v>148500</v>
      </c>
    </row>
    <row r="198" spans="1:1" x14ac:dyDescent="0.25">
      <c r="A198">
        <v>311872</v>
      </c>
    </row>
    <row r="199" spans="1:1" x14ac:dyDescent="0.25">
      <c r="A199">
        <v>235000</v>
      </c>
    </row>
    <row r="200" spans="1:1" x14ac:dyDescent="0.25">
      <c r="A200">
        <v>104000</v>
      </c>
    </row>
    <row r="201" spans="1:1" x14ac:dyDescent="0.25">
      <c r="A201">
        <v>274900</v>
      </c>
    </row>
    <row r="202" spans="1:1" x14ac:dyDescent="0.25">
      <c r="A202">
        <v>140000</v>
      </c>
    </row>
    <row r="203" spans="1:1" x14ac:dyDescent="0.25">
      <c r="A203">
        <v>171500</v>
      </c>
    </row>
    <row r="204" spans="1:1" x14ac:dyDescent="0.25">
      <c r="A204">
        <v>112000</v>
      </c>
    </row>
    <row r="205" spans="1:1" x14ac:dyDescent="0.25">
      <c r="A205">
        <v>149000</v>
      </c>
    </row>
    <row r="206" spans="1:1" x14ac:dyDescent="0.25">
      <c r="A206">
        <v>110000</v>
      </c>
    </row>
    <row r="207" spans="1:1" x14ac:dyDescent="0.25">
      <c r="A207">
        <v>180500</v>
      </c>
    </row>
    <row r="208" spans="1:1" x14ac:dyDescent="0.25">
      <c r="A208">
        <v>143900</v>
      </c>
    </row>
    <row r="209" spans="1:1" x14ac:dyDescent="0.25">
      <c r="A209">
        <v>141000</v>
      </c>
    </row>
    <row r="210" spans="1:1" x14ac:dyDescent="0.25">
      <c r="A210">
        <v>277000</v>
      </c>
    </row>
    <row r="211" spans="1:1" x14ac:dyDescent="0.25">
      <c r="A211">
        <v>145000</v>
      </c>
    </row>
    <row r="212" spans="1:1" x14ac:dyDescent="0.25">
      <c r="A212">
        <v>98000</v>
      </c>
    </row>
    <row r="213" spans="1:1" x14ac:dyDescent="0.25">
      <c r="A213">
        <v>186000</v>
      </c>
    </row>
    <row r="214" spans="1:1" x14ac:dyDescent="0.25">
      <c r="A214">
        <v>252678</v>
      </c>
    </row>
    <row r="215" spans="1:1" x14ac:dyDescent="0.25">
      <c r="A215">
        <v>156000</v>
      </c>
    </row>
    <row r="216" spans="1:1" x14ac:dyDescent="0.25">
      <c r="A216">
        <v>161750</v>
      </c>
    </row>
    <row r="217" spans="1:1" x14ac:dyDescent="0.25">
      <c r="A217">
        <v>134450</v>
      </c>
    </row>
    <row r="218" spans="1:1" x14ac:dyDescent="0.25">
      <c r="A218">
        <v>210000</v>
      </c>
    </row>
    <row r="219" spans="1:1" x14ac:dyDescent="0.25">
      <c r="A219">
        <v>107000</v>
      </c>
    </row>
    <row r="220" spans="1:1" x14ac:dyDescent="0.25">
      <c r="A220">
        <v>311500</v>
      </c>
    </row>
    <row r="221" spans="1:1" x14ac:dyDescent="0.25">
      <c r="A221">
        <v>167240</v>
      </c>
    </row>
    <row r="222" spans="1:1" x14ac:dyDescent="0.25">
      <c r="A222">
        <v>204900</v>
      </c>
    </row>
    <row r="223" spans="1:1" x14ac:dyDescent="0.25">
      <c r="A223">
        <v>200000</v>
      </c>
    </row>
    <row r="224" spans="1:1" x14ac:dyDescent="0.25">
      <c r="A224">
        <v>179900</v>
      </c>
    </row>
    <row r="225" spans="1:1" x14ac:dyDescent="0.25">
      <c r="A225">
        <v>97000</v>
      </c>
    </row>
    <row r="226" spans="1:1" x14ac:dyDescent="0.25">
      <c r="A226">
        <v>386250</v>
      </c>
    </row>
    <row r="227" spans="1:1" x14ac:dyDescent="0.25">
      <c r="A227">
        <v>112000</v>
      </c>
    </row>
    <row r="228" spans="1:1" x14ac:dyDescent="0.25">
      <c r="A228">
        <v>290000</v>
      </c>
    </row>
    <row r="229" spans="1:1" x14ac:dyDescent="0.25">
      <c r="A229">
        <v>106000</v>
      </c>
    </row>
    <row r="230" spans="1:1" x14ac:dyDescent="0.25">
      <c r="A230">
        <v>125000</v>
      </c>
    </row>
    <row r="231" spans="1:1" x14ac:dyDescent="0.25">
      <c r="A231">
        <v>192500</v>
      </c>
    </row>
    <row r="232" spans="1:1" x14ac:dyDescent="0.25">
      <c r="A232">
        <v>148000</v>
      </c>
    </row>
    <row r="233" spans="1:1" x14ac:dyDescent="0.25">
      <c r="A233">
        <v>403000</v>
      </c>
    </row>
    <row r="234" spans="1:1" x14ac:dyDescent="0.25">
      <c r="A234">
        <v>94500</v>
      </c>
    </row>
    <row r="235" spans="1:1" x14ac:dyDescent="0.25">
      <c r="A235">
        <v>128200</v>
      </c>
    </row>
    <row r="236" spans="1:1" x14ac:dyDescent="0.25">
      <c r="A236">
        <v>216500</v>
      </c>
    </row>
    <row r="237" spans="1:1" x14ac:dyDescent="0.25">
      <c r="A237">
        <v>89500</v>
      </c>
    </row>
    <row r="238" spans="1:1" x14ac:dyDescent="0.25">
      <c r="A238">
        <v>185500</v>
      </c>
    </row>
    <row r="239" spans="1:1" x14ac:dyDescent="0.25">
      <c r="A239">
        <v>194500</v>
      </c>
    </row>
    <row r="240" spans="1:1" x14ac:dyDescent="0.25">
      <c r="A240">
        <v>318000</v>
      </c>
    </row>
    <row r="241" spans="1:1" x14ac:dyDescent="0.25">
      <c r="A241">
        <v>113000</v>
      </c>
    </row>
    <row r="242" spans="1:1" x14ac:dyDescent="0.25">
      <c r="A242">
        <v>262500</v>
      </c>
    </row>
    <row r="243" spans="1:1" x14ac:dyDescent="0.25">
      <c r="A243">
        <v>110500</v>
      </c>
    </row>
    <row r="244" spans="1:1" x14ac:dyDescent="0.25">
      <c r="A244">
        <v>79000</v>
      </c>
    </row>
    <row r="245" spans="1:1" x14ac:dyDescent="0.25">
      <c r="A245">
        <v>120000</v>
      </c>
    </row>
    <row r="246" spans="1:1" x14ac:dyDescent="0.25">
      <c r="A246">
        <v>205000</v>
      </c>
    </row>
    <row r="247" spans="1:1" x14ac:dyDescent="0.25">
      <c r="A247">
        <v>241500</v>
      </c>
    </row>
    <row r="248" spans="1:1" x14ac:dyDescent="0.25">
      <c r="A248">
        <v>137000</v>
      </c>
    </row>
    <row r="249" spans="1:1" x14ac:dyDescent="0.25">
      <c r="A249">
        <v>140000</v>
      </c>
    </row>
    <row r="250" spans="1:1" x14ac:dyDescent="0.25">
      <c r="A250">
        <v>180000</v>
      </c>
    </row>
    <row r="251" spans="1:1" x14ac:dyDescent="0.25">
      <c r="A251">
        <v>277000</v>
      </c>
    </row>
    <row r="252" spans="1:1" x14ac:dyDescent="0.25">
      <c r="A252">
        <v>76500</v>
      </c>
    </row>
    <row r="253" spans="1:1" x14ac:dyDescent="0.25">
      <c r="A253">
        <v>235000</v>
      </c>
    </row>
    <row r="254" spans="1:1" x14ac:dyDescent="0.25">
      <c r="A254">
        <v>173000</v>
      </c>
    </row>
    <row r="255" spans="1:1" x14ac:dyDescent="0.25">
      <c r="A255">
        <v>158000</v>
      </c>
    </row>
    <row r="256" spans="1:1" x14ac:dyDescent="0.25">
      <c r="A256">
        <v>145000</v>
      </c>
    </row>
    <row r="257" spans="1:1" x14ac:dyDescent="0.25">
      <c r="A257">
        <v>230000</v>
      </c>
    </row>
    <row r="258" spans="1:1" x14ac:dyDescent="0.25">
      <c r="A258">
        <v>207500</v>
      </c>
    </row>
    <row r="259" spans="1:1" x14ac:dyDescent="0.25">
      <c r="A259">
        <v>220000</v>
      </c>
    </row>
    <row r="260" spans="1:1" x14ac:dyDescent="0.25">
      <c r="A260">
        <v>231500</v>
      </c>
    </row>
    <row r="261" spans="1:1" x14ac:dyDescent="0.25">
      <c r="A261">
        <v>97000</v>
      </c>
    </row>
    <row r="262" spans="1:1" x14ac:dyDescent="0.25">
      <c r="A262">
        <v>176000</v>
      </c>
    </row>
    <row r="263" spans="1:1" x14ac:dyDescent="0.25">
      <c r="A263">
        <v>276000</v>
      </c>
    </row>
    <row r="264" spans="1:1" x14ac:dyDescent="0.25">
      <c r="A264">
        <v>151000</v>
      </c>
    </row>
    <row r="265" spans="1:1" x14ac:dyDescent="0.25">
      <c r="A265">
        <v>130000</v>
      </c>
    </row>
    <row r="266" spans="1:1" x14ac:dyDescent="0.25">
      <c r="A266">
        <v>73000</v>
      </c>
    </row>
    <row r="267" spans="1:1" x14ac:dyDescent="0.25">
      <c r="A267">
        <v>175500</v>
      </c>
    </row>
    <row r="268" spans="1:1" x14ac:dyDescent="0.25">
      <c r="A268">
        <v>185000</v>
      </c>
    </row>
    <row r="269" spans="1:1" x14ac:dyDescent="0.25">
      <c r="A269">
        <v>179500</v>
      </c>
    </row>
    <row r="270" spans="1:1" x14ac:dyDescent="0.25">
      <c r="A270">
        <v>120500</v>
      </c>
    </row>
    <row r="271" spans="1:1" x14ac:dyDescent="0.25">
      <c r="A271">
        <v>148000</v>
      </c>
    </row>
    <row r="272" spans="1:1" x14ac:dyDescent="0.25">
      <c r="A272">
        <v>266000</v>
      </c>
    </row>
    <row r="273" spans="1:1" x14ac:dyDescent="0.25">
      <c r="A273">
        <v>241500</v>
      </c>
    </row>
    <row r="274" spans="1:1" x14ac:dyDescent="0.25">
      <c r="A274">
        <v>290000</v>
      </c>
    </row>
    <row r="275" spans="1:1" x14ac:dyDescent="0.25">
      <c r="A275">
        <v>139000</v>
      </c>
    </row>
    <row r="276" spans="1:1" x14ac:dyDescent="0.25">
      <c r="A276">
        <v>124500</v>
      </c>
    </row>
    <row r="277" spans="1:1" x14ac:dyDescent="0.25">
      <c r="A277">
        <v>205000</v>
      </c>
    </row>
    <row r="278" spans="1:1" x14ac:dyDescent="0.25">
      <c r="A278">
        <v>201000</v>
      </c>
    </row>
    <row r="279" spans="1:1" x14ac:dyDescent="0.25">
      <c r="A279">
        <v>141000</v>
      </c>
    </row>
    <row r="280" spans="1:1" x14ac:dyDescent="0.25">
      <c r="A280">
        <v>415298</v>
      </c>
    </row>
    <row r="281" spans="1:1" x14ac:dyDescent="0.25">
      <c r="A281">
        <v>192000</v>
      </c>
    </row>
    <row r="282" spans="1:1" x14ac:dyDescent="0.25">
      <c r="A282">
        <v>228500</v>
      </c>
    </row>
    <row r="283" spans="1:1" x14ac:dyDescent="0.25">
      <c r="A283">
        <v>185000</v>
      </c>
    </row>
    <row r="284" spans="1:1" x14ac:dyDescent="0.25">
      <c r="A284">
        <v>207500</v>
      </c>
    </row>
    <row r="285" spans="1:1" x14ac:dyDescent="0.25">
      <c r="A285">
        <v>244600</v>
      </c>
    </row>
    <row r="286" spans="1:1" x14ac:dyDescent="0.25">
      <c r="A286">
        <v>179200</v>
      </c>
    </row>
    <row r="287" spans="1:1" x14ac:dyDescent="0.25">
      <c r="A287">
        <v>164700</v>
      </c>
    </row>
    <row r="288" spans="1:1" x14ac:dyDescent="0.25">
      <c r="A288">
        <v>159000</v>
      </c>
    </row>
    <row r="289" spans="1:1" x14ac:dyDescent="0.25">
      <c r="A289">
        <v>88000</v>
      </c>
    </row>
    <row r="290" spans="1:1" x14ac:dyDescent="0.25">
      <c r="A290">
        <v>122000</v>
      </c>
    </row>
    <row r="291" spans="1:1" x14ac:dyDescent="0.25">
      <c r="A291">
        <v>153575</v>
      </c>
    </row>
    <row r="292" spans="1:1" x14ac:dyDescent="0.25">
      <c r="A292">
        <v>233230</v>
      </c>
    </row>
    <row r="293" spans="1:1" x14ac:dyDescent="0.25">
      <c r="A293">
        <v>135900</v>
      </c>
    </row>
    <row r="294" spans="1:1" x14ac:dyDescent="0.25">
      <c r="A294">
        <v>131000</v>
      </c>
    </row>
    <row r="295" spans="1:1" x14ac:dyDescent="0.25">
      <c r="A295">
        <v>235000</v>
      </c>
    </row>
    <row r="296" spans="1:1" x14ac:dyDescent="0.25">
      <c r="A296">
        <v>167000</v>
      </c>
    </row>
    <row r="297" spans="1:1" x14ac:dyDescent="0.25">
      <c r="A297">
        <v>142500</v>
      </c>
    </row>
    <row r="298" spans="1:1" x14ac:dyDescent="0.25">
      <c r="A298">
        <v>152000</v>
      </c>
    </row>
    <row r="299" spans="1:1" x14ac:dyDescent="0.25">
      <c r="A299">
        <v>239000</v>
      </c>
    </row>
    <row r="300" spans="1:1" x14ac:dyDescent="0.25">
      <c r="A300">
        <v>175000</v>
      </c>
    </row>
    <row r="301" spans="1:1" x14ac:dyDescent="0.25">
      <c r="A301">
        <v>158500</v>
      </c>
    </row>
    <row r="302" spans="1:1" x14ac:dyDescent="0.25">
      <c r="A302">
        <v>157000</v>
      </c>
    </row>
    <row r="303" spans="1:1" x14ac:dyDescent="0.25">
      <c r="A303">
        <v>267000</v>
      </c>
    </row>
    <row r="304" spans="1:1" x14ac:dyDescent="0.25">
      <c r="A304">
        <v>205000</v>
      </c>
    </row>
    <row r="305" spans="1:1" x14ac:dyDescent="0.25">
      <c r="A305">
        <v>149900</v>
      </c>
    </row>
    <row r="306" spans="1:1" x14ac:dyDescent="0.25">
      <c r="A306">
        <v>295000</v>
      </c>
    </row>
    <row r="307" spans="1:1" x14ac:dyDescent="0.25">
      <c r="A307">
        <v>305900</v>
      </c>
    </row>
    <row r="308" spans="1:1" x14ac:dyDescent="0.25">
      <c r="A308">
        <v>225000</v>
      </c>
    </row>
    <row r="309" spans="1:1" x14ac:dyDescent="0.25">
      <c r="A309">
        <v>89500</v>
      </c>
    </row>
    <row r="310" spans="1:1" x14ac:dyDescent="0.25">
      <c r="A310">
        <v>82500</v>
      </c>
    </row>
    <row r="311" spans="1:1" x14ac:dyDescent="0.25">
      <c r="A311">
        <v>360000</v>
      </c>
    </row>
    <row r="312" spans="1:1" x14ac:dyDescent="0.25">
      <c r="A312">
        <v>165600</v>
      </c>
    </row>
    <row r="313" spans="1:1" x14ac:dyDescent="0.25">
      <c r="A313">
        <v>132000</v>
      </c>
    </row>
    <row r="314" spans="1:1" x14ac:dyDescent="0.25">
      <c r="A314">
        <v>119900</v>
      </c>
    </row>
    <row r="315" spans="1:1" x14ac:dyDescent="0.25">
      <c r="A315">
        <v>375000</v>
      </c>
    </row>
    <row r="316" spans="1:1" x14ac:dyDescent="0.25">
      <c r="A316">
        <v>178000</v>
      </c>
    </row>
    <row r="317" spans="1:1" x14ac:dyDescent="0.25">
      <c r="A317">
        <v>188500</v>
      </c>
    </row>
    <row r="318" spans="1:1" x14ac:dyDescent="0.25">
      <c r="A318">
        <v>260000</v>
      </c>
    </row>
    <row r="319" spans="1:1" x14ac:dyDescent="0.25">
      <c r="A319">
        <v>270000</v>
      </c>
    </row>
    <row r="320" spans="1:1" x14ac:dyDescent="0.25">
      <c r="A320">
        <v>260000</v>
      </c>
    </row>
    <row r="321" spans="1:1" x14ac:dyDescent="0.25">
      <c r="A321">
        <v>187500</v>
      </c>
    </row>
    <row r="322" spans="1:1" x14ac:dyDescent="0.25">
      <c r="A322">
        <v>342643</v>
      </c>
    </row>
    <row r="323" spans="1:1" x14ac:dyDescent="0.25">
      <c r="A323">
        <v>354000</v>
      </c>
    </row>
    <row r="324" spans="1:1" x14ac:dyDescent="0.25">
      <c r="A324">
        <v>301000</v>
      </c>
    </row>
    <row r="325" spans="1:1" x14ac:dyDescent="0.25">
      <c r="A325">
        <v>126175</v>
      </c>
    </row>
    <row r="326" spans="1:1" x14ac:dyDescent="0.25">
      <c r="A326">
        <v>242000</v>
      </c>
    </row>
    <row r="327" spans="1:1" x14ac:dyDescent="0.25">
      <c r="A327">
        <v>87000</v>
      </c>
    </row>
    <row r="328" spans="1:1" x14ac:dyDescent="0.25">
      <c r="A328">
        <v>324000</v>
      </c>
    </row>
    <row r="329" spans="1:1" x14ac:dyDescent="0.25">
      <c r="A329">
        <v>145250</v>
      </c>
    </row>
    <row r="330" spans="1:1" x14ac:dyDescent="0.25">
      <c r="A330">
        <v>214500</v>
      </c>
    </row>
    <row r="331" spans="1:1" x14ac:dyDescent="0.25">
      <c r="A331">
        <v>78000</v>
      </c>
    </row>
    <row r="332" spans="1:1" x14ac:dyDescent="0.25">
      <c r="A332">
        <v>119000</v>
      </c>
    </row>
    <row r="333" spans="1:1" x14ac:dyDescent="0.25">
      <c r="A333">
        <v>139000</v>
      </c>
    </row>
    <row r="334" spans="1:1" x14ac:dyDescent="0.25">
      <c r="A334">
        <v>284000</v>
      </c>
    </row>
    <row r="335" spans="1:1" x14ac:dyDescent="0.25">
      <c r="A335">
        <v>207000</v>
      </c>
    </row>
    <row r="336" spans="1:1" x14ac:dyDescent="0.25">
      <c r="A336">
        <v>192000</v>
      </c>
    </row>
    <row r="337" spans="1:1" x14ac:dyDescent="0.25">
      <c r="A337">
        <v>228950</v>
      </c>
    </row>
    <row r="338" spans="1:1" x14ac:dyDescent="0.25">
      <c r="A338">
        <v>377426</v>
      </c>
    </row>
    <row r="339" spans="1:1" x14ac:dyDescent="0.25">
      <c r="A339">
        <v>214000</v>
      </c>
    </row>
    <row r="340" spans="1:1" x14ac:dyDescent="0.25">
      <c r="A340">
        <v>202500</v>
      </c>
    </row>
    <row r="341" spans="1:1" x14ac:dyDescent="0.25">
      <c r="A341">
        <v>155000</v>
      </c>
    </row>
    <row r="342" spans="1:1" x14ac:dyDescent="0.25">
      <c r="A342">
        <v>202900</v>
      </c>
    </row>
    <row r="343" spans="1:1" x14ac:dyDescent="0.25">
      <c r="A343">
        <v>82000</v>
      </c>
    </row>
    <row r="344" spans="1:1" x14ac:dyDescent="0.25">
      <c r="A344">
        <v>87500</v>
      </c>
    </row>
    <row r="345" spans="1:1" x14ac:dyDescent="0.25">
      <c r="A345">
        <v>266000</v>
      </c>
    </row>
    <row r="346" spans="1:1" x14ac:dyDescent="0.25">
      <c r="A346">
        <v>85000</v>
      </c>
    </row>
    <row r="347" spans="1:1" x14ac:dyDescent="0.25">
      <c r="A347">
        <v>140200</v>
      </c>
    </row>
    <row r="348" spans="1:1" x14ac:dyDescent="0.25">
      <c r="A348">
        <v>151500</v>
      </c>
    </row>
    <row r="349" spans="1:1" x14ac:dyDescent="0.25">
      <c r="A349">
        <v>157500</v>
      </c>
    </row>
    <row r="350" spans="1:1" x14ac:dyDescent="0.25">
      <c r="A350">
        <v>154000</v>
      </c>
    </row>
    <row r="351" spans="1:1" x14ac:dyDescent="0.25">
      <c r="A351">
        <v>437154</v>
      </c>
    </row>
    <row r="352" spans="1:1" x14ac:dyDescent="0.25">
      <c r="A352">
        <v>318061</v>
      </c>
    </row>
    <row r="353" spans="1:1" x14ac:dyDescent="0.25">
      <c r="A353">
        <v>190000</v>
      </c>
    </row>
    <row r="354" spans="1:1" x14ac:dyDescent="0.25">
      <c r="A354">
        <v>95000</v>
      </c>
    </row>
    <row r="355" spans="1:1" x14ac:dyDescent="0.25">
      <c r="A355">
        <v>105900</v>
      </c>
    </row>
    <row r="356" spans="1:1" x14ac:dyDescent="0.25">
      <c r="A356">
        <v>140000</v>
      </c>
    </row>
    <row r="357" spans="1:1" x14ac:dyDescent="0.25">
      <c r="A357">
        <v>177500</v>
      </c>
    </row>
    <row r="358" spans="1:1" x14ac:dyDescent="0.25">
      <c r="A358">
        <v>173000</v>
      </c>
    </row>
    <row r="359" spans="1:1" x14ac:dyDescent="0.25">
      <c r="A359">
        <v>134000</v>
      </c>
    </row>
    <row r="360" spans="1:1" x14ac:dyDescent="0.25">
      <c r="A360">
        <v>130000</v>
      </c>
    </row>
    <row r="361" spans="1:1" x14ac:dyDescent="0.25">
      <c r="A361">
        <v>280000</v>
      </c>
    </row>
    <row r="362" spans="1:1" x14ac:dyDescent="0.25">
      <c r="A362">
        <v>156000</v>
      </c>
    </row>
    <row r="363" spans="1:1" x14ac:dyDescent="0.25">
      <c r="A363">
        <v>145000</v>
      </c>
    </row>
    <row r="364" spans="1:1" x14ac:dyDescent="0.25">
      <c r="A364">
        <v>198500</v>
      </c>
    </row>
    <row r="365" spans="1:1" x14ac:dyDescent="0.25">
      <c r="A365">
        <v>118000</v>
      </c>
    </row>
    <row r="366" spans="1:1" x14ac:dyDescent="0.25">
      <c r="A366">
        <v>190000</v>
      </c>
    </row>
    <row r="367" spans="1:1" x14ac:dyDescent="0.25">
      <c r="A367">
        <v>147000</v>
      </c>
    </row>
    <row r="368" spans="1:1" x14ac:dyDescent="0.25">
      <c r="A368">
        <v>159000</v>
      </c>
    </row>
    <row r="369" spans="1:1" x14ac:dyDescent="0.25">
      <c r="A369">
        <v>165000</v>
      </c>
    </row>
    <row r="370" spans="1:1" x14ac:dyDescent="0.25">
      <c r="A370">
        <v>132000</v>
      </c>
    </row>
    <row r="371" spans="1:1" x14ac:dyDescent="0.25">
      <c r="A371">
        <v>162000</v>
      </c>
    </row>
    <row r="372" spans="1:1" x14ac:dyDescent="0.25">
      <c r="A372">
        <v>172400</v>
      </c>
    </row>
    <row r="373" spans="1:1" x14ac:dyDescent="0.25">
      <c r="A373">
        <v>134432</v>
      </c>
    </row>
    <row r="374" spans="1:1" x14ac:dyDescent="0.25">
      <c r="A374">
        <v>125000</v>
      </c>
    </row>
    <row r="375" spans="1:1" x14ac:dyDescent="0.25">
      <c r="A375">
        <v>123000</v>
      </c>
    </row>
    <row r="376" spans="1:1" x14ac:dyDescent="0.25">
      <c r="A376">
        <v>219500</v>
      </c>
    </row>
    <row r="377" spans="1:1" x14ac:dyDescent="0.25">
      <c r="A377">
        <v>61000</v>
      </c>
    </row>
    <row r="378" spans="1:1" x14ac:dyDescent="0.25">
      <c r="A378">
        <v>148000</v>
      </c>
    </row>
    <row r="379" spans="1:1" x14ac:dyDescent="0.25">
      <c r="A379">
        <v>340000</v>
      </c>
    </row>
    <row r="380" spans="1:1" x14ac:dyDescent="0.25">
      <c r="A380">
        <v>394432</v>
      </c>
    </row>
    <row r="381" spans="1:1" x14ac:dyDescent="0.25">
      <c r="A381">
        <v>179000</v>
      </c>
    </row>
    <row r="382" spans="1:1" x14ac:dyDescent="0.25">
      <c r="A382">
        <v>127000</v>
      </c>
    </row>
    <row r="383" spans="1:1" x14ac:dyDescent="0.25">
      <c r="A383">
        <v>187750</v>
      </c>
    </row>
    <row r="384" spans="1:1" x14ac:dyDescent="0.25">
      <c r="A384">
        <v>213500</v>
      </c>
    </row>
    <row r="385" spans="1:1" x14ac:dyDescent="0.25">
      <c r="A385">
        <v>76000</v>
      </c>
    </row>
    <row r="386" spans="1:1" x14ac:dyDescent="0.25">
      <c r="A386">
        <v>240000</v>
      </c>
    </row>
    <row r="387" spans="1:1" x14ac:dyDescent="0.25">
      <c r="A387">
        <v>192000</v>
      </c>
    </row>
    <row r="388" spans="1:1" x14ac:dyDescent="0.25">
      <c r="A388">
        <v>81000</v>
      </c>
    </row>
    <row r="389" spans="1:1" x14ac:dyDescent="0.25">
      <c r="A389">
        <v>125000</v>
      </c>
    </row>
    <row r="390" spans="1:1" x14ac:dyDescent="0.25">
      <c r="A390">
        <v>191000</v>
      </c>
    </row>
    <row r="391" spans="1:1" x14ac:dyDescent="0.25">
      <c r="A391">
        <v>426000</v>
      </c>
    </row>
    <row r="392" spans="1:1" x14ac:dyDescent="0.25">
      <c r="A392">
        <v>119000</v>
      </c>
    </row>
    <row r="393" spans="1:1" x14ac:dyDescent="0.25">
      <c r="A393">
        <v>215000</v>
      </c>
    </row>
    <row r="394" spans="1:1" x14ac:dyDescent="0.25">
      <c r="A394">
        <v>106500</v>
      </c>
    </row>
    <row r="395" spans="1:1" x14ac:dyDescent="0.25">
      <c r="A395">
        <v>100000</v>
      </c>
    </row>
    <row r="396" spans="1:1" x14ac:dyDescent="0.25">
      <c r="A396">
        <v>109000</v>
      </c>
    </row>
    <row r="397" spans="1:1" x14ac:dyDescent="0.25">
      <c r="A397">
        <v>129000</v>
      </c>
    </row>
    <row r="398" spans="1:1" x14ac:dyDescent="0.25">
      <c r="A398">
        <v>123000</v>
      </c>
    </row>
    <row r="399" spans="1:1" x14ac:dyDescent="0.25">
      <c r="A399">
        <v>169500</v>
      </c>
    </row>
    <row r="400" spans="1:1" x14ac:dyDescent="0.25">
      <c r="A400">
        <v>67000</v>
      </c>
    </row>
    <row r="401" spans="1:1" x14ac:dyDescent="0.25">
      <c r="A401">
        <v>241000</v>
      </c>
    </row>
    <row r="402" spans="1:1" x14ac:dyDescent="0.25">
      <c r="A402">
        <v>245500</v>
      </c>
    </row>
    <row r="403" spans="1:1" x14ac:dyDescent="0.25">
      <c r="A403">
        <v>164990</v>
      </c>
    </row>
    <row r="404" spans="1:1" x14ac:dyDescent="0.25">
      <c r="A404">
        <v>108000</v>
      </c>
    </row>
    <row r="405" spans="1:1" x14ac:dyDescent="0.25">
      <c r="A405">
        <v>258000</v>
      </c>
    </row>
    <row r="406" spans="1:1" x14ac:dyDescent="0.25">
      <c r="A406">
        <v>168000</v>
      </c>
    </row>
    <row r="407" spans="1:1" x14ac:dyDescent="0.25">
      <c r="A407">
        <v>150000</v>
      </c>
    </row>
    <row r="408" spans="1:1" x14ac:dyDescent="0.25">
      <c r="A408">
        <v>115000</v>
      </c>
    </row>
    <row r="409" spans="1:1" x14ac:dyDescent="0.25">
      <c r="A409">
        <v>177000</v>
      </c>
    </row>
    <row r="410" spans="1:1" x14ac:dyDescent="0.25">
      <c r="A410">
        <v>280000</v>
      </c>
    </row>
    <row r="411" spans="1:1" x14ac:dyDescent="0.25">
      <c r="A411">
        <v>339750</v>
      </c>
    </row>
    <row r="412" spans="1:1" x14ac:dyDescent="0.25">
      <c r="A412">
        <v>60000</v>
      </c>
    </row>
    <row r="413" spans="1:1" x14ac:dyDescent="0.25">
      <c r="A413">
        <v>145000</v>
      </c>
    </row>
    <row r="414" spans="1:1" x14ac:dyDescent="0.25">
      <c r="A414">
        <v>222000</v>
      </c>
    </row>
    <row r="415" spans="1:1" x14ac:dyDescent="0.25">
      <c r="A415">
        <v>115000</v>
      </c>
    </row>
    <row r="416" spans="1:1" x14ac:dyDescent="0.25">
      <c r="A416">
        <v>228000</v>
      </c>
    </row>
    <row r="417" spans="1:1" x14ac:dyDescent="0.25">
      <c r="A417">
        <v>181134</v>
      </c>
    </row>
    <row r="418" spans="1:1" x14ac:dyDescent="0.25">
      <c r="A418">
        <v>149500</v>
      </c>
    </row>
    <row r="419" spans="1:1" x14ac:dyDescent="0.25">
      <c r="A419">
        <v>239000</v>
      </c>
    </row>
    <row r="420" spans="1:1" x14ac:dyDescent="0.25">
      <c r="A420">
        <v>126000</v>
      </c>
    </row>
    <row r="421" spans="1:1" x14ac:dyDescent="0.25">
      <c r="A421">
        <v>142000</v>
      </c>
    </row>
    <row r="422" spans="1:1" x14ac:dyDescent="0.25">
      <c r="A422">
        <v>206300</v>
      </c>
    </row>
    <row r="423" spans="1:1" x14ac:dyDescent="0.25">
      <c r="A423">
        <v>215000</v>
      </c>
    </row>
    <row r="424" spans="1:1" x14ac:dyDescent="0.25">
      <c r="A424">
        <v>113000</v>
      </c>
    </row>
    <row r="425" spans="1:1" x14ac:dyDescent="0.25">
      <c r="A425">
        <v>315000</v>
      </c>
    </row>
    <row r="426" spans="1:1" x14ac:dyDescent="0.25">
      <c r="A426">
        <v>139000</v>
      </c>
    </row>
    <row r="427" spans="1:1" x14ac:dyDescent="0.25">
      <c r="A427">
        <v>135000</v>
      </c>
    </row>
    <row r="428" spans="1:1" x14ac:dyDescent="0.25">
      <c r="A428">
        <v>275000</v>
      </c>
    </row>
    <row r="429" spans="1:1" x14ac:dyDescent="0.25">
      <c r="A429">
        <v>109008</v>
      </c>
    </row>
    <row r="430" spans="1:1" x14ac:dyDescent="0.25">
      <c r="A430">
        <v>195400</v>
      </c>
    </row>
    <row r="431" spans="1:1" x14ac:dyDescent="0.25">
      <c r="A431">
        <v>175000</v>
      </c>
    </row>
    <row r="432" spans="1:1" x14ac:dyDescent="0.25">
      <c r="A432">
        <v>85400</v>
      </c>
    </row>
    <row r="433" spans="1:1" x14ac:dyDescent="0.25">
      <c r="A433">
        <v>79900</v>
      </c>
    </row>
    <row r="434" spans="1:1" x14ac:dyDescent="0.25">
      <c r="A434">
        <v>122500</v>
      </c>
    </row>
    <row r="435" spans="1:1" x14ac:dyDescent="0.25">
      <c r="A435">
        <v>181000</v>
      </c>
    </row>
    <row r="436" spans="1:1" x14ac:dyDescent="0.25">
      <c r="A436">
        <v>81000</v>
      </c>
    </row>
    <row r="437" spans="1:1" x14ac:dyDescent="0.25">
      <c r="A437">
        <v>212000</v>
      </c>
    </row>
    <row r="438" spans="1:1" x14ac:dyDescent="0.25">
      <c r="A438">
        <v>116000</v>
      </c>
    </row>
    <row r="439" spans="1:1" x14ac:dyDescent="0.25">
      <c r="A439">
        <v>119000</v>
      </c>
    </row>
    <row r="440" spans="1:1" x14ac:dyDescent="0.25">
      <c r="A440">
        <v>90350</v>
      </c>
    </row>
    <row r="441" spans="1:1" x14ac:dyDescent="0.25">
      <c r="A441">
        <v>110000</v>
      </c>
    </row>
    <row r="442" spans="1:1" x14ac:dyDescent="0.25">
      <c r="A442">
        <v>555000</v>
      </c>
    </row>
    <row r="443" spans="1:1" x14ac:dyDescent="0.25">
      <c r="A443">
        <v>118000</v>
      </c>
    </row>
    <row r="444" spans="1:1" x14ac:dyDescent="0.25">
      <c r="A444">
        <v>162900</v>
      </c>
    </row>
    <row r="445" spans="1:1" x14ac:dyDescent="0.25">
      <c r="A445">
        <v>172500</v>
      </c>
    </row>
    <row r="446" spans="1:1" x14ac:dyDescent="0.25">
      <c r="A446">
        <v>210000</v>
      </c>
    </row>
    <row r="447" spans="1:1" x14ac:dyDescent="0.25">
      <c r="A447">
        <v>127500</v>
      </c>
    </row>
    <row r="448" spans="1:1" x14ac:dyDescent="0.25">
      <c r="A448">
        <v>190000</v>
      </c>
    </row>
    <row r="449" spans="1:1" x14ac:dyDescent="0.25">
      <c r="A449">
        <v>199900</v>
      </c>
    </row>
    <row r="450" spans="1:1" x14ac:dyDescent="0.25">
      <c r="A450">
        <v>119500</v>
      </c>
    </row>
    <row r="451" spans="1:1" x14ac:dyDescent="0.25">
      <c r="A451">
        <v>120000</v>
      </c>
    </row>
    <row r="452" spans="1:1" x14ac:dyDescent="0.25">
      <c r="A452">
        <v>110000</v>
      </c>
    </row>
    <row r="453" spans="1:1" x14ac:dyDescent="0.25">
      <c r="A453">
        <v>280000</v>
      </c>
    </row>
    <row r="454" spans="1:1" x14ac:dyDescent="0.25">
      <c r="A454">
        <v>204000</v>
      </c>
    </row>
    <row r="455" spans="1:1" x14ac:dyDescent="0.25">
      <c r="A455">
        <v>210000</v>
      </c>
    </row>
    <row r="456" spans="1:1" x14ac:dyDescent="0.25">
      <c r="A456">
        <v>188000</v>
      </c>
    </row>
    <row r="457" spans="1:1" x14ac:dyDescent="0.25">
      <c r="A457">
        <v>175500</v>
      </c>
    </row>
    <row r="458" spans="1:1" x14ac:dyDescent="0.25">
      <c r="A458">
        <v>98000</v>
      </c>
    </row>
    <row r="459" spans="1:1" x14ac:dyDescent="0.25">
      <c r="A459">
        <v>256000</v>
      </c>
    </row>
    <row r="460" spans="1:1" x14ac:dyDescent="0.25">
      <c r="A460">
        <v>161000</v>
      </c>
    </row>
    <row r="461" spans="1:1" x14ac:dyDescent="0.25">
      <c r="A461">
        <v>110000</v>
      </c>
    </row>
    <row r="462" spans="1:1" x14ac:dyDescent="0.25">
      <c r="A462">
        <v>263435</v>
      </c>
    </row>
    <row r="463" spans="1:1" x14ac:dyDescent="0.25">
      <c r="A463">
        <v>155000</v>
      </c>
    </row>
    <row r="464" spans="1:1" x14ac:dyDescent="0.25">
      <c r="A464">
        <v>62383</v>
      </c>
    </row>
    <row r="465" spans="1:1" x14ac:dyDescent="0.25">
      <c r="A465">
        <v>188700</v>
      </c>
    </row>
    <row r="466" spans="1:1" x14ac:dyDescent="0.25">
      <c r="A466">
        <v>124000</v>
      </c>
    </row>
    <row r="467" spans="1:1" x14ac:dyDescent="0.25">
      <c r="A467">
        <v>178740</v>
      </c>
    </row>
    <row r="468" spans="1:1" x14ac:dyDescent="0.25">
      <c r="A468">
        <v>167000</v>
      </c>
    </row>
    <row r="469" spans="1:1" x14ac:dyDescent="0.25">
      <c r="A469">
        <v>146500</v>
      </c>
    </row>
    <row r="470" spans="1:1" x14ac:dyDescent="0.25">
      <c r="A470">
        <v>250000</v>
      </c>
    </row>
    <row r="471" spans="1:1" x14ac:dyDescent="0.25">
      <c r="A471">
        <v>187000</v>
      </c>
    </row>
    <row r="472" spans="1:1" x14ac:dyDescent="0.25">
      <c r="A472">
        <v>212000</v>
      </c>
    </row>
    <row r="473" spans="1:1" x14ac:dyDescent="0.25">
      <c r="A473">
        <v>190000</v>
      </c>
    </row>
    <row r="474" spans="1:1" x14ac:dyDescent="0.25">
      <c r="A474">
        <v>148000</v>
      </c>
    </row>
    <row r="475" spans="1:1" x14ac:dyDescent="0.25">
      <c r="A475">
        <v>440000</v>
      </c>
    </row>
    <row r="476" spans="1:1" x14ac:dyDescent="0.25">
      <c r="A476">
        <v>251000</v>
      </c>
    </row>
    <row r="477" spans="1:1" x14ac:dyDescent="0.25">
      <c r="A477">
        <v>132500</v>
      </c>
    </row>
    <row r="478" spans="1:1" x14ac:dyDescent="0.25">
      <c r="A478">
        <v>208900</v>
      </c>
    </row>
    <row r="479" spans="1:1" x14ac:dyDescent="0.25">
      <c r="A479">
        <v>380000</v>
      </c>
    </row>
    <row r="480" spans="1:1" x14ac:dyDescent="0.25">
      <c r="A480">
        <v>297000</v>
      </c>
    </row>
    <row r="481" spans="1:1" x14ac:dyDescent="0.25">
      <c r="A481">
        <v>89471</v>
      </c>
    </row>
    <row r="482" spans="1:1" x14ac:dyDescent="0.25">
      <c r="A482">
        <v>326000</v>
      </c>
    </row>
    <row r="483" spans="1:1" x14ac:dyDescent="0.25">
      <c r="A483">
        <v>374000</v>
      </c>
    </row>
    <row r="484" spans="1:1" x14ac:dyDescent="0.25">
      <c r="A484">
        <v>155000</v>
      </c>
    </row>
    <row r="485" spans="1:1" x14ac:dyDescent="0.25">
      <c r="A485">
        <v>164000</v>
      </c>
    </row>
    <row r="486" spans="1:1" x14ac:dyDescent="0.25">
      <c r="A486">
        <v>132500</v>
      </c>
    </row>
    <row r="487" spans="1:1" x14ac:dyDescent="0.25">
      <c r="A487">
        <v>147000</v>
      </c>
    </row>
    <row r="488" spans="1:1" x14ac:dyDescent="0.25">
      <c r="A488">
        <v>156000</v>
      </c>
    </row>
    <row r="489" spans="1:1" x14ac:dyDescent="0.25">
      <c r="A489">
        <v>175000</v>
      </c>
    </row>
    <row r="490" spans="1:1" x14ac:dyDescent="0.25">
      <c r="A490">
        <v>160000</v>
      </c>
    </row>
    <row r="491" spans="1:1" x14ac:dyDescent="0.25">
      <c r="A491">
        <v>86000</v>
      </c>
    </row>
    <row r="492" spans="1:1" x14ac:dyDescent="0.25">
      <c r="A492">
        <v>115000</v>
      </c>
    </row>
    <row r="493" spans="1:1" x14ac:dyDescent="0.25">
      <c r="A493">
        <v>133000</v>
      </c>
    </row>
    <row r="494" spans="1:1" x14ac:dyDescent="0.25">
      <c r="A494">
        <v>172785</v>
      </c>
    </row>
    <row r="495" spans="1:1" x14ac:dyDescent="0.25">
      <c r="A495">
        <v>155000</v>
      </c>
    </row>
    <row r="496" spans="1:1" x14ac:dyDescent="0.25">
      <c r="A496">
        <v>91300</v>
      </c>
    </row>
    <row r="497" spans="1:1" x14ac:dyDescent="0.25">
      <c r="A497">
        <v>34900</v>
      </c>
    </row>
    <row r="498" spans="1:1" x14ac:dyDescent="0.25">
      <c r="A498">
        <v>430000</v>
      </c>
    </row>
    <row r="499" spans="1:1" x14ac:dyDescent="0.25">
      <c r="A499">
        <v>184000</v>
      </c>
    </row>
    <row r="500" spans="1:1" x14ac:dyDescent="0.25">
      <c r="A500">
        <v>130000</v>
      </c>
    </row>
    <row r="501" spans="1:1" x14ac:dyDescent="0.25">
      <c r="A501">
        <v>120000</v>
      </c>
    </row>
    <row r="502" spans="1:1" x14ac:dyDescent="0.25">
      <c r="A502">
        <v>113000</v>
      </c>
    </row>
    <row r="503" spans="1:1" x14ac:dyDescent="0.25">
      <c r="A503">
        <v>226700</v>
      </c>
    </row>
    <row r="504" spans="1:1" x14ac:dyDescent="0.25">
      <c r="A504">
        <v>140000</v>
      </c>
    </row>
    <row r="505" spans="1:1" x14ac:dyDescent="0.25">
      <c r="A505">
        <v>289000</v>
      </c>
    </row>
    <row r="506" spans="1:1" x14ac:dyDescent="0.25">
      <c r="A506">
        <v>147000</v>
      </c>
    </row>
    <row r="507" spans="1:1" x14ac:dyDescent="0.25">
      <c r="A507">
        <v>124500</v>
      </c>
    </row>
    <row r="508" spans="1:1" x14ac:dyDescent="0.25">
      <c r="A508">
        <v>215000</v>
      </c>
    </row>
    <row r="509" spans="1:1" x14ac:dyDescent="0.25">
      <c r="A509">
        <v>208300</v>
      </c>
    </row>
    <row r="510" spans="1:1" x14ac:dyDescent="0.25">
      <c r="A510">
        <v>161000</v>
      </c>
    </row>
    <row r="511" spans="1:1" x14ac:dyDescent="0.25">
      <c r="A511">
        <v>124500</v>
      </c>
    </row>
    <row r="512" spans="1:1" x14ac:dyDescent="0.25">
      <c r="A512">
        <v>164900</v>
      </c>
    </row>
    <row r="513" spans="1:1" x14ac:dyDescent="0.25">
      <c r="A513">
        <v>202665</v>
      </c>
    </row>
    <row r="514" spans="1:1" x14ac:dyDescent="0.25">
      <c r="A514">
        <v>129900</v>
      </c>
    </row>
    <row r="515" spans="1:1" x14ac:dyDescent="0.25">
      <c r="A515">
        <v>134000</v>
      </c>
    </row>
    <row r="516" spans="1:1" x14ac:dyDescent="0.25">
      <c r="A516">
        <v>96500</v>
      </c>
    </row>
    <row r="517" spans="1:1" x14ac:dyDescent="0.25">
      <c r="A517">
        <v>402861</v>
      </c>
    </row>
    <row r="518" spans="1:1" x14ac:dyDescent="0.25">
      <c r="A518">
        <v>158000</v>
      </c>
    </row>
    <row r="519" spans="1:1" x14ac:dyDescent="0.25">
      <c r="A519">
        <v>265000</v>
      </c>
    </row>
    <row r="520" spans="1:1" x14ac:dyDescent="0.25">
      <c r="A520">
        <v>211000</v>
      </c>
    </row>
    <row r="521" spans="1:1" x14ac:dyDescent="0.25">
      <c r="A521">
        <v>234000</v>
      </c>
    </row>
    <row r="522" spans="1:1" x14ac:dyDescent="0.25">
      <c r="A522">
        <v>106250</v>
      </c>
    </row>
    <row r="523" spans="1:1" x14ac:dyDescent="0.25">
      <c r="A523">
        <v>150000</v>
      </c>
    </row>
    <row r="524" spans="1:1" x14ac:dyDescent="0.25">
      <c r="A524">
        <v>159000</v>
      </c>
    </row>
    <row r="525" spans="1:1" x14ac:dyDescent="0.25">
      <c r="A525">
        <v>184750</v>
      </c>
    </row>
    <row r="526" spans="1:1" x14ac:dyDescent="0.25">
      <c r="A526">
        <v>315750</v>
      </c>
    </row>
    <row r="527" spans="1:1" x14ac:dyDescent="0.25">
      <c r="A527">
        <v>176000</v>
      </c>
    </row>
    <row r="528" spans="1:1" x14ac:dyDescent="0.25">
      <c r="A528">
        <v>132000</v>
      </c>
    </row>
    <row r="529" spans="1:1" x14ac:dyDescent="0.25">
      <c r="A529">
        <v>446261</v>
      </c>
    </row>
    <row r="530" spans="1:1" x14ac:dyDescent="0.25">
      <c r="A530">
        <v>86000</v>
      </c>
    </row>
    <row r="531" spans="1:1" x14ac:dyDescent="0.25">
      <c r="A531">
        <v>200624</v>
      </c>
    </row>
    <row r="532" spans="1:1" x14ac:dyDescent="0.25">
      <c r="A532">
        <v>175000</v>
      </c>
    </row>
    <row r="533" spans="1:1" x14ac:dyDescent="0.25">
      <c r="A533">
        <v>128000</v>
      </c>
    </row>
    <row r="534" spans="1:1" x14ac:dyDescent="0.25">
      <c r="A534">
        <v>107500</v>
      </c>
    </row>
    <row r="535" spans="1:1" x14ac:dyDescent="0.25">
      <c r="A535">
        <v>39300</v>
      </c>
    </row>
    <row r="536" spans="1:1" x14ac:dyDescent="0.25">
      <c r="A536">
        <v>178000</v>
      </c>
    </row>
    <row r="537" spans="1:1" x14ac:dyDescent="0.25">
      <c r="A537">
        <v>107500</v>
      </c>
    </row>
    <row r="538" spans="1:1" x14ac:dyDescent="0.25">
      <c r="A538">
        <v>188000</v>
      </c>
    </row>
    <row r="539" spans="1:1" x14ac:dyDescent="0.25">
      <c r="A539">
        <v>111250</v>
      </c>
    </row>
    <row r="540" spans="1:1" x14ac:dyDescent="0.25">
      <c r="A540">
        <v>158000</v>
      </c>
    </row>
    <row r="541" spans="1:1" x14ac:dyDescent="0.25">
      <c r="A541">
        <v>272000</v>
      </c>
    </row>
    <row r="542" spans="1:1" x14ac:dyDescent="0.25">
      <c r="A542">
        <v>315000</v>
      </c>
    </row>
    <row r="543" spans="1:1" x14ac:dyDescent="0.25">
      <c r="A543">
        <v>248000</v>
      </c>
    </row>
    <row r="544" spans="1:1" x14ac:dyDescent="0.25">
      <c r="A544">
        <v>213250</v>
      </c>
    </row>
    <row r="545" spans="1:1" x14ac:dyDescent="0.25">
      <c r="A545">
        <v>133000</v>
      </c>
    </row>
    <row r="546" spans="1:1" x14ac:dyDescent="0.25">
      <c r="A546">
        <v>179665</v>
      </c>
    </row>
    <row r="547" spans="1:1" x14ac:dyDescent="0.25">
      <c r="A547">
        <v>229000</v>
      </c>
    </row>
    <row r="548" spans="1:1" x14ac:dyDescent="0.25">
      <c r="A548">
        <v>210000</v>
      </c>
    </row>
    <row r="549" spans="1:1" x14ac:dyDescent="0.25">
      <c r="A549">
        <v>129500</v>
      </c>
    </row>
    <row r="550" spans="1:1" x14ac:dyDescent="0.25">
      <c r="A550">
        <v>125000</v>
      </c>
    </row>
    <row r="551" spans="1:1" x14ac:dyDescent="0.25">
      <c r="A551">
        <v>263000</v>
      </c>
    </row>
    <row r="552" spans="1:1" x14ac:dyDescent="0.25">
      <c r="A552">
        <v>140000</v>
      </c>
    </row>
    <row r="553" spans="1:1" x14ac:dyDescent="0.25">
      <c r="A553">
        <v>112500</v>
      </c>
    </row>
    <row r="554" spans="1:1" x14ac:dyDescent="0.25">
      <c r="A554">
        <v>255500</v>
      </c>
    </row>
    <row r="555" spans="1:1" x14ac:dyDescent="0.25">
      <c r="A555">
        <v>108000</v>
      </c>
    </row>
    <row r="556" spans="1:1" x14ac:dyDescent="0.25">
      <c r="A556">
        <v>284000</v>
      </c>
    </row>
    <row r="557" spans="1:1" x14ac:dyDescent="0.25">
      <c r="A557">
        <v>113000</v>
      </c>
    </row>
    <row r="558" spans="1:1" x14ac:dyDescent="0.25">
      <c r="A558">
        <v>141000</v>
      </c>
    </row>
    <row r="559" spans="1:1" x14ac:dyDescent="0.25">
      <c r="A559">
        <v>108000</v>
      </c>
    </row>
    <row r="560" spans="1:1" x14ac:dyDescent="0.25">
      <c r="A560">
        <v>175000</v>
      </c>
    </row>
    <row r="561" spans="1:1" x14ac:dyDescent="0.25">
      <c r="A561">
        <v>234000</v>
      </c>
    </row>
    <row r="562" spans="1:1" x14ac:dyDescent="0.25">
      <c r="A562">
        <v>121500</v>
      </c>
    </row>
    <row r="563" spans="1:1" x14ac:dyDescent="0.25">
      <c r="A563">
        <v>170000</v>
      </c>
    </row>
    <row r="564" spans="1:1" x14ac:dyDescent="0.25">
      <c r="A564">
        <v>108000</v>
      </c>
    </row>
    <row r="565" spans="1:1" x14ac:dyDescent="0.25">
      <c r="A565">
        <v>185000</v>
      </c>
    </row>
    <row r="566" spans="1:1" x14ac:dyDescent="0.25">
      <c r="A566">
        <v>268000</v>
      </c>
    </row>
    <row r="567" spans="1:1" x14ac:dyDescent="0.25">
      <c r="A567">
        <v>128000</v>
      </c>
    </row>
    <row r="568" spans="1:1" x14ac:dyDescent="0.25">
      <c r="A568">
        <v>325000</v>
      </c>
    </row>
    <row r="569" spans="1:1" x14ac:dyDescent="0.25">
      <c r="A569">
        <v>214000</v>
      </c>
    </row>
    <row r="570" spans="1:1" x14ac:dyDescent="0.25">
      <c r="A570">
        <v>316600</v>
      </c>
    </row>
    <row r="571" spans="1:1" x14ac:dyDescent="0.25">
      <c r="A571">
        <v>135960</v>
      </c>
    </row>
    <row r="572" spans="1:1" x14ac:dyDescent="0.25">
      <c r="A572">
        <v>142600</v>
      </c>
    </row>
    <row r="573" spans="1:1" x14ac:dyDescent="0.25">
      <c r="A573">
        <v>120000</v>
      </c>
    </row>
    <row r="574" spans="1:1" x14ac:dyDescent="0.25">
      <c r="A574">
        <v>224500</v>
      </c>
    </row>
    <row r="575" spans="1:1" x14ac:dyDescent="0.25">
      <c r="A575">
        <v>170000</v>
      </c>
    </row>
    <row r="576" spans="1:1" x14ac:dyDescent="0.25">
      <c r="A576">
        <v>139000</v>
      </c>
    </row>
    <row r="577" spans="1:1" x14ac:dyDescent="0.25">
      <c r="A577">
        <v>118500</v>
      </c>
    </row>
    <row r="578" spans="1:1" x14ac:dyDescent="0.25">
      <c r="A578">
        <v>145000</v>
      </c>
    </row>
    <row r="579" spans="1:1" x14ac:dyDescent="0.25">
      <c r="A579">
        <v>164500</v>
      </c>
    </row>
    <row r="580" spans="1:1" x14ac:dyDescent="0.25">
      <c r="A580">
        <v>146000</v>
      </c>
    </row>
    <row r="581" spans="1:1" x14ac:dyDescent="0.25">
      <c r="A581">
        <v>131500</v>
      </c>
    </row>
    <row r="582" spans="1:1" x14ac:dyDescent="0.25">
      <c r="A582">
        <v>181900</v>
      </c>
    </row>
    <row r="583" spans="1:1" x14ac:dyDescent="0.25">
      <c r="A583">
        <v>253293</v>
      </c>
    </row>
    <row r="584" spans="1:1" x14ac:dyDescent="0.25">
      <c r="A584">
        <v>118500</v>
      </c>
    </row>
    <row r="585" spans="1:1" x14ac:dyDescent="0.25">
      <c r="A585">
        <v>325000</v>
      </c>
    </row>
    <row r="586" spans="1:1" x14ac:dyDescent="0.25">
      <c r="A586">
        <v>133000</v>
      </c>
    </row>
    <row r="587" spans="1:1" x14ac:dyDescent="0.25">
      <c r="A587">
        <v>369900</v>
      </c>
    </row>
    <row r="588" spans="1:1" x14ac:dyDescent="0.25">
      <c r="A588">
        <v>130000</v>
      </c>
    </row>
    <row r="589" spans="1:1" x14ac:dyDescent="0.25">
      <c r="A589">
        <v>137000</v>
      </c>
    </row>
    <row r="590" spans="1:1" x14ac:dyDescent="0.25">
      <c r="A590">
        <v>143000</v>
      </c>
    </row>
    <row r="591" spans="1:1" x14ac:dyDescent="0.25">
      <c r="A591">
        <v>79500</v>
      </c>
    </row>
    <row r="592" spans="1:1" x14ac:dyDescent="0.25">
      <c r="A592">
        <v>185900</v>
      </c>
    </row>
    <row r="593" spans="1:1" x14ac:dyDescent="0.25">
      <c r="A593">
        <v>451950</v>
      </c>
    </row>
    <row r="594" spans="1:1" x14ac:dyDescent="0.25">
      <c r="A594">
        <v>138000</v>
      </c>
    </row>
    <row r="595" spans="1:1" x14ac:dyDescent="0.25">
      <c r="A595">
        <v>140000</v>
      </c>
    </row>
    <row r="596" spans="1:1" x14ac:dyDescent="0.25">
      <c r="A596">
        <v>110000</v>
      </c>
    </row>
    <row r="597" spans="1:1" x14ac:dyDescent="0.25">
      <c r="A597">
        <v>319000</v>
      </c>
    </row>
    <row r="598" spans="1:1" x14ac:dyDescent="0.25">
      <c r="A598">
        <v>114504</v>
      </c>
    </row>
    <row r="599" spans="1:1" x14ac:dyDescent="0.25">
      <c r="A599">
        <v>194201</v>
      </c>
    </row>
    <row r="600" spans="1:1" x14ac:dyDescent="0.25">
      <c r="A600">
        <v>217500</v>
      </c>
    </row>
    <row r="601" spans="1:1" x14ac:dyDescent="0.25">
      <c r="A601">
        <v>151000</v>
      </c>
    </row>
    <row r="602" spans="1:1" x14ac:dyDescent="0.25">
      <c r="A602">
        <v>275000</v>
      </c>
    </row>
    <row r="603" spans="1:1" x14ac:dyDescent="0.25">
      <c r="A603">
        <v>141000</v>
      </c>
    </row>
    <row r="604" spans="1:1" x14ac:dyDescent="0.25">
      <c r="A604">
        <v>220000</v>
      </c>
    </row>
    <row r="605" spans="1:1" x14ac:dyDescent="0.25">
      <c r="A605">
        <v>151000</v>
      </c>
    </row>
    <row r="606" spans="1:1" x14ac:dyDescent="0.25">
      <c r="A606">
        <v>221000</v>
      </c>
    </row>
    <row r="607" spans="1:1" x14ac:dyDescent="0.25">
      <c r="A607">
        <v>205000</v>
      </c>
    </row>
    <row r="608" spans="1:1" x14ac:dyDescent="0.25">
      <c r="A608">
        <v>152000</v>
      </c>
    </row>
    <row r="609" spans="1:1" x14ac:dyDescent="0.25">
      <c r="A609">
        <v>225000</v>
      </c>
    </row>
    <row r="610" spans="1:1" x14ac:dyDescent="0.25">
      <c r="A610">
        <v>359100</v>
      </c>
    </row>
    <row r="611" spans="1:1" x14ac:dyDescent="0.25">
      <c r="A611">
        <v>118500</v>
      </c>
    </row>
    <row r="612" spans="1:1" x14ac:dyDescent="0.25">
      <c r="A612">
        <v>313000</v>
      </c>
    </row>
    <row r="613" spans="1:1" x14ac:dyDescent="0.25">
      <c r="A613">
        <v>148000</v>
      </c>
    </row>
    <row r="614" spans="1:1" x14ac:dyDescent="0.25">
      <c r="A614">
        <v>261500</v>
      </c>
    </row>
    <row r="615" spans="1:1" x14ac:dyDescent="0.25">
      <c r="A615">
        <v>147000</v>
      </c>
    </row>
    <row r="616" spans="1:1" x14ac:dyDescent="0.25">
      <c r="A616">
        <v>75500</v>
      </c>
    </row>
    <row r="617" spans="1:1" x14ac:dyDescent="0.25">
      <c r="A617">
        <v>137500</v>
      </c>
    </row>
    <row r="618" spans="1:1" x14ac:dyDescent="0.25">
      <c r="A618">
        <v>183200</v>
      </c>
    </row>
    <row r="619" spans="1:1" x14ac:dyDescent="0.25">
      <c r="A619">
        <v>105500</v>
      </c>
    </row>
    <row r="620" spans="1:1" x14ac:dyDescent="0.25">
      <c r="A620">
        <v>314813</v>
      </c>
    </row>
    <row r="621" spans="1:1" x14ac:dyDescent="0.25">
      <c r="A621">
        <v>305000</v>
      </c>
    </row>
    <row r="622" spans="1:1" x14ac:dyDescent="0.25">
      <c r="A622">
        <v>67000</v>
      </c>
    </row>
    <row r="623" spans="1:1" x14ac:dyDescent="0.25">
      <c r="A623">
        <v>240000</v>
      </c>
    </row>
    <row r="624" spans="1:1" x14ac:dyDescent="0.25">
      <c r="A624">
        <v>135000</v>
      </c>
    </row>
    <row r="625" spans="1:1" x14ac:dyDescent="0.25">
      <c r="A625">
        <v>168500</v>
      </c>
    </row>
    <row r="626" spans="1:1" x14ac:dyDescent="0.25">
      <c r="A626">
        <v>165150</v>
      </c>
    </row>
    <row r="627" spans="1:1" x14ac:dyDescent="0.25">
      <c r="A627">
        <v>160000</v>
      </c>
    </row>
    <row r="628" spans="1:1" x14ac:dyDescent="0.25">
      <c r="A628">
        <v>139900</v>
      </c>
    </row>
    <row r="629" spans="1:1" x14ac:dyDescent="0.25">
      <c r="A629">
        <v>153000</v>
      </c>
    </row>
    <row r="630" spans="1:1" x14ac:dyDescent="0.25">
      <c r="A630">
        <v>135000</v>
      </c>
    </row>
    <row r="631" spans="1:1" x14ac:dyDescent="0.25">
      <c r="A631">
        <v>168500</v>
      </c>
    </row>
    <row r="632" spans="1:1" x14ac:dyDescent="0.25">
      <c r="A632">
        <v>124000</v>
      </c>
    </row>
    <row r="633" spans="1:1" x14ac:dyDescent="0.25">
      <c r="A633">
        <v>209500</v>
      </c>
    </row>
    <row r="634" spans="1:1" x14ac:dyDescent="0.25">
      <c r="A634">
        <v>82500</v>
      </c>
    </row>
    <row r="635" spans="1:1" x14ac:dyDescent="0.25">
      <c r="A635">
        <v>139400</v>
      </c>
    </row>
    <row r="636" spans="1:1" x14ac:dyDescent="0.25">
      <c r="A636">
        <v>144000</v>
      </c>
    </row>
    <row r="637" spans="1:1" x14ac:dyDescent="0.25">
      <c r="A637">
        <v>200000</v>
      </c>
    </row>
    <row r="638" spans="1:1" x14ac:dyDescent="0.25">
      <c r="A638">
        <v>60000</v>
      </c>
    </row>
    <row r="639" spans="1:1" x14ac:dyDescent="0.25">
      <c r="A639">
        <v>93000</v>
      </c>
    </row>
    <row r="640" spans="1:1" x14ac:dyDescent="0.25">
      <c r="A640">
        <v>85000</v>
      </c>
    </row>
    <row r="641" spans="1:1" x14ac:dyDescent="0.25">
      <c r="A641">
        <v>264561</v>
      </c>
    </row>
    <row r="642" spans="1:1" x14ac:dyDescent="0.25">
      <c r="A642">
        <v>274000</v>
      </c>
    </row>
    <row r="643" spans="1:1" x14ac:dyDescent="0.25">
      <c r="A643">
        <v>226000</v>
      </c>
    </row>
    <row r="644" spans="1:1" x14ac:dyDescent="0.25">
      <c r="A644">
        <v>345000</v>
      </c>
    </row>
    <row r="645" spans="1:1" x14ac:dyDescent="0.25">
      <c r="A645">
        <v>152000</v>
      </c>
    </row>
    <row r="646" spans="1:1" x14ac:dyDescent="0.25">
      <c r="A646">
        <v>370878</v>
      </c>
    </row>
    <row r="647" spans="1:1" x14ac:dyDescent="0.25">
      <c r="A647">
        <v>143250</v>
      </c>
    </row>
    <row r="648" spans="1:1" x14ac:dyDescent="0.25">
      <c r="A648">
        <v>98300</v>
      </c>
    </row>
    <row r="649" spans="1:1" x14ac:dyDescent="0.25">
      <c r="A649">
        <v>155000</v>
      </c>
    </row>
    <row r="650" spans="1:1" x14ac:dyDescent="0.25">
      <c r="A650">
        <v>155000</v>
      </c>
    </row>
    <row r="651" spans="1:1" x14ac:dyDescent="0.25">
      <c r="A651">
        <v>84500</v>
      </c>
    </row>
    <row r="652" spans="1:1" x14ac:dyDescent="0.25">
      <c r="A652">
        <v>205950</v>
      </c>
    </row>
    <row r="653" spans="1:1" x14ac:dyDescent="0.25">
      <c r="A653">
        <v>108000</v>
      </c>
    </row>
    <row r="654" spans="1:1" x14ac:dyDescent="0.25">
      <c r="A654">
        <v>191000</v>
      </c>
    </row>
    <row r="655" spans="1:1" x14ac:dyDescent="0.25">
      <c r="A655">
        <v>135000</v>
      </c>
    </row>
    <row r="656" spans="1:1" x14ac:dyDescent="0.25">
      <c r="A656">
        <v>350000</v>
      </c>
    </row>
    <row r="657" spans="1:1" x14ac:dyDescent="0.25">
      <c r="A657">
        <v>88000</v>
      </c>
    </row>
    <row r="658" spans="1:1" x14ac:dyDescent="0.25">
      <c r="A658">
        <v>145500</v>
      </c>
    </row>
    <row r="659" spans="1:1" x14ac:dyDescent="0.25">
      <c r="A659">
        <v>149000</v>
      </c>
    </row>
    <row r="660" spans="1:1" x14ac:dyDescent="0.25">
      <c r="A660">
        <v>97500</v>
      </c>
    </row>
    <row r="661" spans="1:1" x14ac:dyDescent="0.25">
      <c r="A661">
        <v>167000</v>
      </c>
    </row>
    <row r="662" spans="1:1" x14ac:dyDescent="0.25">
      <c r="A662">
        <v>197900</v>
      </c>
    </row>
    <row r="663" spans="1:1" x14ac:dyDescent="0.25">
      <c r="A663">
        <v>402000</v>
      </c>
    </row>
    <row r="664" spans="1:1" x14ac:dyDescent="0.25">
      <c r="A664">
        <v>110000</v>
      </c>
    </row>
    <row r="665" spans="1:1" x14ac:dyDescent="0.25">
      <c r="A665">
        <v>137500</v>
      </c>
    </row>
    <row r="666" spans="1:1" x14ac:dyDescent="0.25">
      <c r="A666">
        <v>423000</v>
      </c>
    </row>
    <row r="667" spans="1:1" x14ac:dyDescent="0.25">
      <c r="A667">
        <v>230500</v>
      </c>
    </row>
    <row r="668" spans="1:1" x14ac:dyDescent="0.25">
      <c r="A668">
        <v>129000</v>
      </c>
    </row>
    <row r="669" spans="1:1" x14ac:dyDescent="0.25">
      <c r="A669">
        <v>193500</v>
      </c>
    </row>
    <row r="670" spans="1:1" x14ac:dyDescent="0.25">
      <c r="A670">
        <v>168000</v>
      </c>
    </row>
    <row r="671" spans="1:1" x14ac:dyDescent="0.25">
      <c r="A671">
        <v>137500</v>
      </c>
    </row>
    <row r="672" spans="1:1" x14ac:dyDescent="0.25">
      <c r="A672">
        <v>173500</v>
      </c>
    </row>
    <row r="673" spans="1:1" x14ac:dyDescent="0.25">
      <c r="A673">
        <v>103600</v>
      </c>
    </row>
    <row r="674" spans="1:1" x14ac:dyDescent="0.25">
      <c r="A674">
        <v>165000</v>
      </c>
    </row>
    <row r="675" spans="1:1" x14ac:dyDescent="0.25">
      <c r="A675">
        <v>257500</v>
      </c>
    </row>
    <row r="676" spans="1:1" x14ac:dyDescent="0.25">
      <c r="A676">
        <v>140000</v>
      </c>
    </row>
    <row r="677" spans="1:1" x14ac:dyDescent="0.25">
      <c r="A677">
        <v>148500</v>
      </c>
    </row>
    <row r="678" spans="1:1" x14ac:dyDescent="0.25">
      <c r="A678">
        <v>87000</v>
      </c>
    </row>
    <row r="679" spans="1:1" x14ac:dyDescent="0.25">
      <c r="A679">
        <v>109500</v>
      </c>
    </row>
    <row r="680" spans="1:1" x14ac:dyDescent="0.25">
      <c r="A680">
        <v>372500</v>
      </c>
    </row>
    <row r="681" spans="1:1" x14ac:dyDescent="0.25">
      <c r="A681">
        <v>128500</v>
      </c>
    </row>
    <row r="682" spans="1:1" x14ac:dyDescent="0.25">
      <c r="A682">
        <v>143000</v>
      </c>
    </row>
    <row r="683" spans="1:1" x14ac:dyDescent="0.25">
      <c r="A683">
        <v>159434</v>
      </c>
    </row>
    <row r="684" spans="1:1" x14ac:dyDescent="0.25">
      <c r="A684">
        <v>173000</v>
      </c>
    </row>
    <row r="685" spans="1:1" x14ac:dyDescent="0.25">
      <c r="A685">
        <v>285000</v>
      </c>
    </row>
    <row r="686" spans="1:1" x14ac:dyDescent="0.25">
      <c r="A686">
        <v>221000</v>
      </c>
    </row>
    <row r="687" spans="1:1" x14ac:dyDescent="0.25">
      <c r="A687">
        <v>207500</v>
      </c>
    </row>
    <row r="688" spans="1:1" x14ac:dyDescent="0.25">
      <c r="A688">
        <v>227875</v>
      </c>
    </row>
    <row r="689" spans="1:1" x14ac:dyDescent="0.25">
      <c r="A689">
        <v>148800</v>
      </c>
    </row>
    <row r="690" spans="1:1" x14ac:dyDescent="0.25">
      <c r="A690">
        <v>392000</v>
      </c>
    </row>
    <row r="691" spans="1:1" x14ac:dyDescent="0.25">
      <c r="A691">
        <v>194700</v>
      </c>
    </row>
    <row r="692" spans="1:1" x14ac:dyDescent="0.25">
      <c r="A692">
        <v>141000</v>
      </c>
    </row>
    <row r="693" spans="1:1" x14ac:dyDescent="0.25">
      <c r="A693">
        <v>755000</v>
      </c>
    </row>
    <row r="694" spans="1:1" x14ac:dyDescent="0.25">
      <c r="A694">
        <v>335000</v>
      </c>
    </row>
    <row r="695" spans="1:1" x14ac:dyDescent="0.25">
      <c r="A695">
        <v>108480</v>
      </c>
    </row>
    <row r="696" spans="1:1" x14ac:dyDescent="0.25">
      <c r="A696">
        <v>141500</v>
      </c>
    </row>
    <row r="697" spans="1:1" x14ac:dyDescent="0.25">
      <c r="A697">
        <v>176000</v>
      </c>
    </row>
    <row r="698" spans="1:1" x14ac:dyDescent="0.25">
      <c r="A698">
        <v>89000</v>
      </c>
    </row>
    <row r="699" spans="1:1" x14ac:dyDescent="0.25">
      <c r="A699">
        <v>123500</v>
      </c>
    </row>
    <row r="700" spans="1:1" x14ac:dyDescent="0.25">
      <c r="A700">
        <v>138500</v>
      </c>
    </row>
    <row r="701" spans="1:1" x14ac:dyDescent="0.25">
      <c r="A701">
        <v>196000</v>
      </c>
    </row>
    <row r="702" spans="1:1" x14ac:dyDescent="0.25">
      <c r="A702">
        <v>312500</v>
      </c>
    </row>
    <row r="703" spans="1:1" x14ac:dyDescent="0.25">
      <c r="A703">
        <v>140000</v>
      </c>
    </row>
    <row r="704" spans="1:1" x14ac:dyDescent="0.25">
      <c r="A704">
        <v>361919</v>
      </c>
    </row>
    <row r="705" spans="1:1" x14ac:dyDescent="0.25">
      <c r="A705">
        <v>140000</v>
      </c>
    </row>
    <row r="706" spans="1:1" x14ac:dyDescent="0.25">
      <c r="A706">
        <v>213000</v>
      </c>
    </row>
    <row r="707" spans="1:1" x14ac:dyDescent="0.25">
      <c r="A707">
        <v>55000</v>
      </c>
    </row>
    <row r="708" spans="1:1" x14ac:dyDescent="0.25">
      <c r="A708">
        <v>302000</v>
      </c>
    </row>
    <row r="709" spans="1:1" x14ac:dyDescent="0.25">
      <c r="A709">
        <v>254000</v>
      </c>
    </row>
    <row r="710" spans="1:1" x14ac:dyDescent="0.25">
      <c r="A710">
        <v>179540</v>
      </c>
    </row>
    <row r="711" spans="1:1" x14ac:dyDescent="0.25">
      <c r="A711">
        <v>109900</v>
      </c>
    </row>
    <row r="712" spans="1:1" x14ac:dyDescent="0.25">
      <c r="A712">
        <v>52000</v>
      </c>
    </row>
    <row r="713" spans="1:1" x14ac:dyDescent="0.25">
      <c r="A713">
        <v>102776</v>
      </c>
    </row>
    <row r="714" spans="1:1" x14ac:dyDescent="0.25">
      <c r="A714">
        <v>189000</v>
      </c>
    </row>
    <row r="715" spans="1:1" x14ac:dyDescent="0.25">
      <c r="A715">
        <v>129000</v>
      </c>
    </row>
    <row r="716" spans="1:1" x14ac:dyDescent="0.25">
      <c r="A716">
        <v>130500</v>
      </c>
    </row>
    <row r="717" spans="1:1" x14ac:dyDescent="0.25">
      <c r="A717">
        <v>165000</v>
      </c>
    </row>
    <row r="718" spans="1:1" x14ac:dyDescent="0.25">
      <c r="A718">
        <v>159500</v>
      </c>
    </row>
    <row r="719" spans="1:1" x14ac:dyDescent="0.25">
      <c r="A719">
        <v>157000</v>
      </c>
    </row>
    <row r="720" spans="1:1" x14ac:dyDescent="0.25">
      <c r="A720">
        <v>341000</v>
      </c>
    </row>
    <row r="721" spans="1:1" x14ac:dyDescent="0.25">
      <c r="A721">
        <v>128500</v>
      </c>
    </row>
    <row r="722" spans="1:1" x14ac:dyDescent="0.25">
      <c r="A722">
        <v>275000</v>
      </c>
    </row>
    <row r="723" spans="1:1" x14ac:dyDescent="0.25">
      <c r="A723">
        <v>143000</v>
      </c>
    </row>
    <row r="724" spans="1:1" x14ac:dyDescent="0.25">
      <c r="A724">
        <v>124500</v>
      </c>
    </row>
    <row r="725" spans="1:1" x14ac:dyDescent="0.25">
      <c r="A725">
        <v>135000</v>
      </c>
    </row>
    <row r="726" spans="1:1" x14ac:dyDescent="0.25">
      <c r="A726">
        <v>320000</v>
      </c>
    </row>
    <row r="727" spans="1:1" x14ac:dyDescent="0.25">
      <c r="A727">
        <v>120500</v>
      </c>
    </row>
    <row r="728" spans="1:1" x14ac:dyDescent="0.25">
      <c r="A728">
        <v>222000</v>
      </c>
    </row>
    <row r="729" spans="1:1" x14ac:dyDescent="0.25">
      <c r="A729">
        <v>194500</v>
      </c>
    </row>
    <row r="730" spans="1:1" x14ac:dyDescent="0.25">
      <c r="A730">
        <v>110000</v>
      </c>
    </row>
    <row r="731" spans="1:1" x14ac:dyDescent="0.25">
      <c r="A731">
        <v>103000</v>
      </c>
    </row>
    <row r="732" spans="1:1" x14ac:dyDescent="0.25">
      <c r="A732">
        <v>236500</v>
      </c>
    </row>
    <row r="733" spans="1:1" x14ac:dyDescent="0.25">
      <c r="A733">
        <v>187500</v>
      </c>
    </row>
    <row r="734" spans="1:1" x14ac:dyDescent="0.25">
      <c r="A734">
        <v>222500</v>
      </c>
    </row>
    <row r="735" spans="1:1" x14ac:dyDescent="0.25">
      <c r="A735">
        <v>131400</v>
      </c>
    </row>
    <row r="736" spans="1:1" x14ac:dyDescent="0.25">
      <c r="A736">
        <v>108000</v>
      </c>
    </row>
    <row r="737" spans="1:1" x14ac:dyDescent="0.25">
      <c r="A737">
        <v>163000</v>
      </c>
    </row>
    <row r="738" spans="1:1" x14ac:dyDescent="0.25">
      <c r="A738">
        <v>93500</v>
      </c>
    </row>
    <row r="739" spans="1:1" x14ac:dyDescent="0.25">
      <c r="A739">
        <v>239900</v>
      </c>
    </row>
    <row r="740" spans="1:1" x14ac:dyDescent="0.25">
      <c r="A740">
        <v>179000</v>
      </c>
    </row>
    <row r="741" spans="1:1" x14ac:dyDescent="0.25">
      <c r="A741">
        <v>190000</v>
      </c>
    </row>
    <row r="742" spans="1:1" x14ac:dyDescent="0.25">
      <c r="A742">
        <v>132000</v>
      </c>
    </row>
    <row r="743" spans="1:1" x14ac:dyDescent="0.25">
      <c r="A743">
        <v>142000</v>
      </c>
    </row>
    <row r="744" spans="1:1" x14ac:dyDescent="0.25">
      <c r="A744">
        <v>179000</v>
      </c>
    </row>
    <row r="745" spans="1:1" x14ac:dyDescent="0.25">
      <c r="A745">
        <v>175000</v>
      </c>
    </row>
    <row r="746" spans="1:1" x14ac:dyDescent="0.25">
      <c r="A746">
        <v>180000</v>
      </c>
    </row>
    <row r="747" spans="1:1" x14ac:dyDescent="0.25">
      <c r="A747">
        <v>299800</v>
      </c>
    </row>
    <row r="748" spans="1:1" x14ac:dyDescent="0.25">
      <c r="A748">
        <v>236000</v>
      </c>
    </row>
    <row r="749" spans="1:1" x14ac:dyDescent="0.25">
      <c r="A749">
        <v>265979</v>
      </c>
    </row>
    <row r="750" spans="1:1" x14ac:dyDescent="0.25">
      <c r="A750">
        <v>260400</v>
      </c>
    </row>
    <row r="751" spans="1:1" x14ac:dyDescent="0.25">
      <c r="A751">
        <v>98000</v>
      </c>
    </row>
    <row r="752" spans="1:1" x14ac:dyDescent="0.25">
      <c r="A752">
        <v>96500</v>
      </c>
    </row>
    <row r="753" spans="1:1" x14ac:dyDescent="0.25">
      <c r="A753">
        <v>162000</v>
      </c>
    </row>
    <row r="754" spans="1:1" x14ac:dyDescent="0.25">
      <c r="A754">
        <v>217000</v>
      </c>
    </row>
    <row r="755" spans="1:1" x14ac:dyDescent="0.25">
      <c r="A755">
        <v>275500</v>
      </c>
    </row>
    <row r="756" spans="1:1" x14ac:dyDescent="0.25">
      <c r="A756">
        <v>156000</v>
      </c>
    </row>
    <row r="757" spans="1:1" x14ac:dyDescent="0.25">
      <c r="A757">
        <v>172500</v>
      </c>
    </row>
    <row r="758" spans="1:1" x14ac:dyDescent="0.25">
      <c r="A758">
        <v>212000</v>
      </c>
    </row>
    <row r="759" spans="1:1" x14ac:dyDescent="0.25">
      <c r="A759">
        <v>158900</v>
      </c>
    </row>
    <row r="760" spans="1:1" x14ac:dyDescent="0.25">
      <c r="A760">
        <v>179400</v>
      </c>
    </row>
    <row r="761" spans="1:1" x14ac:dyDescent="0.25">
      <c r="A761">
        <v>290000</v>
      </c>
    </row>
    <row r="762" spans="1:1" x14ac:dyDescent="0.25">
      <c r="A762">
        <v>127500</v>
      </c>
    </row>
    <row r="763" spans="1:1" x14ac:dyDescent="0.25">
      <c r="A763">
        <v>100000</v>
      </c>
    </row>
    <row r="764" spans="1:1" x14ac:dyDescent="0.25">
      <c r="A764">
        <v>215200</v>
      </c>
    </row>
    <row r="765" spans="1:1" x14ac:dyDescent="0.25">
      <c r="A765">
        <v>337000</v>
      </c>
    </row>
    <row r="766" spans="1:1" x14ac:dyDescent="0.25">
      <c r="A766">
        <v>270000</v>
      </c>
    </row>
    <row r="767" spans="1:1" x14ac:dyDescent="0.25">
      <c r="A767">
        <v>264132</v>
      </c>
    </row>
    <row r="768" spans="1:1" x14ac:dyDescent="0.25">
      <c r="A768">
        <v>196500</v>
      </c>
    </row>
    <row r="769" spans="1:1" x14ac:dyDescent="0.25">
      <c r="A769">
        <v>160000</v>
      </c>
    </row>
    <row r="770" spans="1:1" x14ac:dyDescent="0.25">
      <c r="A770">
        <v>216837</v>
      </c>
    </row>
    <row r="771" spans="1:1" x14ac:dyDescent="0.25">
      <c r="A771">
        <v>538000</v>
      </c>
    </row>
    <row r="772" spans="1:1" x14ac:dyDescent="0.25">
      <c r="A772">
        <v>134900</v>
      </c>
    </row>
    <row r="773" spans="1:1" x14ac:dyDescent="0.25">
      <c r="A773">
        <v>102000</v>
      </c>
    </row>
    <row r="774" spans="1:1" x14ac:dyDescent="0.25">
      <c r="A774">
        <v>107000</v>
      </c>
    </row>
    <row r="775" spans="1:1" x14ac:dyDescent="0.25">
      <c r="A775">
        <v>114500</v>
      </c>
    </row>
    <row r="776" spans="1:1" x14ac:dyDescent="0.25">
      <c r="A776">
        <v>395000</v>
      </c>
    </row>
    <row r="777" spans="1:1" x14ac:dyDescent="0.25">
      <c r="A777">
        <v>162000</v>
      </c>
    </row>
    <row r="778" spans="1:1" x14ac:dyDescent="0.25">
      <c r="A778">
        <v>221500</v>
      </c>
    </row>
    <row r="779" spans="1:1" x14ac:dyDescent="0.25">
      <c r="A779">
        <v>142500</v>
      </c>
    </row>
    <row r="780" spans="1:1" x14ac:dyDescent="0.25">
      <c r="A780">
        <v>144000</v>
      </c>
    </row>
    <row r="781" spans="1:1" x14ac:dyDescent="0.25">
      <c r="A781">
        <v>135000</v>
      </c>
    </row>
    <row r="782" spans="1:1" x14ac:dyDescent="0.25">
      <c r="A782">
        <v>176000</v>
      </c>
    </row>
    <row r="783" spans="1:1" x14ac:dyDescent="0.25">
      <c r="A783">
        <v>175900</v>
      </c>
    </row>
    <row r="784" spans="1:1" x14ac:dyDescent="0.25">
      <c r="A784">
        <v>187100</v>
      </c>
    </row>
    <row r="785" spans="1:1" x14ac:dyDescent="0.25">
      <c r="A785">
        <v>165500</v>
      </c>
    </row>
    <row r="786" spans="1:1" x14ac:dyDescent="0.25">
      <c r="A786">
        <v>128000</v>
      </c>
    </row>
    <row r="787" spans="1:1" x14ac:dyDescent="0.25">
      <c r="A787">
        <v>161500</v>
      </c>
    </row>
    <row r="788" spans="1:1" x14ac:dyDescent="0.25">
      <c r="A788">
        <v>139000</v>
      </c>
    </row>
    <row r="789" spans="1:1" x14ac:dyDescent="0.25">
      <c r="A789">
        <v>233000</v>
      </c>
    </row>
    <row r="790" spans="1:1" x14ac:dyDescent="0.25">
      <c r="A790">
        <v>107900</v>
      </c>
    </row>
    <row r="791" spans="1:1" x14ac:dyDescent="0.25">
      <c r="A791">
        <v>187500</v>
      </c>
    </row>
    <row r="792" spans="1:1" x14ac:dyDescent="0.25">
      <c r="A792">
        <v>160200</v>
      </c>
    </row>
    <row r="793" spans="1:1" x14ac:dyDescent="0.25">
      <c r="A793">
        <v>146800</v>
      </c>
    </row>
    <row r="794" spans="1:1" x14ac:dyDescent="0.25">
      <c r="A794">
        <v>269790</v>
      </c>
    </row>
    <row r="795" spans="1:1" x14ac:dyDescent="0.25">
      <c r="A795">
        <v>225000</v>
      </c>
    </row>
    <row r="796" spans="1:1" x14ac:dyDescent="0.25">
      <c r="A796">
        <v>194500</v>
      </c>
    </row>
    <row r="797" spans="1:1" x14ac:dyDescent="0.25">
      <c r="A797">
        <v>171000</v>
      </c>
    </row>
    <row r="798" spans="1:1" x14ac:dyDescent="0.25">
      <c r="A798">
        <v>143500</v>
      </c>
    </row>
    <row r="799" spans="1:1" x14ac:dyDescent="0.25">
      <c r="A799">
        <v>110000</v>
      </c>
    </row>
    <row r="800" spans="1:1" x14ac:dyDescent="0.25">
      <c r="A800">
        <v>485000</v>
      </c>
    </row>
    <row r="801" spans="1:1" x14ac:dyDescent="0.25">
      <c r="A801">
        <v>175000</v>
      </c>
    </row>
    <row r="802" spans="1:1" x14ac:dyDescent="0.25">
      <c r="A802">
        <v>200000</v>
      </c>
    </row>
    <row r="803" spans="1:1" x14ac:dyDescent="0.25">
      <c r="A803">
        <v>109900</v>
      </c>
    </row>
    <row r="804" spans="1:1" x14ac:dyDescent="0.25">
      <c r="A804">
        <v>189000</v>
      </c>
    </row>
    <row r="805" spans="1:1" x14ac:dyDescent="0.25">
      <c r="A805">
        <v>582933</v>
      </c>
    </row>
    <row r="806" spans="1:1" x14ac:dyDescent="0.25">
      <c r="A806">
        <v>118000</v>
      </c>
    </row>
    <row r="807" spans="1:1" x14ac:dyDescent="0.25">
      <c r="A807">
        <v>227680</v>
      </c>
    </row>
    <row r="808" spans="1:1" x14ac:dyDescent="0.25">
      <c r="A808">
        <v>135500</v>
      </c>
    </row>
    <row r="809" spans="1:1" x14ac:dyDescent="0.25">
      <c r="A809">
        <v>223500</v>
      </c>
    </row>
    <row r="810" spans="1:1" x14ac:dyDescent="0.25">
      <c r="A810">
        <v>159950</v>
      </c>
    </row>
    <row r="811" spans="1:1" x14ac:dyDescent="0.25">
      <c r="A811">
        <v>106000</v>
      </c>
    </row>
    <row r="812" spans="1:1" x14ac:dyDescent="0.25">
      <c r="A812">
        <v>181000</v>
      </c>
    </row>
    <row r="813" spans="1:1" x14ac:dyDescent="0.25">
      <c r="A813">
        <v>144500</v>
      </c>
    </row>
    <row r="814" spans="1:1" x14ac:dyDescent="0.25">
      <c r="A814">
        <v>55993</v>
      </c>
    </row>
    <row r="815" spans="1:1" x14ac:dyDescent="0.25">
      <c r="A815">
        <v>157900</v>
      </c>
    </row>
    <row r="816" spans="1:1" x14ac:dyDescent="0.25">
      <c r="A816">
        <v>116000</v>
      </c>
    </row>
    <row r="817" spans="1:1" x14ac:dyDescent="0.25">
      <c r="A817">
        <v>224900</v>
      </c>
    </row>
    <row r="818" spans="1:1" x14ac:dyDescent="0.25">
      <c r="A818">
        <v>137000</v>
      </c>
    </row>
    <row r="819" spans="1:1" x14ac:dyDescent="0.25">
      <c r="A819">
        <v>271000</v>
      </c>
    </row>
    <row r="820" spans="1:1" x14ac:dyDescent="0.25">
      <c r="A820">
        <v>155000</v>
      </c>
    </row>
    <row r="821" spans="1:1" x14ac:dyDescent="0.25">
      <c r="A821">
        <v>224000</v>
      </c>
    </row>
    <row r="822" spans="1:1" x14ac:dyDescent="0.25">
      <c r="A822">
        <v>183000</v>
      </c>
    </row>
    <row r="823" spans="1:1" x14ac:dyDescent="0.25">
      <c r="A823">
        <v>93000</v>
      </c>
    </row>
    <row r="824" spans="1:1" x14ac:dyDescent="0.25">
      <c r="A824">
        <v>225000</v>
      </c>
    </row>
    <row r="825" spans="1:1" x14ac:dyDescent="0.25">
      <c r="A825">
        <v>139500</v>
      </c>
    </row>
    <row r="826" spans="1:1" x14ac:dyDescent="0.25">
      <c r="A826">
        <v>232600</v>
      </c>
    </row>
    <row r="827" spans="1:1" x14ac:dyDescent="0.25">
      <c r="A827">
        <v>385000</v>
      </c>
    </row>
    <row r="828" spans="1:1" x14ac:dyDescent="0.25">
      <c r="A828">
        <v>109500</v>
      </c>
    </row>
    <row r="829" spans="1:1" x14ac:dyDescent="0.25">
      <c r="A829">
        <v>189000</v>
      </c>
    </row>
    <row r="830" spans="1:1" x14ac:dyDescent="0.25">
      <c r="A830">
        <v>185000</v>
      </c>
    </row>
    <row r="831" spans="1:1" x14ac:dyDescent="0.25">
      <c r="A831">
        <v>147400</v>
      </c>
    </row>
    <row r="832" spans="1:1" x14ac:dyDescent="0.25">
      <c r="A832">
        <v>166000</v>
      </c>
    </row>
    <row r="833" spans="1:1" x14ac:dyDescent="0.25">
      <c r="A833">
        <v>151000</v>
      </c>
    </row>
    <row r="834" spans="1:1" x14ac:dyDescent="0.25">
      <c r="A834">
        <v>237000</v>
      </c>
    </row>
    <row r="835" spans="1:1" x14ac:dyDescent="0.25">
      <c r="A835">
        <v>167000</v>
      </c>
    </row>
    <row r="836" spans="1:1" x14ac:dyDescent="0.25">
      <c r="A836">
        <v>139950</v>
      </c>
    </row>
    <row r="837" spans="1:1" x14ac:dyDescent="0.25">
      <c r="A837">
        <v>128000</v>
      </c>
    </row>
    <row r="838" spans="1:1" x14ac:dyDescent="0.25">
      <c r="A838">
        <v>153500</v>
      </c>
    </row>
    <row r="839" spans="1:1" x14ac:dyDescent="0.25">
      <c r="A839">
        <v>100000</v>
      </c>
    </row>
    <row r="840" spans="1:1" x14ac:dyDescent="0.25">
      <c r="A840">
        <v>144000</v>
      </c>
    </row>
    <row r="841" spans="1:1" x14ac:dyDescent="0.25">
      <c r="A841">
        <v>130500</v>
      </c>
    </row>
    <row r="842" spans="1:1" x14ac:dyDescent="0.25">
      <c r="A842">
        <v>140000</v>
      </c>
    </row>
    <row r="843" spans="1:1" x14ac:dyDescent="0.25">
      <c r="A843">
        <v>157500</v>
      </c>
    </row>
    <row r="844" spans="1:1" x14ac:dyDescent="0.25">
      <c r="A844">
        <v>174900</v>
      </c>
    </row>
    <row r="845" spans="1:1" x14ac:dyDescent="0.25">
      <c r="A845">
        <v>141000</v>
      </c>
    </row>
    <row r="846" spans="1:1" x14ac:dyDescent="0.25">
      <c r="A846">
        <v>153900</v>
      </c>
    </row>
    <row r="847" spans="1:1" x14ac:dyDescent="0.25">
      <c r="A847">
        <v>171000</v>
      </c>
    </row>
    <row r="848" spans="1:1" x14ac:dyDescent="0.25">
      <c r="A848">
        <v>213000</v>
      </c>
    </row>
    <row r="849" spans="1:1" x14ac:dyDescent="0.25">
      <c r="A849">
        <v>133500</v>
      </c>
    </row>
    <row r="850" spans="1:1" x14ac:dyDescent="0.25">
      <c r="A850">
        <v>240000</v>
      </c>
    </row>
    <row r="851" spans="1:1" x14ac:dyDescent="0.25">
      <c r="A851">
        <v>187000</v>
      </c>
    </row>
    <row r="852" spans="1:1" x14ac:dyDescent="0.25">
      <c r="A852">
        <v>131500</v>
      </c>
    </row>
    <row r="853" spans="1:1" x14ac:dyDescent="0.25">
      <c r="A853">
        <v>215000</v>
      </c>
    </row>
    <row r="854" spans="1:1" x14ac:dyDescent="0.25">
      <c r="A854">
        <v>164000</v>
      </c>
    </row>
    <row r="855" spans="1:1" x14ac:dyDescent="0.25">
      <c r="A855">
        <v>158000</v>
      </c>
    </row>
    <row r="856" spans="1:1" x14ac:dyDescent="0.25">
      <c r="A856">
        <v>170000</v>
      </c>
    </row>
    <row r="857" spans="1:1" x14ac:dyDescent="0.25">
      <c r="A857">
        <v>127000</v>
      </c>
    </row>
    <row r="858" spans="1:1" x14ac:dyDescent="0.25">
      <c r="A858">
        <v>147000</v>
      </c>
    </row>
    <row r="859" spans="1:1" x14ac:dyDescent="0.25">
      <c r="A859">
        <v>174000</v>
      </c>
    </row>
    <row r="860" spans="1:1" x14ac:dyDescent="0.25">
      <c r="A860">
        <v>152000</v>
      </c>
    </row>
    <row r="861" spans="1:1" x14ac:dyDescent="0.25">
      <c r="A861">
        <v>250000</v>
      </c>
    </row>
    <row r="862" spans="1:1" x14ac:dyDescent="0.25">
      <c r="A862">
        <v>189950</v>
      </c>
    </row>
    <row r="863" spans="1:1" x14ac:dyDescent="0.25">
      <c r="A863">
        <v>131500</v>
      </c>
    </row>
    <row r="864" spans="1:1" x14ac:dyDescent="0.25">
      <c r="A864">
        <v>152000</v>
      </c>
    </row>
    <row r="865" spans="1:1" x14ac:dyDescent="0.25">
      <c r="A865">
        <v>132500</v>
      </c>
    </row>
    <row r="866" spans="1:1" x14ac:dyDescent="0.25">
      <c r="A866">
        <v>250580</v>
      </c>
    </row>
    <row r="867" spans="1:1" x14ac:dyDescent="0.25">
      <c r="A867">
        <v>148500</v>
      </c>
    </row>
    <row r="868" spans="1:1" x14ac:dyDescent="0.25">
      <c r="A868">
        <v>248900</v>
      </c>
    </row>
    <row r="869" spans="1:1" x14ac:dyDescent="0.25">
      <c r="A869">
        <v>129000</v>
      </c>
    </row>
    <row r="870" spans="1:1" x14ac:dyDescent="0.25">
      <c r="A870">
        <v>169000</v>
      </c>
    </row>
    <row r="871" spans="1:1" x14ac:dyDescent="0.25">
      <c r="A871">
        <v>236000</v>
      </c>
    </row>
    <row r="872" spans="1:1" x14ac:dyDescent="0.25">
      <c r="A872">
        <v>109500</v>
      </c>
    </row>
    <row r="873" spans="1:1" x14ac:dyDescent="0.25">
      <c r="A873">
        <v>200500</v>
      </c>
    </row>
    <row r="874" spans="1:1" x14ac:dyDescent="0.25">
      <c r="A874">
        <v>116000</v>
      </c>
    </row>
    <row r="875" spans="1:1" x14ac:dyDescent="0.25">
      <c r="A875">
        <v>133000</v>
      </c>
    </row>
    <row r="876" spans="1:1" x14ac:dyDescent="0.25">
      <c r="A876">
        <v>66500</v>
      </c>
    </row>
    <row r="877" spans="1:1" x14ac:dyDescent="0.25">
      <c r="A877">
        <v>303477</v>
      </c>
    </row>
    <row r="878" spans="1:1" x14ac:dyDescent="0.25">
      <c r="A878">
        <v>132250</v>
      </c>
    </row>
    <row r="879" spans="1:1" x14ac:dyDescent="0.25">
      <c r="A879">
        <v>350000</v>
      </c>
    </row>
    <row r="880" spans="1:1" x14ac:dyDescent="0.25">
      <c r="A880">
        <v>148000</v>
      </c>
    </row>
    <row r="881" spans="1:1" x14ac:dyDescent="0.25">
      <c r="A881">
        <v>136500</v>
      </c>
    </row>
    <row r="882" spans="1:1" x14ac:dyDescent="0.25">
      <c r="A882">
        <v>157000</v>
      </c>
    </row>
    <row r="883" spans="1:1" x14ac:dyDescent="0.25">
      <c r="A883">
        <v>187500</v>
      </c>
    </row>
    <row r="884" spans="1:1" x14ac:dyDescent="0.25">
      <c r="A884">
        <v>178000</v>
      </c>
    </row>
    <row r="885" spans="1:1" x14ac:dyDescent="0.25">
      <c r="A885">
        <v>118500</v>
      </c>
    </row>
    <row r="886" spans="1:1" x14ac:dyDescent="0.25">
      <c r="A886">
        <v>100000</v>
      </c>
    </row>
    <row r="887" spans="1:1" x14ac:dyDescent="0.25">
      <c r="A887">
        <v>328900</v>
      </c>
    </row>
    <row r="888" spans="1:1" x14ac:dyDescent="0.25">
      <c r="A888">
        <v>145000</v>
      </c>
    </row>
    <row r="889" spans="1:1" x14ac:dyDescent="0.25">
      <c r="A889">
        <v>135500</v>
      </c>
    </row>
    <row r="890" spans="1:1" x14ac:dyDescent="0.25">
      <c r="A890">
        <v>268000</v>
      </c>
    </row>
    <row r="891" spans="1:1" x14ac:dyDescent="0.25">
      <c r="A891">
        <v>149500</v>
      </c>
    </row>
    <row r="892" spans="1:1" x14ac:dyDescent="0.25">
      <c r="A892">
        <v>122900</v>
      </c>
    </row>
    <row r="893" spans="1:1" x14ac:dyDescent="0.25">
      <c r="A893">
        <v>172500</v>
      </c>
    </row>
    <row r="894" spans="1:1" x14ac:dyDescent="0.25">
      <c r="A894">
        <v>154500</v>
      </c>
    </row>
    <row r="895" spans="1:1" x14ac:dyDescent="0.25">
      <c r="A895">
        <v>165000</v>
      </c>
    </row>
    <row r="896" spans="1:1" x14ac:dyDescent="0.25">
      <c r="A896">
        <v>118858</v>
      </c>
    </row>
    <row r="897" spans="1:1" x14ac:dyDescent="0.25">
      <c r="A897">
        <v>140000</v>
      </c>
    </row>
    <row r="898" spans="1:1" x14ac:dyDescent="0.25">
      <c r="A898">
        <v>106500</v>
      </c>
    </row>
    <row r="899" spans="1:1" x14ac:dyDescent="0.25">
      <c r="A899">
        <v>142953</v>
      </c>
    </row>
    <row r="900" spans="1:1" x14ac:dyDescent="0.25">
      <c r="A900">
        <v>611657</v>
      </c>
    </row>
    <row r="901" spans="1:1" x14ac:dyDescent="0.25">
      <c r="A901">
        <v>135000</v>
      </c>
    </row>
    <row r="902" spans="1:1" x14ac:dyDescent="0.25">
      <c r="A902">
        <v>110000</v>
      </c>
    </row>
    <row r="903" spans="1:1" x14ac:dyDescent="0.25">
      <c r="A903">
        <v>153000</v>
      </c>
    </row>
    <row r="904" spans="1:1" x14ac:dyDescent="0.25">
      <c r="A904">
        <v>180000</v>
      </c>
    </row>
    <row r="905" spans="1:1" x14ac:dyDescent="0.25">
      <c r="A905">
        <v>240000</v>
      </c>
    </row>
    <row r="906" spans="1:1" x14ac:dyDescent="0.25">
      <c r="A906">
        <v>125500</v>
      </c>
    </row>
    <row r="907" spans="1:1" x14ac:dyDescent="0.25">
      <c r="A907">
        <v>128000</v>
      </c>
    </row>
    <row r="908" spans="1:1" x14ac:dyDescent="0.25">
      <c r="A908">
        <v>255000</v>
      </c>
    </row>
    <row r="909" spans="1:1" x14ac:dyDescent="0.25">
      <c r="A909">
        <v>250000</v>
      </c>
    </row>
    <row r="910" spans="1:1" x14ac:dyDescent="0.25">
      <c r="A910">
        <v>131000</v>
      </c>
    </row>
    <row r="911" spans="1:1" x14ac:dyDescent="0.25">
      <c r="A911">
        <v>174000</v>
      </c>
    </row>
    <row r="912" spans="1:1" x14ac:dyDescent="0.25">
      <c r="A912">
        <v>154300</v>
      </c>
    </row>
    <row r="913" spans="1:1" x14ac:dyDescent="0.25">
      <c r="A913">
        <v>143500</v>
      </c>
    </row>
    <row r="914" spans="1:1" x14ac:dyDescent="0.25">
      <c r="A914">
        <v>88000</v>
      </c>
    </row>
    <row r="915" spans="1:1" x14ac:dyDescent="0.25">
      <c r="A915">
        <v>145000</v>
      </c>
    </row>
    <row r="916" spans="1:1" x14ac:dyDescent="0.25">
      <c r="A916">
        <v>173733</v>
      </c>
    </row>
    <row r="917" spans="1:1" x14ac:dyDescent="0.25">
      <c r="A917">
        <v>75000</v>
      </c>
    </row>
    <row r="918" spans="1:1" x14ac:dyDescent="0.25">
      <c r="A918">
        <v>35311</v>
      </c>
    </row>
    <row r="919" spans="1:1" x14ac:dyDescent="0.25">
      <c r="A919">
        <v>135000</v>
      </c>
    </row>
    <row r="920" spans="1:1" x14ac:dyDescent="0.25">
      <c r="A920">
        <v>238000</v>
      </c>
    </row>
    <row r="921" spans="1:1" x14ac:dyDescent="0.25">
      <c r="A921">
        <v>176500</v>
      </c>
    </row>
    <row r="922" spans="1:1" x14ac:dyDescent="0.25">
      <c r="A922">
        <v>201000</v>
      </c>
    </row>
    <row r="923" spans="1:1" x14ac:dyDescent="0.25">
      <c r="A923">
        <v>145900</v>
      </c>
    </row>
    <row r="924" spans="1:1" x14ac:dyDescent="0.25">
      <c r="A924">
        <v>169990</v>
      </c>
    </row>
    <row r="925" spans="1:1" x14ac:dyDescent="0.25">
      <c r="A925">
        <v>193000</v>
      </c>
    </row>
    <row r="926" spans="1:1" x14ac:dyDescent="0.25">
      <c r="A926">
        <v>207500</v>
      </c>
    </row>
    <row r="927" spans="1:1" x14ac:dyDescent="0.25">
      <c r="A927">
        <v>175000</v>
      </c>
    </row>
    <row r="928" spans="1:1" x14ac:dyDescent="0.25">
      <c r="A928">
        <v>285000</v>
      </c>
    </row>
    <row r="929" spans="1:1" x14ac:dyDescent="0.25">
      <c r="A929">
        <v>176000</v>
      </c>
    </row>
    <row r="930" spans="1:1" x14ac:dyDescent="0.25">
      <c r="A930">
        <v>236500</v>
      </c>
    </row>
    <row r="931" spans="1:1" x14ac:dyDescent="0.25">
      <c r="A931">
        <v>222000</v>
      </c>
    </row>
    <row r="932" spans="1:1" x14ac:dyDescent="0.25">
      <c r="A932">
        <v>201000</v>
      </c>
    </row>
    <row r="933" spans="1:1" x14ac:dyDescent="0.25">
      <c r="A933">
        <v>117500</v>
      </c>
    </row>
    <row r="934" spans="1:1" x14ac:dyDescent="0.25">
      <c r="A934">
        <v>320000</v>
      </c>
    </row>
    <row r="935" spans="1:1" x14ac:dyDescent="0.25">
      <c r="A935">
        <v>190000</v>
      </c>
    </row>
    <row r="936" spans="1:1" x14ac:dyDescent="0.25">
      <c r="A936">
        <v>242000</v>
      </c>
    </row>
    <row r="937" spans="1:1" x14ac:dyDescent="0.25">
      <c r="A937">
        <v>79900</v>
      </c>
    </row>
    <row r="938" spans="1:1" x14ac:dyDescent="0.25">
      <c r="A938">
        <v>184900</v>
      </c>
    </row>
    <row r="939" spans="1:1" x14ac:dyDescent="0.25">
      <c r="A939">
        <v>253000</v>
      </c>
    </row>
    <row r="940" spans="1:1" x14ac:dyDescent="0.25">
      <c r="A940">
        <v>239799</v>
      </c>
    </row>
    <row r="941" spans="1:1" x14ac:dyDescent="0.25">
      <c r="A941">
        <v>244400</v>
      </c>
    </row>
    <row r="942" spans="1:1" x14ac:dyDescent="0.25">
      <c r="A942">
        <v>150900</v>
      </c>
    </row>
    <row r="943" spans="1:1" x14ac:dyDescent="0.25">
      <c r="A943">
        <v>214000</v>
      </c>
    </row>
    <row r="944" spans="1:1" x14ac:dyDescent="0.25">
      <c r="A944">
        <v>150000</v>
      </c>
    </row>
    <row r="945" spans="1:1" x14ac:dyDescent="0.25">
      <c r="A945">
        <v>143000</v>
      </c>
    </row>
    <row r="946" spans="1:1" x14ac:dyDescent="0.25">
      <c r="A946">
        <v>137500</v>
      </c>
    </row>
    <row r="947" spans="1:1" x14ac:dyDescent="0.25">
      <c r="A947">
        <v>124900</v>
      </c>
    </row>
    <row r="948" spans="1:1" x14ac:dyDescent="0.25">
      <c r="A948">
        <v>143000</v>
      </c>
    </row>
    <row r="949" spans="1:1" x14ac:dyDescent="0.25">
      <c r="A949">
        <v>270000</v>
      </c>
    </row>
    <row r="950" spans="1:1" x14ac:dyDescent="0.25">
      <c r="A950">
        <v>192500</v>
      </c>
    </row>
    <row r="951" spans="1:1" x14ac:dyDescent="0.25">
      <c r="A951">
        <v>197500</v>
      </c>
    </row>
    <row r="952" spans="1:1" x14ac:dyDescent="0.25">
      <c r="A952">
        <v>129000</v>
      </c>
    </row>
    <row r="953" spans="1:1" x14ac:dyDescent="0.25">
      <c r="A953">
        <v>119900</v>
      </c>
    </row>
    <row r="954" spans="1:1" x14ac:dyDescent="0.25">
      <c r="A954">
        <v>133900</v>
      </c>
    </row>
    <row r="955" spans="1:1" x14ac:dyDescent="0.25">
      <c r="A955">
        <v>172000</v>
      </c>
    </row>
    <row r="956" spans="1:1" x14ac:dyDescent="0.25">
      <c r="A956">
        <v>127500</v>
      </c>
    </row>
    <row r="957" spans="1:1" x14ac:dyDescent="0.25">
      <c r="A957">
        <v>145000</v>
      </c>
    </row>
    <row r="958" spans="1:1" x14ac:dyDescent="0.25">
      <c r="A958">
        <v>124000</v>
      </c>
    </row>
    <row r="959" spans="1:1" x14ac:dyDescent="0.25">
      <c r="A959">
        <v>132000</v>
      </c>
    </row>
    <row r="960" spans="1:1" x14ac:dyDescent="0.25">
      <c r="A960">
        <v>185000</v>
      </c>
    </row>
    <row r="961" spans="1:1" x14ac:dyDescent="0.25">
      <c r="A961">
        <v>155000</v>
      </c>
    </row>
    <row r="962" spans="1:1" x14ac:dyDescent="0.25">
      <c r="A962">
        <v>116500</v>
      </c>
    </row>
    <row r="963" spans="1:1" x14ac:dyDescent="0.25">
      <c r="A963">
        <v>272000</v>
      </c>
    </row>
    <row r="964" spans="1:1" x14ac:dyDescent="0.25">
      <c r="A964">
        <v>155000</v>
      </c>
    </row>
    <row r="965" spans="1:1" x14ac:dyDescent="0.25">
      <c r="A965">
        <v>239000</v>
      </c>
    </row>
    <row r="966" spans="1:1" x14ac:dyDescent="0.25">
      <c r="A966">
        <v>214900</v>
      </c>
    </row>
    <row r="967" spans="1:1" x14ac:dyDescent="0.25">
      <c r="A967">
        <v>178900</v>
      </c>
    </row>
    <row r="968" spans="1:1" x14ac:dyDescent="0.25">
      <c r="A968">
        <v>160000</v>
      </c>
    </row>
    <row r="969" spans="1:1" x14ac:dyDescent="0.25">
      <c r="A969">
        <v>135000</v>
      </c>
    </row>
    <row r="970" spans="1:1" x14ac:dyDescent="0.25">
      <c r="A970">
        <v>37900</v>
      </c>
    </row>
    <row r="971" spans="1:1" x14ac:dyDescent="0.25">
      <c r="A971">
        <v>140000</v>
      </c>
    </row>
    <row r="972" spans="1:1" x14ac:dyDescent="0.25">
      <c r="A972">
        <v>135000</v>
      </c>
    </row>
    <row r="973" spans="1:1" x14ac:dyDescent="0.25">
      <c r="A973">
        <v>173000</v>
      </c>
    </row>
    <row r="974" spans="1:1" x14ac:dyDescent="0.25">
      <c r="A974">
        <v>99500</v>
      </c>
    </row>
    <row r="975" spans="1:1" x14ac:dyDescent="0.25">
      <c r="A975">
        <v>182000</v>
      </c>
    </row>
    <row r="976" spans="1:1" x14ac:dyDescent="0.25">
      <c r="A976">
        <v>167500</v>
      </c>
    </row>
    <row r="977" spans="1:1" x14ac:dyDescent="0.25">
      <c r="A977">
        <v>165000</v>
      </c>
    </row>
    <row r="978" spans="1:1" x14ac:dyDescent="0.25">
      <c r="A978">
        <v>85500</v>
      </c>
    </row>
    <row r="979" spans="1:1" x14ac:dyDescent="0.25">
      <c r="A979">
        <v>199900</v>
      </c>
    </row>
    <row r="980" spans="1:1" x14ac:dyDescent="0.25">
      <c r="A980">
        <v>110000</v>
      </c>
    </row>
    <row r="981" spans="1:1" x14ac:dyDescent="0.25">
      <c r="A981">
        <v>139000</v>
      </c>
    </row>
    <row r="982" spans="1:1" x14ac:dyDescent="0.25">
      <c r="A982">
        <v>178400</v>
      </c>
    </row>
    <row r="983" spans="1:1" x14ac:dyDescent="0.25">
      <c r="A983">
        <v>336000</v>
      </c>
    </row>
    <row r="984" spans="1:1" x14ac:dyDescent="0.25">
      <c r="A984">
        <v>159895</v>
      </c>
    </row>
    <row r="985" spans="1:1" x14ac:dyDescent="0.25">
      <c r="A985">
        <v>255900</v>
      </c>
    </row>
    <row r="986" spans="1:1" x14ac:dyDescent="0.25">
      <c r="A986">
        <v>126000</v>
      </c>
    </row>
    <row r="987" spans="1:1" x14ac:dyDescent="0.25">
      <c r="A987">
        <v>125000</v>
      </c>
    </row>
    <row r="988" spans="1:1" x14ac:dyDescent="0.25">
      <c r="A988">
        <v>117000</v>
      </c>
    </row>
    <row r="989" spans="1:1" x14ac:dyDescent="0.25">
      <c r="A989">
        <v>395192</v>
      </c>
    </row>
    <row r="990" spans="1:1" x14ac:dyDescent="0.25">
      <c r="A990">
        <v>195000</v>
      </c>
    </row>
    <row r="991" spans="1:1" x14ac:dyDescent="0.25">
      <c r="A991">
        <v>197000</v>
      </c>
    </row>
    <row r="992" spans="1:1" x14ac:dyDescent="0.25">
      <c r="A992">
        <v>348000</v>
      </c>
    </row>
    <row r="993" spans="1:1" x14ac:dyDescent="0.25">
      <c r="A993">
        <v>168000</v>
      </c>
    </row>
    <row r="994" spans="1:1" x14ac:dyDescent="0.25">
      <c r="A994">
        <v>187000</v>
      </c>
    </row>
    <row r="995" spans="1:1" x14ac:dyDescent="0.25">
      <c r="A995">
        <v>173900</v>
      </c>
    </row>
    <row r="996" spans="1:1" x14ac:dyDescent="0.25">
      <c r="A996">
        <v>337500</v>
      </c>
    </row>
    <row r="997" spans="1:1" x14ac:dyDescent="0.25">
      <c r="A997">
        <v>121600</v>
      </c>
    </row>
    <row r="998" spans="1:1" x14ac:dyDescent="0.25">
      <c r="A998">
        <v>136500</v>
      </c>
    </row>
    <row r="999" spans="1:1" x14ac:dyDescent="0.25">
      <c r="A999">
        <v>185000</v>
      </c>
    </row>
    <row r="1000" spans="1:1" x14ac:dyDescent="0.25">
      <c r="A1000">
        <v>91000</v>
      </c>
    </row>
    <row r="1001" spans="1:1" x14ac:dyDescent="0.25">
      <c r="A1001">
        <v>206000</v>
      </c>
    </row>
    <row r="1002" spans="1:1" x14ac:dyDescent="0.25">
      <c r="A1002">
        <v>82000</v>
      </c>
    </row>
    <row r="1003" spans="1:1" x14ac:dyDescent="0.25">
      <c r="A1003">
        <v>86000</v>
      </c>
    </row>
    <row r="1004" spans="1:1" x14ac:dyDescent="0.25">
      <c r="A1004">
        <v>232000</v>
      </c>
    </row>
    <row r="1005" spans="1:1" x14ac:dyDescent="0.25">
      <c r="A1005">
        <v>136905</v>
      </c>
    </row>
    <row r="1006" spans="1:1" x14ac:dyDescent="0.25">
      <c r="A1006">
        <v>181000</v>
      </c>
    </row>
    <row r="1007" spans="1:1" x14ac:dyDescent="0.25">
      <c r="A1007">
        <v>149900</v>
      </c>
    </row>
    <row r="1008" spans="1:1" x14ac:dyDescent="0.25">
      <c r="A1008">
        <v>163500</v>
      </c>
    </row>
    <row r="1009" spans="1:1" x14ac:dyDescent="0.25">
      <c r="A1009">
        <v>88000</v>
      </c>
    </row>
    <row r="1010" spans="1:1" x14ac:dyDescent="0.25">
      <c r="A1010">
        <v>240000</v>
      </c>
    </row>
    <row r="1011" spans="1:1" x14ac:dyDescent="0.25">
      <c r="A1011">
        <v>102000</v>
      </c>
    </row>
    <row r="1012" spans="1:1" x14ac:dyDescent="0.25">
      <c r="A1012">
        <v>135000</v>
      </c>
    </row>
    <row r="1013" spans="1:1" x14ac:dyDescent="0.25">
      <c r="A1013">
        <v>100000</v>
      </c>
    </row>
    <row r="1014" spans="1:1" x14ac:dyDescent="0.25">
      <c r="A1014">
        <v>165000</v>
      </c>
    </row>
    <row r="1015" spans="1:1" x14ac:dyDescent="0.25">
      <c r="A1015">
        <v>85000</v>
      </c>
    </row>
    <row r="1016" spans="1:1" x14ac:dyDescent="0.25">
      <c r="A1016">
        <v>119200</v>
      </c>
    </row>
    <row r="1017" spans="1:1" x14ac:dyDescent="0.25">
      <c r="A1017">
        <v>227000</v>
      </c>
    </row>
    <row r="1018" spans="1:1" x14ac:dyDescent="0.25">
      <c r="A1018">
        <v>203000</v>
      </c>
    </row>
    <row r="1019" spans="1:1" x14ac:dyDescent="0.25">
      <c r="A1019">
        <v>187500</v>
      </c>
    </row>
    <row r="1020" spans="1:1" x14ac:dyDescent="0.25">
      <c r="A1020">
        <v>160000</v>
      </c>
    </row>
    <row r="1021" spans="1:1" x14ac:dyDescent="0.25">
      <c r="A1021">
        <v>213490</v>
      </c>
    </row>
    <row r="1022" spans="1:1" x14ac:dyDescent="0.25">
      <c r="A1022">
        <v>176000</v>
      </c>
    </row>
    <row r="1023" spans="1:1" x14ac:dyDescent="0.25">
      <c r="A1023">
        <v>194000</v>
      </c>
    </row>
    <row r="1024" spans="1:1" x14ac:dyDescent="0.25">
      <c r="A1024">
        <v>87000</v>
      </c>
    </row>
    <row r="1025" spans="1:1" x14ac:dyDescent="0.25">
      <c r="A1025">
        <v>191000</v>
      </c>
    </row>
    <row r="1026" spans="1:1" x14ac:dyDescent="0.25">
      <c r="A1026">
        <v>287000</v>
      </c>
    </row>
    <row r="1027" spans="1:1" x14ac:dyDescent="0.25">
      <c r="A1027">
        <v>112500</v>
      </c>
    </row>
    <row r="1028" spans="1:1" x14ac:dyDescent="0.25">
      <c r="A1028">
        <v>167500</v>
      </c>
    </row>
    <row r="1029" spans="1:1" x14ac:dyDescent="0.25">
      <c r="A1029">
        <v>293077</v>
      </c>
    </row>
    <row r="1030" spans="1:1" x14ac:dyDescent="0.25">
      <c r="A1030">
        <v>105000</v>
      </c>
    </row>
    <row r="1031" spans="1:1" x14ac:dyDescent="0.25">
      <c r="A1031">
        <v>118000</v>
      </c>
    </row>
    <row r="1032" spans="1:1" x14ac:dyDescent="0.25">
      <c r="A1032">
        <v>160000</v>
      </c>
    </row>
    <row r="1033" spans="1:1" x14ac:dyDescent="0.25">
      <c r="A1033">
        <v>197000</v>
      </c>
    </row>
    <row r="1034" spans="1:1" x14ac:dyDescent="0.25">
      <c r="A1034">
        <v>310000</v>
      </c>
    </row>
    <row r="1035" spans="1:1" x14ac:dyDescent="0.25">
      <c r="A1035">
        <v>230000</v>
      </c>
    </row>
    <row r="1036" spans="1:1" x14ac:dyDescent="0.25">
      <c r="A1036">
        <v>119750</v>
      </c>
    </row>
    <row r="1037" spans="1:1" x14ac:dyDescent="0.25">
      <c r="A1037">
        <v>84000</v>
      </c>
    </row>
    <row r="1038" spans="1:1" x14ac:dyDescent="0.25">
      <c r="A1038">
        <v>315500</v>
      </c>
    </row>
    <row r="1039" spans="1:1" x14ac:dyDescent="0.25">
      <c r="A1039">
        <v>287000</v>
      </c>
    </row>
    <row r="1040" spans="1:1" x14ac:dyDescent="0.25">
      <c r="A1040">
        <v>97000</v>
      </c>
    </row>
    <row r="1041" spans="1:1" x14ac:dyDescent="0.25">
      <c r="A1041">
        <v>80000</v>
      </c>
    </row>
    <row r="1042" spans="1:1" x14ac:dyDescent="0.25">
      <c r="A1042">
        <v>155000</v>
      </c>
    </row>
    <row r="1043" spans="1:1" x14ac:dyDescent="0.25">
      <c r="A1043">
        <v>173000</v>
      </c>
    </row>
    <row r="1044" spans="1:1" x14ac:dyDescent="0.25">
      <c r="A1044">
        <v>196000</v>
      </c>
    </row>
    <row r="1045" spans="1:1" x14ac:dyDescent="0.25">
      <c r="A1045">
        <v>262280</v>
      </c>
    </row>
    <row r="1046" spans="1:1" x14ac:dyDescent="0.25">
      <c r="A1046">
        <v>278000</v>
      </c>
    </row>
    <row r="1047" spans="1:1" x14ac:dyDescent="0.25">
      <c r="A1047">
        <v>139600</v>
      </c>
    </row>
    <row r="1048" spans="1:1" x14ac:dyDescent="0.25">
      <c r="A1048">
        <v>556581</v>
      </c>
    </row>
    <row r="1049" spans="1:1" x14ac:dyDescent="0.25">
      <c r="A1049">
        <v>145000</v>
      </c>
    </row>
    <row r="1050" spans="1:1" x14ac:dyDescent="0.25">
      <c r="A1050">
        <v>115000</v>
      </c>
    </row>
    <row r="1051" spans="1:1" x14ac:dyDescent="0.25">
      <c r="A1051">
        <v>84900</v>
      </c>
    </row>
    <row r="1052" spans="1:1" x14ac:dyDescent="0.25">
      <c r="A1052">
        <v>176485</v>
      </c>
    </row>
    <row r="1053" spans="1:1" x14ac:dyDescent="0.25">
      <c r="A1053">
        <v>200141</v>
      </c>
    </row>
    <row r="1054" spans="1:1" x14ac:dyDescent="0.25">
      <c r="A1054">
        <v>165000</v>
      </c>
    </row>
    <row r="1055" spans="1:1" x14ac:dyDescent="0.25">
      <c r="A1055">
        <v>144500</v>
      </c>
    </row>
    <row r="1056" spans="1:1" x14ac:dyDescent="0.25">
      <c r="A1056">
        <v>255000</v>
      </c>
    </row>
    <row r="1057" spans="1:1" x14ac:dyDescent="0.25">
      <c r="A1057">
        <v>180000</v>
      </c>
    </row>
    <row r="1058" spans="1:1" x14ac:dyDescent="0.25">
      <c r="A1058">
        <v>185850</v>
      </c>
    </row>
    <row r="1059" spans="1:1" x14ac:dyDescent="0.25">
      <c r="A1059">
        <v>248000</v>
      </c>
    </row>
    <row r="1060" spans="1:1" x14ac:dyDescent="0.25">
      <c r="A1060">
        <v>335000</v>
      </c>
    </row>
    <row r="1061" spans="1:1" x14ac:dyDescent="0.25">
      <c r="A1061">
        <v>220000</v>
      </c>
    </row>
    <row r="1062" spans="1:1" x14ac:dyDescent="0.25">
      <c r="A1062">
        <v>213500</v>
      </c>
    </row>
    <row r="1063" spans="1:1" x14ac:dyDescent="0.25">
      <c r="A1063">
        <v>81000</v>
      </c>
    </row>
    <row r="1064" spans="1:1" x14ac:dyDescent="0.25">
      <c r="A1064">
        <v>90000</v>
      </c>
    </row>
    <row r="1065" spans="1:1" x14ac:dyDescent="0.25">
      <c r="A1065">
        <v>110500</v>
      </c>
    </row>
    <row r="1066" spans="1:1" x14ac:dyDescent="0.25">
      <c r="A1066">
        <v>154000</v>
      </c>
    </row>
    <row r="1067" spans="1:1" x14ac:dyDescent="0.25">
      <c r="A1067">
        <v>328000</v>
      </c>
    </row>
    <row r="1068" spans="1:1" x14ac:dyDescent="0.25">
      <c r="A1068">
        <v>178000</v>
      </c>
    </row>
    <row r="1069" spans="1:1" x14ac:dyDescent="0.25">
      <c r="A1069">
        <v>167900</v>
      </c>
    </row>
    <row r="1070" spans="1:1" x14ac:dyDescent="0.25">
      <c r="A1070">
        <v>151400</v>
      </c>
    </row>
    <row r="1071" spans="1:1" x14ac:dyDescent="0.25">
      <c r="A1071">
        <v>135000</v>
      </c>
    </row>
    <row r="1072" spans="1:1" x14ac:dyDescent="0.25">
      <c r="A1072">
        <v>135000</v>
      </c>
    </row>
    <row r="1073" spans="1:1" x14ac:dyDescent="0.25">
      <c r="A1073">
        <v>154000</v>
      </c>
    </row>
    <row r="1074" spans="1:1" x14ac:dyDescent="0.25">
      <c r="A1074">
        <v>91500</v>
      </c>
    </row>
    <row r="1075" spans="1:1" x14ac:dyDescent="0.25">
      <c r="A1075">
        <v>159500</v>
      </c>
    </row>
    <row r="1076" spans="1:1" x14ac:dyDescent="0.25">
      <c r="A1076">
        <v>194000</v>
      </c>
    </row>
    <row r="1077" spans="1:1" x14ac:dyDescent="0.25">
      <c r="A1077">
        <v>219500</v>
      </c>
    </row>
    <row r="1078" spans="1:1" x14ac:dyDescent="0.25">
      <c r="A1078">
        <v>170000</v>
      </c>
    </row>
    <row r="1079" spans="1:1" x14ac:dyDescent="0.25">
      <c r="A1079">
        <v>138800</v>
      </c>
    </row>
    <row r="1080" spans="1:1" x14ac:dyDescent="0.25">
      <c r="A1080">
        <v>155900</v>
      </c>
    </row>
    <row r="1081" spans="1:1" x14ac:dyDescent="0.25">
      <c r="A1081">
        <v>126000</v>
      </c>
    </row>
    <row r="1082" spans="1:1" x14ac:dyDescent="0.25">
      <c r="A1082">
        <v>145000</v>
      </c>
    </row>
    <row r="1083" spans="1:1" x14ac:dyDescent="0.25">
      <c r="A1083">
        <v>133000</v>
      </c>
    </row>
    <row r="1084" spans="1:1" x14ac:dyDescent="0.25">
      <c r="A1084">
        <v>192000</v>
      </c>
    </row>
    <row r="1085" spans="1:1" x14ac:dyDescent="0.25">
      <c r="A1085">
        <v>160000</v>
      </c>
    </row>
    <row r="1086" spans="1:1" x14ac:dyDescent="0.25">
      <c r="A1086">
        <v>187500</v>
      </c>
    </row>
    <row r="1087" spans="1:1" x14ac:dyDescent="0.25">
      <c r="A1087">
        <v>147000</v>
      </c>
    </row>
    <row r="1088" spans="1:1" x14ac:dyDescent="0.25">
      <c r="A1088">
        <v>83500</v>
      </c>
    </row>
    <row r="1089" spans="1:1" x14ac:dyDescent="0.25">
      <c r="A1089">
        <v>252000</v>
      </c>
    </row>
    <row r="1090" spans="1:1" x14ac:dyDescent="0.25">
      <c r="A1090">
        <v>137500</v>
      </c>
    </row>
    <row r="1091" spans="1:1" x14ac:dyDescent="0.25">
      <c r="A1091">
        <v>197000</v>
      </c>
    </row>
    <row r="1092" spans="1:1" x14ac:dyDescent="0.25">
      <c r="A1092">
        <v>92900</v>
      </c>
    </row>
    <row r="1093" spans="1:1" x14ac:dyDescent="0.25">
      <c r="A1093">
        <v>160000</v>
      </c>
    </row>
    <row r="1094" spans="1:1" x14ac:dyDescent="0.25">
      <c r="A1094">
        <v>136500</v>
      </c>
    </row>
    <row r="1095" spans="1:1" x14ac:dyDescent="0.25">
      <c r="A1095">
        <v>146000</v>
      </c>
    </row>
    <row r="1096" spans="1:1" x14ac:dyDescent="0.25">
      <c r="A1096">
        <v>129000</v>
      </c>
    </row>
    <row r="1097" spans="1:1" x14ac:dyDescent="0.25">
      <c r="A1097">
        <v>176432</v>
      </c>
    </row>
    <row r="1098" spans="1:1" x14ac:dyDescent="0.25">
      <c r="A1098">
        <v>127000</v>
      </c>
    </row>
    <row r="1099" spans="1:1" x14ac:dyDescent="0.25">
      <c r="A1099">
        <v>170000</v>
      </c>
    </row>
    <row r="1100" spans="1:1" x14ac:dyDescent="0.25">
      <c r="A1100">
        <v>128000</v>
      </c>
    </row>
    <row r="1101" spans="1:1" x14ac:dyDescent="0.25">
      <c r="A1101">
        <v>157000</v>
      </c>
    </row>
    <row r="1102" spans="1:1" x14ac:dyDescent="0.25">
      <c r="A1102">
        <v>60000</v>
      </c>
    </row>
    <row r="1103" spans="1:1" x14ac:dyDescent="0.25">
      <c r="A1103">
        <v>119500</v>
      </c>
    </row>
    <row r="1104" spans="1:1" x14ac:dyDescent="0.25">
      <c r="A1104">
        <v>135000</v>
      </c>
    </row>
    <row r="1105" spans="1:1" x14ac:dyDescent="0.25">
      <c r="A1105">
        <v>159500</v>
      </c>
    </row>
    <row r="1106" spans="1:1" x14ac:dyDescent="0.25">
      <c r="A1106">
        <v>106000</v>
      </c>
    </row>
    <row r="1107" spans="1:1" x14ac:dyDescent="0.25">
      <c r="A1107">
        <v>325000</v>
      </c>
    </row>
    <row r="1108" spans="1:1" x14ac:dyDescent="0.25">
      <c r="A1108">
        <v>179900</v>
      </c>
    </row>
    <row r="1109" spans="1:1" x14ac:dyDescent="0.25">
      <c r="A1109">
        <v>274725</v>
      </c>
    </row>
    <row r="1110" spans="1:1" x14ac:dyDescent="0.25">
      <c r="A1110">
        <v>181000</v>
      </c>
    </row>
    <row r="1111" spans="1:1" x14ac:dyDescent="0.25">
      <c r="A1111">
        <v>280000</v>
      </c>
    </row>
    <row r="1112" spans="1:1" x14ac:dyDescent="0.25">
      <c r="A1112">
        <v>188000</v>
      </c>
    </row>
    <row r="1113" spans="1:1" x14ac:dyDescent="0.25">
      <c r="A1113">
        <v>205000</v>
      </c>
    </row>
    <row r="1114" spans="1:1" x14ac:dyDescent="0.25">
      <c r="A1114">
        <v>129900</v>
      </c>
    </row>
    <row r="1115" spans="1:1" x14ac:dyDescent="0.25">
      <c r="A1115">
        <v>134500</v>
      </c>
    </row>
    <row r="1116" spans="1:1" x14ac:dyDescent="0.25">
      <c r="A1116">
        <v>117000</v>
      </c>
    </row>
    <row r="1117" spans="1:1" x14ac:dyDescent="0.25">
      <c r="A1117">
        <v>318000</v>
      </c>
    </row>
    <row r="1118" spans="1:1" x14ac:dyDescent="0.25">
      <c r="A1118">
        <v>184100</v>
      </c>
    </row>
    <row r="1119" spans="1:1" x14ac:dyDescent="0.25">
      <c r="A1119">
        <v>130000</v>
      </c>
    </row>
    <row r="1120" spans="1:1" x14ac:dyDescent="0.25">
      <c r="A1120">
        <v>140000</v>
      </c>
    </row>
    <row r="1121" spans="1:1" x14ac:dyDescent="0.25">
      <c r="A1121">
        <v>133700</v>
      </c>
    </row>
    <row r="1122" spans="1:1" x14ac:dyDescent="0.25">
      <c r="A1122">
        <v>118400</v>
      </c>
    </row>
    <row r="1123" spans="1:1" x14ac:dyDescent="0.25">
      <c r="A1123">
        <v>212900</v>
      </c>
    </row>
    <row r="1124" spans="1:1" x14ac:dyDescent="0.25">
      <c r="A1124">
        <v>112000</v>
      </c>
    </row>
    <row r="1125" spans="1:1" x14ac:dyDescent="0.25">
      <c r="A1125">
        <v>118000</v>
      </c>
    </row>
    <row r="1126" spans="1:1" x14ac:dyDescent="0.25">
      <c r="A1126">
        <v>163900</v>
      </c>
    </row>
    <row r="1127" spans="1:1" x14ac:dyDescent="0.25">
      <c r="A1127">
        <v>115000</v>
      </c>
    </row>
    <row r="1128" spans="1:1" x14ac:dyDescent="0.25">
      <c r="A1128">
        <v>174000</v>
      </c>
    </row>
    <row r="1129" spans="1:1" x14ac:dyDescent="0.25">
      <c r="A1129">
        <v>259000</v>
      </c>
    </row>
    <row r="1130" spans="1:1" x14ac:dyDescent="0.25">
      <c r="A1130">
        <v>215000</v>
      </c>
    </row>
    <row r="1131" spans="1:1" x14ac:dyDescent="0.25">
      <c r="A1131">
        <v>140000</v>
      </c>
    </row>
    <row r="1132" spans="1:1" x14ac:dyDescent="0.25">
      <c r="A1132">
        <v>135000</v>
      </c>
    </row>
    <row r="1133" spans="1:1" x14ac:dyDescent="0.25">
      <c r="A1133">
        <v>93500</v>
      </c>
    </row>
    <row r="1134" spans="1:1" x14ac:dyDescent="0.25">
      <c r="A1134">
        <v>117500</v>
      </c>
    </row>
    <row r="1135" spans="1:1" x14ac:dyDescent="0.25">
      <c r="A1135">
        <v>239500</v>
      </c>
    </row>
    <row r="1136" spans="1:1" x14ac:dyDescent="0.25">
      <c r="A1136">
        <v>169000</v>
      </c>
    </row>
    <row r="1137" spans="1:1" x14ac:dyDescent="0.25">
      <c r="A1137">
        <v>102000</v>
      </c>
    </row>
    <row r="1138" spans="1:1" x14ac:dyDescent="0.25">
      <c r="A1138">
        <v>119000</v>
      </c>
    </row>
    <row r="1139" spans="1:1" x14ac:dyDescent="0.25">
      <c r="A1139">
        <v>94000</v>
      </c>
    </row>
    <row r="1140" spans="1:1" x14ac:dyDescent="0.25">
      <c r="A1140">
        <v>196000</v>
      </c>
    </row>
    <row r="1141" spans="1:1" x14ac:dyDescent="0.25">
      <c r="A1141">
        <v>144000</v>
      </c>
    </row>
    <row r="1142" spans="1:1" x14ac:dyDescent="0.25">
      <c r="A1142">
        <v>139000</v>
      </c>
    </row>
    <row r="1143" spans="1:1" x14ac:dyDescent="0.25">
      <c r="A1143">
        <v>197500</v>
      </c>
    </row>
    <row r="1144" spans="1:1" x14ac:dyDescent="0.25">
      <c r="A1144">
        <v>424870</v>
      </c>
    </row>
    <row r="1145" spans="1:1" x14ac:dyDescent="0.25">
      <c r="A1145">
        <v>80000</v>
      </c>
    </row>
    <row r="1146" spans="1:1" x14ac:dyDescent="0.25">
      <c r="A1146">
        <v>80000</v>
      </c>
    </row>
    <row r="1147" spans="1:1" x14ac:dyDescent="0.25">
      <c r="A1147">
        <v>149000</v>
      </c>
    </row>
    <row r="1148" spans="1:1" x14ac:dyDescent="0.25">
      <c r="A1148">
        <v>180000</v>
      </c>
    </row>
    <row r="1149" spans="1:1" x14ac:dyDescent="0.25">
      <c r="A1149">
        <v>174500</v>
      </c>
    </row>
    <row r="1150" spans="1:1" x14ac:dyDescent="0.25">
      <c r="A1150">
        <v>116900</v>
      </c>
    </row>
    <row r="1151" spans="1:1" x14ac:dyDescent="0.25">
      <c r="A1151">
        <v>143000</v>
      </c>
    </row>
    <row r="1152" spans="1:1" x14ac:dyDescent="0.25">
      <c r="A1152">
        <v>124000</v>
      </c>
    </row>
    <row r="1153" spans="1:1" x14ac:dyDescent="0.25">
      <c r="A1153">
        <v>149900</v>
      </c>
    </row>
    <row r="1154" spans="1:1" x14ac:dyDescent="0.25">
      <c r="A1154">
        <v>230000</v>
      </c>
    </row>
    <row r="1155" spans="1:1" x14ac:dyDescent="0.25">
      <c r="A1155">
        <v>120500</v>
      </c>
    </row>
    <row r="1156" spans="1:1" x14ac:dyDescent="0.25">
      <c r="A1156">
        <v>201800</v>
      </c>
    </row>
    <row r="1157" spans="1:1" x14ac:dyDescent="0.25">
      <c r="A1157">
        <v>218000</v>
      </c>
    </row>
    <row r="1158" spans="1:1" x14ac:dyDescent="0.25">
      <c r="A1158">
        <v>179900</v>
      </c>
    </row>
    <row r="1159" spans="1:1" x14ac:dyDescent="0.25">
      <c r="A1159">
        <v>230000</v>
      </c>
    </row>
    <row r="1160" spans="1:1" x14ac:dyDescent="0.25">
      <c r="A1160">
        <v>235128</v>
      </c>
    </row>
    <row r="1161" spans="1:1" x14ac:dyDescent="0.25">
      <c r="A1161">
        <v>185000</v>
      </c>
    </row>
    <row r="1162" spans="1:1" x14ac:dyDescent="0.25">
      <c r="A1162">
        <v>146000</v>
      </c>
    </row>
    <row r="1163" spans="1:1" x14ac:dyDescent="0.25">
      <c r="A1163">
        <v>224000</v>
      </c>
    </row>
    <row r="1164" spans="1:1" x14ac:dyDescent="0.25">
      <c r="A1164">
        <v>129000</v>
      </c>
    </row>
    <row r="1165" spans="1:1" x14ac:dyDescent="0.25">
      <c r="A1165">
        <v>108959</v>
      </c>
    </row>
    <row r="1166" spans="1:1" x14ac:dyDescent="0.25">
      <c r="A1166">
        <v>194000</v>
      </c>
    </row>
    <row r="1167" spans="1:1" x14ac:dyDescent="0.25">
      <c r="A1167">
        <v>233170</v>
      </c>
    </row>
    <row r="1168" spans="1:1" x14ac:dyDescent="0.25">
      <c r="A1168">
        <v>245350</v>
      </c>
    </row>
    <row r="1169" spans="1:1" x14ac:dyDescent="0.25">
      <c r="A1169">
        <v>173000</v>
      </c>
    </row>
    <row r="1170" spans="1:1" x14ac:dyDescent="0.25">
      <c r="A1170">
        <v>235000</v>
      </c>
    </row>
    <row r="1171" spans="1:1" x14ac:dyDescent="0.25">
      <c r="A1171">
        <v>625000</v>
      </c>
    </row>
    <row r="1172" spans="1:1" x14ac:dyDescent="0.25">
      <c r="A1172">
        <v>171000</v>
      </c>
    </row>
    <row r="1173" spans="1:1" x14ac:dyDescent="0.25">
      <c r="A1173">
        <v>163000</v>
      </c>
    </row>
    <row r="1174" spans="1:1" x14ac:dyDescent="0.25">
      <c r="A1174">
        <v>171900</v>
      </c>
    </row>
    <row r="1175" spans="1:1" x14ac:dyDescent="0.25">
      <c r="A1175">
        <v>200500</v>
      </c>
    </row>
    <row r="1176" spans="1:1" x14ac:dyDescent="0.25">
      <c r="A1176">
        <v>239000</v>
      </c>
    </row>
    <row r="1177" spans="1:1" x14ac:dyDescent="0.25">
      <c r="A1177">
        <v>285000</v>
      </c>
    </row>
    <row r="1178" spans="1:1" x14ac:dyDescent="0.25">
      <c r="A1178">
        <v>119500</v>
      </c>
    </row>
    <row r="1179" spans="1:1" x14ac:dyDescent="0.25">
      <c r="A1179">
        <v>115000</v>
      </c>
    </row>
    <row r="1180" spans="1:1" x14ac:dyDescent="0.25">
      <c r="A1180">
        <v>154900</v>
      </c>
    </row>
    <row r="1181" spans="1:1" x14ac:dyDescent="0.25">
      <c r="A1181">
        <v>93000</v>
      </c>
    </row>
    <row r="1182" spans="1:1" x14ac:dyDescent="0.25">
      <c r="A1182">
        <v>250000</v>
      </c>
    </row>
    <row r="1183" spans="1:1" x14ac:dyDescent="0.25">
      <c r="A1183">
        <v>392500</v>
      </c>
    </row>
    <row r="1184" spans="1:1" x14ac:dyDescent="0.25">
      <c r="A1184">
        <v>745000</v>
      </c>
    </row>
    <row r="1185" spans="1:1" x14ac:dyDescent="0.25">
      <c r="A1185">
        <v>120000</v>
      </c>
    </row>
    <row r="1186" spans="1:1" x14ac:dyDescent="0.25">
      <c r="A1186">
        <v>186700</v>
      </c>
    </row>
    <row r="1187" spans="1:1" x14ac:dyDescent="0.25">
      <c r="A1187">
        <v>104900</v>
      </c>
    </row>
    <row r="1188" spans="1:1" x14ac:dyDescent="0.25">
      <c r="A1188">
        <v>95000</v>
      </c>
    </row>
    <row r="1189" spans="1:1" x14ac:dyDescent="0.25">
      <c r="A1189">
        <v>262000</v>
      </c>
    </row>
    <row r="1190" spans="1:1" x14ac:dyDescent="0.25">
      <c r="A1190">
        <v>195000</v>
      </c>
    </row>
    <row r="1191" spans="1:1" x14ac:dyDescent="0.25">
      <c r="A1191">
        <v>189000</v>
      </c>
    </row>
    <row r="1192" spans="1:1" x14ac:dyDescent="0.25">
      <c r="A1192">
        <v>168000</v>
      </c>
    </row>
    <row r="1193" spans="1:1" x14ac:dyDescent="0.25">
      <c r="A1193">
        <v>174000</v>
      </c>
    </row>
    <row r="1194" spans="1:1" x14ac:dyDescent="0.25">
      <c r="A1194">
        <v>125000</v>
      </c>
    </row>
    <row r="1195" spans="1:1" x14ac:dyDescent="0.25">
      <c r="A1195">
        <v>165000</v>
      </c>
    </row>
    <row r="1196" spans="1:1" x14ac:dyDescent="0.25">
      <c r="A1196">
        <v>158000</v>
      </c>
    </row>
    <row r="1197" spans="1:1" x14ac:dyDescent="0.25">
      <c r="A1197">
        <v>176000</v>
      </c>
    </row>
    <row r="1198" spans="1:1" x14ac:dyDescent="0.25">
      <c r="A1198">
        <v>219210</v>
      </c>
    </row>
    <row r="1199" spans="1:1" x14ac:dyDescent="0.25">
      <c r="A1199">
        <v>144000</v>
      </c>
    </row>
    <row r="1200" spans="1:1" x14ac:dyDescent="0.25">
      <c r="A1200">
        <v>178000</v>
      </c>
    </row>
    <row r="1201" spans="1:1" x14ac:dyDescent="0.25">
      <c r="A1201">
        <v>148000</v>
      </c>
    </row>
    <row r="1202" spans="1:1" x14ac:dyDescent="0.25">
      <c r="A1202">
        <v>116050</v>
      </c>
    </row>
    <row r="1203" spans="1:1" x14ac:dyDescent="0.25">
      <c r="A1203">
        <v>197900</v>
      </c>
    </row>
    <row r="1204" spans="1:1" x14ac:dyDescent="0.25">
      <c r="A1204">
        <v>117000</v>
      </c>
    </row>
    <row r="1205" spans="1:1" x14ac:dyDescent="0.25">
      <c r="A1205">
        <v>213000</v>
      </c>
    </row>
    <row r="1206" spans="1:1" x14ac:dyDescent="0.25">
      <c r="A1206">
        <v>153500</v>
      </c>
    </row>
    <row r="1207" spans="1:1" x14ac:dyDescent="0.25">
      <c r="A1207">
        <v>271900</v>
      </c>
    </row>
    <row r="1208" spans="1:1" x14ac:dyDescent="0.25">
      <c r="A1208">
        <v>107000</v>
      </c>
    </row>
    <row r="1209" spans="1:1" x14ac:dyDescent="0.25">
      <c r="A1209">
        <v>200000</v>
      </c>
    </row>
    <row r="1210" spans="1:1" x14ac:dyDescent="0.25">
      <c r="A1210">
        <v>140000</v>
      </c>
    </row>
    <row r="1211" spans="1:1" x14ac:dyDescent="0.25">
      <c r="A1211">
        <v>290000</v>
      </c>
    </row>
    <row r="1212" spans="1:1" x14ac:dyDescent="0.25">
      <c r="A1212">
        <v>189000</v>
      </c>
    </row>
    <row r="1213" spans="1:1" x14ac:dyDescent="0.25">
      <c r="A1213">
        <v>164000</v>
      </c>
    </row>
    <row r="1214" spans="1:1" x14ac:dyDescent="0.25">
      <c r="A1214">
        <v>113000</v>
      </c>
    </row>
    <row r="1215" spans="1:1" x14ac:dyDescent="0.25">
      <c r="A1215">
        <v>145000</v>
      </c>
    </row>
    <row r="1216" spans="1:1" x14ac:dyDescent="0.25">
      <c r="A1216">
        <v>134500</v>
      </c>
    </row>
    <row r="1217" spans="1:1" x14ac:dyDescent="0.25">
      <c r="A1217">
        <v>125000</v>
      </c>
    </row>
    <row r="1218" spans="1:1" x14ac:dyDescent="0.25">
      <c r="A1218">
        <v>112000</v>
      </c>
    </row>
    <row r="1219" spans="1:1" x14ac:dyDescent="0.25">
      <c r="A1219">
        <v>229456</v>
      </c>
    </row>
    <row r="1220" spans="1:1" x14ac:dyDescent="0.25">
      <c r="A1220">
        <v>80500</v>
      </c>
    </row>
    <row r="1221" spans="1:1" x14ac:dyDescent="0.25">
      <c r="A1221">
        <v>91500</v>
      </c>
    </row>
    <row r="1222" spans="1:1" x14ac:dyDescent="0.25">
      <c r="A1222">
        <v>115000</v>
      </c>
    </row>
    <row r="1223" spans="1:1" x14ac:dyDescent="0.25">
      <c r="A1223">
        <v>134000</v>
      </c>
    </row>
    <row r="1224" spans="1:1" x14ac:dyDescent="0.25">
      <c r="A1224">
        <v>143000</v>
      </c>
    </row>
    <row r="1225" spans="1:1" x14ac:dyDescent="0.25">
      <c r="A1225">
        <v>137900</v>
      </c>
    </row>
    <row r="1226" spans="1:1" x14ac:dyDescent="0.25">
      <c r="A1226">
        <v>184000</v>
      </c>
    </row>
    <row r="1227" spans="1:1" x14ac:dyDescent="0.25">
      <c r="A1227">
        <v>145000</v>
      </c>
    </row>
    <row r="1228" spans="1:1" x14ac:dyDescent="0.25">
      <c r="A1228">
        <v>214000</v>
      </c>
    </row>
    <row r="1229" spans="1:1" x14ac:dyDescent="0.25">
      <c r="A1229">
        <v>147000</v>
      </c>
    </row>
    <row r="1230" spans="1:1" x14ac:dyDescent="0.25">
      <c r="A1230">
        <v>367294</v>
      </c>
    </row>
    <row r="1231" spans="1:1" x14ac:dyDescent="0.25">
      <c r="A1231">
        <v>127000</v>
      </c>
    </row>
    <row r="1232" spans="1:1" x14ac:dyDescent="0.25">
      <c r="A1232">
        <v>190000</v>
      </c>
    </row>
    <row r="1233" spans="1:1" x14ac:dyDescent="0.25">
      <c r="A1233">
        <v>132500</v>
      </c>
    </row>
    <row r="1234" spans="1:1" x14ac:dyDescent="0.25">
      <c r="A1234">
        <v>101800</v>
      </c>
    </row>
    <row r="1235" spans="1:1" x14ac:dyDescent="0.25">
      <c r="A1235">
        <v>142000</v>
      </c>
    </row>
    <row r="1236" spans="1:1" x14ac:dyDescent="0.25">
      <c r="A1236">
        <v>130000</v>
      </c>
    </row>
    <row r="1237" spans="1:1" x14ac:dyDescent="0.25">
      <c r="A1237">
        <v>138887</v>
      </c>
    </row>
    <row r="1238" spans="1:1" x14ac:dyDescent="0.25">
      <c r="A1238">
        <v>175500</v>
      </c>
    </row>
    <row r="1239" spans="1:1" x14ac:dyDescent="0.25">
      <c r="A1239">
        <v>195000</v>
      </c>
    </row>
    <row r="1240" spans="1:1" x14ac:dyDescent="0.25">
      <c r="A1240">
        <v>142500</v>
      </c>
    </row>
    <row r="1241" spans="1:1" x14ac:dyDescent="0.25">
      <c r="A1241">
        <v>265900</v>
      </c>
    </row>
    <row r="1242" spans="1:1" x14ac:dyDescent="0.25">
      <c r="A1242">
        <v>224900</v>
      </c>
    </row>
    <row r="1243" spans="1:1" x14ac:dyDescent="0.25">
      <c r="A1243">
        <v>248328</v>
      </c>
    </row>
    <row r="1244" spans="1:1" x14ac:dyDescent="0.25">
      <c r="A1244">
        <v>170000</v>
      </c>
    </row>
    <row r="1245" spans="1:1" x14ac:dyDescent="0.25">
      <c r="A1245">
        <v>465000</v>
      </c>
    </row>
    <row r="1246" spans="1:1" x14ac:dyDescent="0.25">
      <c r="A1246">
        <v>230000</v>
      </c>
    </row>
    <row r="1247" spans="1:1" x14ac:dyDescent="0.25">
      <c r="A1247">
        <v>178000</v>
      </c>
    </row>
    <row r="1248" spans="1:1" x14ac:dyDescent="0.25">
      <c r="A1248">
        <v>186500</v>
      </c>
    </row>
    <row r="1249" spans="1:1" x14ac:dyDescent="0.25">
      <c r="A1249">
        <v>169900</v>
      </c>
    </row>
    <row r="1250" spans="1:1" x14ac:dyDescent="0.25">
      <c r="A1250">
        <v>129500</v>
      </c>
    </row>
    <row r="1251" spans="1:1" x14ac:dyDescent="0.25">
      <c r="A1251">
        <v>119000</v>
      </c>
    </row>
    <row r="1252" spans="1:1" x14ac:dyDescent="0.25">
      <c r="A1252">
        <v>244000</v>
      </c>
    </row>
    <row r="1253" spans="1:1" x14ac:dyDescent="0.25">
      <c r="A1253">
        <v>171750</v>
      </c>
    </row>
    <row r="1254" spans="1:1" x14ac:dyDescent="0.25">
      <c r="A1254">
        <v>130000</v>
      </c>
    </row>
    <row r="1255" spans="1:1" x14ac:dyDescent="0.25">
      <c r="A1255">
        <v>294000</v>
      </c>
    </row>
    <row r="1256" spans="1:1" x14ac:dyDescent="0.25">
      <c r="A1256">
        <v>165400</v>
      </c>
    </row>
    <row r="1257" spans="1:1" x14ac:dyDescent="0.25">
      <c r="A1257">
        <v>127500</v>
      </c>
    </row>
    <row r="1258" spans="1:1" x14ac:dyDescent="0.25">
      <c r="A1258">
        <v>301500</v>
      </c>
    </row>
    <row r="1259" spans="1:1" x14ac:dyDescent="0.25">
      <c r="A1259">
        <v>99900</v>
      </c>
    </row>
    <row r="1260" spans="1:1" x14ac:dyDescent="0.25">
      <c r="A1260">
        <v>190000</v>
      </c>
    </row>
    <row r="1261" spans="1:1" x14ac:dyDescent="0.25">
      <c r="A1261">
        <v>151000</v>
      </c>
    </row>
    <row r="1262" spans="1:1" x14ac:dyDescent="0.25">
      <c r="A1262">
        <v>181000</v>
      </c>
    </row>
    <row r="1263" spans="1:1" x14ac:dyDescent="0.25">
      <c r="A1263">
        <v>128900</v>
      </c>
    </row>
    <row r="1264" spans="1:1" x14ac:dyDescent="0.25">
      <c r="A1264">
        <v>161500</v>
      </c>
    </row>
    <row r="1265" spans="1:1" x14ac:dyDescent="0.25">
      <c r="A1265">
        <v>180500</v>
      </c>
    </row>
    <row r="1266" spans="1:1" x14ac:dyDescent="0.25">
      <c r="A1266">
        <v>181000</v>
      </c>
    </row>
    <row r="1267" spans="1:1" x14ac:dyDescent="0.25">
      <c r="A1267">
        <v>183900</v>
      </c>
    </row>
    <row r="1268" spans="1:1" x14ac:dyDescent="0.25">
      <c r="A1268">
        <v>122000</v>
      </c>
    </row>
    <row r="1269" spans="1:1" x14ac:dyDescent="0.25">
      <c r="A1269">
        <v>378500</v>
      </c>
    </row>
    <row r="1270" spans="1:1" x14ac:dyDescent="0.25">
      <c r="A1270">
        <v>381000</v>
      </c>
    </row>
    <row r="1271" spans="1:1" x14ac:dyDescent="0.25">
      <c r="A1271">
        <v>144000</v>
      </c>
    </row>
    <row r="1272" spans="1:1" x14ac:dyDescent="0.25">
      <c r="A1272">
        <v>260000</v>
      </c>
    </row>
    <row r="1273" spans="1:1" x14ac:dyDescent="0.25">
      <c r="A1273">
        <v>185750</v>
      </c>
    </row>
    <row r="1274" spans="1:1" x14ac:dyDescent="0.25">
      <c r="A1274">
        <v>137000</v>
      </c>
    </row>
    <row r="1275" spans="1:1" x14ac:dyDescent="0.25">
      <c r="A1275">
        <v>177000</v>
      </c>
    </row>
    <row r="1276" spans="1:1" x14ac:dyDescent="0.25">
      <c r="A1276">
        <v>139000</v>
      </c>
    </row>
    <row r="1277" spans="1:1" x14ac:dyDescent="0.25">
      <c r="A1277">
        <v>137000</v>
      </c>
    </row>
    <row r="1278" spans="1:1" x14ac:dyDescent="0.25">
      <c r="A1278">
        <v>162000</v>
      </c>
    </row>
    <row r="1279" spans="1:1" x14ac:dyDescent="0.25">
      <c r="A1279">
        <v>197900</v>
      </c>
    </row>
    <row r="1280" spans="1:1" x14ac:dyDescent="0.25">
      <c r="A1280">
        <v>237000</v>
      </c>
    </row>
    <row r="1281" spans="1:1" x14ac:dyDescent="0.25">
      <c r="A1281">
        <v>68400</v>
      </c>
    </row>
    <row r="1282" spans="1:1" x14ac:dyDescent="0.25">
      <c r="A1282">
        <v>227000</v>
      </c>
    </row>
    <row r="1283" spans="1:1" x14ac:dyDescent="0.25">
      <c r="A1283">
        <v>180000</v>
      </c>
    </row>
    <row r="1284" spans="1:1" x14ac:dyDescent="0.25">
      <c r="A1284">
        <v>150500</v>
      </c>
    </row>
    <row r="1285" spans="1:1" x14ac:dyDescent="0.25">
      <c r="A1285">
        <v>139000</v>
      </c>
    </row>
    <row r="1286" spans="1:1" x14ac:dyDescent="0.25">
      <c r="A1286">
        <v>169000</v>
      </c>
    </row>
    <row r="1287" spans="1:1" x14ac:dyDescent="0.25">
      <c r="A1287">
        <v>132500</v>
      </c>
    </row>
    <row r="1288" spans="1:1" x14ac:dyDescent="0.25">
      <c r="A1288">
        <v>143000</v>
      </c>
    </row>
    <row r="1289" spans="1:1" x14ac:dyDescent="0.25">
      <c r="A1289">
        <v>190000</v>
      </c>
    </row>
    <row r="1290" spans="1:1" x14ac:dyDescent="0.25">
      <c r="A1290">
        <v>278000</v>
      </c>
    </row>
    <row r="1291" spans="1:1" x14ac:dyDescent="0.25">
      <c r="A1291">
        <v>281000</v>
      </c>
    </row>
    <row r="1292" spans="1:1" x14ac:dyDescent="0.25">
      <c r="A1292">
        <v>180500</v>
      </c>
    </row>
    <row r="1293" spans="1:1" x14ac:dyDescent="0.25">
      <c r="A1293">
        <v>119500</v>
      </c>
    </row>
    <row r="1294" spans="1:1" x14ac:dyDescent="0.25">
      <c r="A1294">
        <v>107500</v>
      </c>
    </row>
    <row r="1295" spans="1:1" x14ac:dyDescent="0.25">
      <c r="A1295">
        <v>162900</v>
      </c>
    </row>
    <row r="1296" spans="1:1" x14ac:dyDescent="0.25">
      <c r="A1296">
        <v>115000</v>
      </c>
    </row>
    <row r="1297" spans="1:1" x14ac:dyDescent="0.25">
      <c r="A1297">
        <v>138500</v>
      </c>
    </row>
    <row r="1298" spans="1:1" x14ac:dyDescent="0.25">
      <c r="A1298">
        <v>155000</v>
      </c>
    </row>
    <row r="1299" spans="1:1" x14ac:dyDescent="0.25">
      <c r="A1299">
        <v>140000</v>
      </c>
    </row>
    <row r="1300" spans="1:1" x14ac:dyDescent="0.25">
      <c r="A1300">
        <v>160000</v>
      </c>
    </row>
    <row r="1301" spans="1:1" x14ac:dyDescent="0.25">
      <c r="A1301">
        <v>154000</v>
      </c>
    </row>
    <row r="1302" spans="1:1" x14ac:dyDescent="0.25">
      <c r="A1302">
        <v>225000</v>
      </c>
    </row>
    <row r="1303" spans="1:1" x14ac:dyDescent="0.25">
      <c r="A1303">
        <v>177500</v>
      </c>
    </row>
    <row r="1304" spans="1:1" x14ac:dyDescent="0.25">
      <c r="A1304">
        <v>290000</v>
      </c>
    </row>
    <row r="1305" spans="1:1" x14ac:dyDescent="0.25">
      <c r="A1305">
        <v>232000</v>
      </c>
    </row>
    <row r="1306" spans="1:1" x14ac:dyDescent="0.25">
      <c r="A1306">
        <v>130000</v>
      </c>
    </row>
    <row r="1307" spans="1:1" x14ac:dyDescent="0.25">
      <c r="A1307">
        <v>325000</v>
      </c>
    </row>
    <row r="1308" spans="1:1" x14ac:dyDescent="0.25">
      <c r="A1308">
        <v>202500</v>
      </c>
    </row>
    <row r="1309" spans="1:1" x14ac:dyDescent="0.25">
      <c r="A1309">
        <v>138000</v>
      </c>
    </row>
    <row r="1310" spans="1:1" x14ac:dyDescent="0.25">
      <c r="A1310">
        <v>147000</v>
      </c>
    </row>
    <row r="1311" spans="1:1" x14ac:dyDescent="0.25">
      <c r="A1311">
        <v>179200</v>
      </c>
    </row>
    <row r="1312" spans="1:1" x14ac:dyDescent="0.25">
      <c r="A1312">
        <v>335000</v>
      </c>
    </row>
    <row r="1313" spans="1:1" x14ac:dyDescent="0.25">
      <c r="A1313">
        <v>203000</v>
      </c>
    </row>
    <row r="1314" spans="1:1" x14ac:dyDescent="0.25">
      <c r="A1314">
        <v>302000</v>
      </c>
    </row>
    <row r="1315" spans="1:1" x14ac:dyDescent="0.25">
      <c r="A1315">
        <v>333168</v>
      </c>
    </row>
    <row r="1316" spans="1:1" x14ac:dyDescent="0.25">
      <c r="A1316">
        <v>119000</v>
      </c>
    </row>
    <row r="1317" spans="1:1" x14ac:dyDescent="0.25">
      <c r="A1317">
        <v>206900</v>
      </c>
    </row>
    <row r="1318" spans="1:1" x14ac:dyDescent="0.25">
      <c r="A1318">
        <v>295493</v>
      </c>
    </row>
    <row r="1319" spans="1:1" x14ac:dyDescent="0.25">
      <c r="A1319">
        <v>208900</v>
      </c>
    </row>
    <row r="1320" spans="1:1" x14ac:dyDescent="0.25">
      <c r="A1320">
        <v>275000</v>
      </c>
    </row>
    <row r="1321" spans="1:1" x14ac:dyDescent="0.25">
      <c r="A1321">
        <v>111000</v>
      </c>
    </row>
    <row r="1322" spans="1:1" x14ac:dyDescent="0.25">
      <c r="A1322">
        <v>156500</v>
      </c>
    </row>
    <row r="1323" spans="1:1" x14ac:dyDescent="0.25">
      <c r="A1323">
        <v>72500</v>
      </c>
    </row>
    <row r="1324" spans="1:1" x14ac:dyDescent="0.25">
      <c r="A1324">
        <v>190000</v>
      </c>
    </row>
    <row r="1325" spans="1:1" x14ac:dyDescent="0.25">
      <c r="A1325">
        <v>82500</v>
      </c>
    </row>
    <row r="1326" spans="1:1" x14ac:dyDescent="0.25">
      <c r="A1326">
        <v>147000</v>
      </c>
    </row>
    <row r="1327" spans="1:1" x14ac:dyDescent="0.25">
      <c r="A1327">
        <v>55000</v>
      </c>
    </row>
    <row r="1328" spans="1:1" x14ac:dyDescent="0.25">
      <c r="A1328">
        <v>79000</v>
      </c>
    </row>
    <row r="1329" spans="1:1" x14ac:dyDescent="0.25">
      <c r="A1329">
        <v>130500</v>
      </c>
    </row>
    <row r="1330" spans="1:1" x14ac:dyDescent="0.25">
      <c r="A1330">
        <v>256000</v>
      </c>
    </row>
    <row r="1331" spans="1:1" x14ac:dyDescent="0.25">
      <c r="A1331">
        <v>176500</v>
      </c>
    </row>
    <row r="1332" spans="1:1" x14ac:dyDescent="0.25">
      <c r="A1332">
        <v>227000</v>
      </c>
    </row>
    <row r="1333" spans="1:1" x14ac:dyDescent="0.25">
      <c r="A1333">
        <v>132500</v>
      </c>
    </row>
    <row r="1334" spans="1:1" x14ac:dyDescent="0.25">
      <c r="A1334">
        <v>100000</v>
      </c>
    </row>
    <row r="1335" spans="1:1" x14ac:dyDescent="0.25">
      <c r="A1335">
        <v>125500</v>
      </c>
    </row>
    <row r="1336" spans="1:1" x14ac:dyDescent="0.25">
      <c r="A1336">
        <v>125000</v>
      </c>
    </row>
    <row r="1337" spans="1:1" x14ac:dyDescent="0.25">
      <c r="A1337">
        <v>167900</v>
      </c>
    </row>
    <row r="1338" spans="1:1" x14ac:dyDescent="0.25">
      <c r="A1338">
        <v>135000</v>
      </c>
    </row>
    <row r="1339" spans="1:1" x14ac:dyDescent="0.25">
      <c r="A1339">
        <v>52500</v>
      </c>
    </row>
    <row r="1340" spans="1:1" x14ac:dyDescent="0.25">
      <c r="A1340">
        <v>200000</v>
      </c>
    </row>
    <row r="1341" spans="1:1" x14ac:dyDescent="0.25">
      <c r="A1341">
        <v>128500</v>
      </c>
    </row>
    <row r="1342" spans="1:1" x14ac:dyDescent="0.25">
      <c r="A1342">
        <v>123000</v>
      </c>
    </row>
    <row r="1343" spans="1:1" x14ac:dyDescent="0.25">
      <c r="A1343">
        <v>155000</v>
      </c>
    </row>
    <row r="1344" spans="1:1" x14ac:dyDescent="0.25">
      <c r="A1344">
        <v>228500</v>
      </c>
    </row>
    <row r="1345" spans="1:1" x14ac:dyDescent="0.25">
      <c r="A1345">
        <v>177000</v>
      </c>
    </row>
    <row r="1346" spans="1:1" x14ac:dyDescent="0.25">
      <c r="A1346">
        <v>155835</v>
      </c>
    </row>
    <row r="1347" spans="1:1" x14ac:dyDescent="0.25">
      <c r="A1347">
        <v>108500</v>
      </c>
    </row>
    <row r="1348" spans="1:1" x14ac:dyDescent="0.25">
      <c r="A1348">
        <v>262500</v>
      </c>
    </row>
    <row r="1349" spans="1:1" x14ac:dyDescent="0.25">
      <c r="A1349">
        <v>283463</v>
      </c>
    </row>
    <row r="1350" spans="1:1" x14ac:dyDescent="0.25">
      <c r="A1350">
        <v>215000</v>
      </c>
    </row>
    <row r="1351" spans="1:1" x14ac:dyDescent="0.25">
      <c r="A1351">
        <v>122000</v>
      </c>
    </row>
    <row r="1352" spans="1:1" x14ac:dyDescent="0.25">
      <c r="A1352">
        <v>200000</v>
      </c>
    </row>
    <row r="1353" spans="1:1" x14ac:dyDescent="0.25">
      <c r="A1353">
        <v>171000</v>
      </c>
    </row>
    <row r="1354" spans="1:1" x14ac:dyDescent="0.25">
      <c r="A1354">
        <v>134900</v>
      </c>
    </row>
    <row r="1355" spans="1:1" x14ac:dyDescent="0.25">
      <c r="A1355">
        <v>410000</v>
      </c>
    </row>
    <row r="1356" spans="1:1" x14ac:dyDescent="0.25">
      <c r="A1356">
        <v>235000</v>
      </c>
    </row>
    <row r="1357" spans="1:1" x14ac:dyDescent="0.25">
      <c r="A1357">
        <v>170000</v>
      </c>
    </row>
    <row r="1358" spans="1:1" x14ac:dyDescent="0.25">
      <c r="A1358">
        <v>110000</v>
      </c>
    </row>
    <row r="1359" spans="1:1" x14ac:dyDescent="0.25">
      <c r="A1359">
        <v>149900</v>
      </c>
    </row>
    <row r="1360" spans="1:1" x14ac:dyDescent="0.25">
      <c r="A1360">
        <v>177500</v>
      </c>
    </row>
    <row r="1361" spans="1:1" x14ac:dyDescent="0.25">
      <c r="A1361">
        <v>315000</v>
      </c>
    </row>
    <row r="1362" spans="1:1" x14ac:dyDescent="0.25">
      <c r="A1362">
        <v>189000</v>
      </c>
    </row>
    <row r="1363" spans="1:1" x14ac:dyDescent="0.25">
      <c r="A1363">
        <v>260000</v>
      </c>
    </row>
    <row r="1364" spans="1:1" x14ac:dyDescent="0.25">
      <c r="A1364">
        <v>104900</v>
      </c>
    </row>
    <row r="1365" spans="1:1" x14ac:dyDescent="0.25">
      <c r="A1365">
        <v>156932</v>
      </c>
    </row>
    <row r="1366" spans="1:1" x14ac:dyDescent="0.25">
      <c r="A1366">
        <v>144152</v>
      </c>
    </row>
    <row r="1367" spans="1:1" x14ac:dyDescent="0.25">
      <c r="A1367">
        <v>216000</v>
      </c>
    </row>
    <row r="1368" spans="1:1" x14ac:dyDescent="0.25">
      <c r="A1368">
        <v>193000</v>
      </c>
    </row>
    <row r="1369" spans="1:1" x14ac:dyDescent="0.25">
      <c r="A1369">
        <v>127000</v>
      </c>
    </row>
    <row r="1370" spans="1:1" x14ac:dyDescent="0.25">
      <c r="A1370">
        <v>144000</v>
      </c>
    </row>
    <row r="1371" spans="1:1" x14ac:dyDescent="0.25">
      <c r="A1371">
        <v>232000</v>
      </c>
    </row>
    <row r="1372" spans="1:1" x14ac:dyDescent="0.25">
      <c r="A1372">
        <v>105000</v>
      </c>
    </row>
    <row r="1373" spans="1:1" x14ac:dyDescent="0.25">
      <c r="A1373">
        <v>165500</v>
      </c>
    </row>
    <row r="1374" spans="1:1" x14ac:dyDescent="0.25">
      <c r="A1374">
        <v>274300</v>
      </c>
    </row>
    <row r="1375" spans="1:1" x14ac:dyDescent="0.25">
      <c r="A1375">
        <v>466500</v>
      </c>
    </row>
    <row r="1376" spans="1:1" x14ac:dyDescent="0.25">
      <c r="A1376">
        <v>250000</v>
      </c>
    </row>
    <row r="1377" spans="1:1" x14ac:dyDescent="0.25">
      <c r="A1377">
        <v>239000</v>
      </c>
    </row>
    <row r="1378" spans="1:1" x14ac:dyDescent="0.25">
      <c r="A1378">
        <v>91000</v>
      </c>
    </row>
    <row r="1379" spans="1:1" x14ac:dyDescent="0.25">
      <c r="A1379">
        <v>117000</v>
      </c>
    </row>
    <row r="1380" spans="1:1" x14ac:dyDescent="0.25">
      <c r="A1380">
        <v>83000</v>
      </c>
    </row>
    <row r="1381" spans="1:1" x14ac:dyDescent="0.25">
      <c r="A1381">
        <v>167500</v>
      </c>
    </row>
    <row r="1382" spans="1:1" x14ac:dyDescent="0.25">
      <c r="A1382">
        <v>58500</v>
      </c>
    </row>
    <row r="1383" spans="1:1" x14ac:dyDescent="0.25">
      <c r="A1383">
        <v>237500</v>
      </c>
    </row>
    <row r="1384" spans="1:1" x14ac:dyDescent="0.25">
      <c r="A1384">
        <v>157000</v>
      </c>
    </row>
    <row r="1385" spans="1:1" x14ac:dyDescent="0.25">
      <c r="A1385">
        <v>112000</v>
      </c>
    </row>
    <row r="1386" spans="1:1" x14ac:dyDescent="0.25">
      <c r="A1386">
        <v>105000</v>
      </c>
    </row>
    <row r="1387" spans="1:1" x14ac:dyDescent="0.25">
      <c r="A1387">
        <v>125500</v>
      </c>
    </row>
    <row r="1388" spans="1:1" x14ac:dyDescent="0.25">
      <c r="A1388">
        <v>250000</v>
      </c>
    </row>
    <row r="1389" spans="1:1" x14ac:dyDescent="0.25">
      <c r="A1389">
        <v>136000</v>
      </c>
    </row>
    <row r="1390" spans="1:1" x14ac:dyDescent="0.25">
      <c r="A1390">
        <v>377500</v>
      </c>
    </row>
    <row r="1391" spans="1:1" x14ac:dyDescent="0.25">
      <c r="A1391">
        <v>131000</v>
      </c>
    </row>
    <row r="1392" spans="1:1" x14ac:dyDescent="0.25">
      <c r="A1392">
        <v>235000</v>
      </c>
    </row>
    <row r="1393" spans="1:1" x14ac:dyDescent="0.25">
      <c r="A1393">
        <v>124000</v>
      </c>
    </row>
    <row r="1394" spans="1:1" x14ac:dyDescent="0.25">
      <c r="A1394">
        <v>123000</v>
      </c>
    </row>
    <row r="1395" spans="1:1" x14ac:dyDescent="0.25">
      <c r="A1395">
        <v>163000</v>
      </c>
    </row>
    <row r="1396" spans="1:1" x14ac:dyDescent="0.25">
      <c r="A1396">
        <v>246578</v>
      </c>
    </row>
    <row r="1397" spans="1:1" x14ac:dyDescent="0.25">
      <c r="A1397">
        <v>281213</v>
      </c>
    </row>
    <row r="1398" spans="1:1" x14ac:dyDescent="0.25">
      <c r="A1398">
        <v>160000</v>
      </c>
    </row>
    <row r="1399" spans="1:1" x14ac:dyDescent="0.25">
      <c r="A1399">
        <v>137500</v>
      </c>
    </row>
    <row r="1400" spans="1:1" x14ac:dyDescent="0.25">
      <c r="A1400">
        <v>138000</v>
      </c>
    </row>
    <row r="1401" spans="1:1" x14ac:dyDescent="0.25">
      <c r="A1401">
        <v>137450</v>
      </c>
    </row>
    <row r="1402" spans="1:1" x14ac:dyDescent="0.25">
      <c r="A1402">
        <v>120000</v>
      </c>
    </row>
    <row r="1403" spans="1:1" x14ac:dyDescent="0.25">
      <c r="A1403">
        <v>193000</v>
      </c>
    </row>
    <row r="1404" spans="1:1" x14ac:dyDescent="0.25">
      <c r="A1404">
        <v>193879</v>
      </c>
    </row>
    <row r="1405" spans="1:1" x14ac:dyDescent="0.25">
      <c r="A1405">
        <v>282922</v>
      </c>
    </row>
    <row r="1406" spans="1:1" x14ac:dyDescent="0.25">
      <c r="A1406">
        <v>105000</v>
      </c>
    </row>
    <row r="1407" spans="1:1" x14ac:dyDescent="0.25">
      <c r="A1407">
        <v>275000</v>
      </c>
    </row>
    <row r="1408" spans="1:1" x14ac:dyDescent="0.25">
      <c r="A1408">
        <v>133000</v>
      </c>
    </row>
    <row r="1409" spans="1:1" x14ac:dyDescent="0.25">
      <c r="A1409">
        <v>112000</v>
      </c>
    </row>
    <row r="1410" spans="1:1" x14ac:dyDescent="0.25">
      <c r="A1410">
        <v>125500</v>
      </c>
    </row>
    <row r="1411" spans="1:1" x14ac:dyDescent="0.25">
      <c r="A1411">
        <v>215000</v>
      </c>
    </row>
    <row r="1412" spans="1:1" x14ac:dyDescent="0.25">
      <c r="A1412">
        <v>230000</v>
      </c>
    </row>
    <row r="1413" spans="1:1" x14ac:dyDescent="0.25">
      <c r="A1413">
        <v>140000</v>
      </c>
    </row>
    <row r="1414" spans="1:1" x14ac:dyDescent="0.25">
      <c r="A1414">
        <v>90000</v>
      </c>
    </row>
    <row r="1415" spans="1:1" x14ac:dyDescent="0.25">
      <c r="A1415">
        <v>257000</v>
      </c>
    </row>
    <row r="1416" spans="1:1" x14ac:dyDescent="0.25">
      <c r="A1416">
        <v>207000</v>
      </c>
    </row>
    <row r="1417" spans="1:1" x14ac:dyDescent="0.25">
      <c r="A1417">
        <v>175900</v>
      </c>
    </row>
    <row r="1418" spans="1:1" x14ac:dyDescent="0.25">
      <c r="A1418">
        <v>122500</v>
      </c>
    </row>
    <row r="1419" spans="1:1" x14ac:dyDescent="0.25">
      <c r="A1419">
        <v>340000</v>
      </c>
    </row>
    <row r="1420" spans="1:1" x14ac:dyDescent="0.25">
      <c r="A1420">
        <v>124000</v>
      </c>
    </row>
    <row r="1421" spans="1:1" x14ac:dyDescent="0.25">
      <c r="A1421">
        <v>223000</v>
      </c>
    </row>
    <row r="1422" spans="1:1" x14ac:dyDescent="0.25">
      <c r="A1422">
        <v>179900</v>
      </c>
    </row>
    <row r="1423" spans="1:1" x14ac:dyDescent="0.25">
      <c r="A1423">
        <v>127500</v>
      </c>
    </row>
    <row r="1424" spans="1:1" x14ac:dyDescent="0.25">
      <c r="A1424">
        <v>136500</v>
      </c>
    </row>
    <row r="1425" spans="1:1" x14ac:dyDescent="0.25">
      <c r="A1425">
        <v>274970</v>
      </c>
    </row>
    <row r="1426" spans="1:1" x14ac:dyDescent="0.25">
      <c r="A1426">
        <v>144000</v>
      </c>
    </row>
    <row r="1427" spans="1:1" x14ac:dyDescent="0.25">
      <c r="A1427">
        <v>142000</v>
      </c>
    </row>
    <row r="1428" spans="1:1" x14ac:dyDescent="0.25">
      <c r="A1428">
        <v>271000</v>
      </c>
    </row>
    <row r="1429" spans="1:1" x14ac:dyDescent="0.25">
      <c r="A1429">
        <v>140000</v>
      </c>
    </row>
    <row r="1430" spans="1:1" x14ac:dyDescent="0.25">
      <c r="A1430">
        <v>119000</v>
      </c>
    </row>
    <row r="1431" spans="1:1" x14ac:dyDescent="0.25">
      <c r="A1431">
        <v>182900</v>
      </c>
    </row>
    <row r="1432" spans="1:1" x14ac:dyDescent="0.25">
      <c r="A1432">
        <v>192140</v>
      </c>
    </row>
    <row r="1433" spans="1:1" x14ac:dyDescent="0.25">
      <c r="A1433">
        <v>143750</v>
      </c>
    </row>
    <row r="1434" spans="1:1" x14ac:dyDescent="0.25">
      <c r="A1434">
        <v>64500</v>
      </c>
    </row>
    <row r="1435" spans="1:1" x14ac:dyDescent="0.25">
      <c r="A1435">
        <v>186500</v>
      </c>
    </row>
    <row r="1436" spans="1:1" x14ac:dyDescent="0.25">
      <c r="A1436">
        <v>160000</v>
      </c>
    </row>
    <row r="1437" spans="1:1" x14ac:dyDescent="0.25">
      <c r="A1437">
        <v>174000</v>
      </c>
    </row>
    <row r="1438" spans="1:1" x14ac:dyDescent="0.25">
      <c r="A1438">
        <v>120500</v>
      </c>
    </row>
    <row r="1439" spans="1:1" x14ac:dyDescent="0.25">
      <c r="A1439">
        <v>394617</v>
      </c>
    </row>
    <row r="1440" spans="1:1" x14ac:dyDescent="0.25">
      <c r="A1440">
        <v>149700</v>
      </c>
    </row>
    <row r="1441" spans="1:1" x14ac:dyDescent="0.25">
      <c r="A1441">
        <v>197000</v>
      </c>
    </row>
    <row r="1442" spans="1:1" x14ac:dyDescent="0.25">
      <c r="A1442">
        <v>191000</v>
      </c>
    </row>
    <row r="1443" spans="1:1" x14ac:dyDescent="0.25">
      <c r="A1443">
        <v>149300</v>
      </c>
    </row>
    <row r="1444" spans="1:1" x14ac:dyDescent="0.25">
      <c r="A1444">
        <v>310000</v>
      </c>
    </row>
    <row r="1445" spans="1:1" x14ac:dyDescent="0.25">
      <c r="A1445">
        <v>121000</v>
      </c>
    </row>
    <row r="1446" spans="1:1" x14ac:dyDescent="0.25">
      <c r="A1446">
        <v>179600</v>
      </c>
    </row>
    <row r="1447" spans="1:1" x14ac:dyDescent="0.25">
      <c r="A1447">
        <v>129000</v>
      </c>
    </row>
    <row r="1448" spans="1:1" x14ac:dyDescent="0.25">
      <c r="A1448">
        <v>157900</v>
      </c>
    </row>
    <row r="1449" spans="1:1" x14ac:dyDescent="0.25">
      <c r="A1449">
        <v>240000</v>
      </c>
    </row>
    <row r="1450" spans="1:1" x14ac:dyDescent="0.25">
      <c r="A1450">
        <v>112000</v>
      </c>
    </row>
    <row r="1451" spans="1:1" x14ac:dyDescent="0.25">
      <c r="A1451">
        <v>92000</v>
      </c>
    </row>
    <row r="1452" spans="1:1" x14ac:dyDescent="0.25">
      <c r="A1452">
        <v>136000</v>
      </c>
    </row>
    <row r="1453" spans="1:1" x14ac:dyDescent="0.25">
      <c r="A1453">
        <v>287090</v>
      </c>
    </row>
    <row r="1454" spans="1:1" x14ac:dyDescent="0.25">
      <c r="A1454">
        <v>145000</v>
      </c>
    </row>
    <row r="1455" spans="1:1" x14ac:dyDescent="0.25">
      <c r="A1455">
        <v>84500</v>
      </c>
    </row>
    <row r="1456" spans="1:1" x14ac:dyDescent="0.25">
      <c r="A1456">
        <v>185000</v>
      </c>
    </row>
    <row r="1457" spans="1:1" x14ac:dyDescent="0.25">
      <c r="A1457">
        <v>175000</v>
      </c>
    </row>
    <row r="1458" spans="1:1" x14ac:dyDescent="0.25">
      <c r="A1458">
        <v>210000</v>
      </c>
    </row>
    <row r="1459" spans="1:1" x14ac:dyDescent="0.25">
      <c r="A1459">
        <v>266500</v>
      </c>
    </row>
    <row r="1460" spans="1:1" x14ac:dyDescent="0.25">
      <c r="A1460">
        <v>142125</v>
      </c>
    </row>
    <row r="1461" spans="1:1" x14ac:dyDescent="0.25">
      <c r="A1461">
        <v>147500</v>
      </c>
    </row>
  </sheetData>
  <sortState xmlns:xlrd2="http://schemas.microsoft.com/office/spreadsheetml/2017/richdata2" ref="E3:E9">
    <sortCondition ref="E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B531-3FC6-4A5F-8DBA-02BDC02F151E}">
  <dimension ref="A1:A1461"/>
  <sheetViews>
    <sheetView workbookViewId="0">
      <selection activeCell="V46" sqref="V46"/>
    </sheetView>
  </sheetViews>
  <sheetFormatPr defaultRowHeight="15" x14ac:dyDescent="0.25"/>
  <sheetData>
    <row r="1" spans="1:1" x14ac:dyDescent="0.25">
      <c r="A1" t="s">
        <v>80</v>
      </c>
    </row>
    <row r="2" spans="1:1" x14ac:dyDescent="0.25">
      <c r="A2">
        <v>208500</v>
      </c>
    </row>
    <row r="3" spans="1:1" x14ac:dyDescent="0.25">
      <c r="A3">
        <v>181500</v>
      </c>
    </row>
    <row r="4" spans="1:1" x14ac:dyDescent="0.25">
      <c r="A4">
        <v>223500</v>
      </c>
    </row>
    <row r="5" spans="1:1" x14ac:dyDescent="0.25">
      <c r="A5">
        <v>140000</v>
      </c>
    </row>
    <row r="6" spans="1:1" x14ac:dyDescent="0.25">
      <c r="A6">
        <v>250000</v>
      </c>
    </row>
    <row r="7" spans="1:1" x14ac:dyDescent="0.25">
      <c r="A7">
        <v>143000</v>
      </c>
    </row>
    <row r="8" spans="1:1" x14ac:dyDescent="0.25">
      <c r="A8">
        <v>307000</v>
      </c>
    </row>
    <row r="9" spans="1:1" x14ac:dyDescent="0.25">
      <c r="A9">
        <v>200000</v>
      </c>
    </row>
    <row r="10" spans="1:1" x14ac:dyDescent="0.25">
      <c r="A10">
        <v>129900</v>
      </c>
    </row>
    <row r="11" spans="1:1" x14ac:dyDescent="0.25">
      <c r="A11">
        <v>118000</v>
      </c>
    </row>
    <row r="12" spans="1:1" x14ac:dyDescent="0.25">
      <c r="A12">
        <v>129500</v>
      </c>
    </row>
    <row r="13" spans="1:1" x14ac:dyDescent="0.25">
      <c r="A13">
        <v>345000</v>
      </c>
    </row>
    <row r="14" spans="1:1" x14ac:dyDescent="0.25">
      <c r="A14">
        <v>144000</v>
      </c>
    </row>
    <row r="15" spans="1:1" x14ac:dyDescent="0.25">
      <c r="A15">
        <v>279500</v>
      </c>
    </row>
    <row r="16" spans="1:1" x14ac:dyDescent="0.25">
      <c r="A16">
        <v>157000</v>
      </c>
    </row>
    <row r="17" spans="1:1" x14ac:dyDescent="0.25">
      <c r="A17">
        <v>132000</v>
      </c>
    </row>
    <row r="18" spans="1:1" x14ac:dyDescent="0.25">
      <c r="A18">
        <v>149000</v>
      </c>
    </row>
    <row r="19" spans="1:1" x14ac:dyDescent="0.25">
      <c r="A19">
        <v>90000</v>
      </c>
    </row>
    <row r="20" spans="1:1" x14ac:dyDescent="0.25">
      <c r="A20">
        <v>159000</v>
      </c>
    </row>
    <row r="21" spans="1:1" x14ac:dyDescent="0.25">
      <c r="A21">
        <v>139000</v>
      </c>
    </row>
    <row r="22" spans="1:1" x14ac:dyDescent="0.25">
      <c r="A22">
        <v>325300</v>
      </c>
    </row>
    <row r="23" spans="1:1" x14ac:dyDescent="0.25">
      <c r="A23">
        <v>139400</v>
      </c>
    </row>
    <row r="24" spans="1:1" x14ac:dyDescent="0.25">
      <c r="A24">
        <v>230000</v>
      </c>
    </row>
    <row r="25" spans="1:1" x14ac:dyDescent="0.25">
      <c r="A25">
        <v>129900</v>
      </c>
    </row>
    <row r="26" spans="1:1" x14ac:dyDescent="0.25">
      <c r="A26">
        <v>154000</v>
      </c>
    </row>
    <row r="27" spans="1:1" x14ac:dyDescent="0.25">
      <c r="A27">
        <v>256300</v>
      </c>
    </row>
    <row r="28" spans="1:1" x14ac:dyDescent="0.25">
      <c r="A28">
        <v>134800</v>
      </c>
    </row>
    <row r="29" spans="1:1" x14ac:dyDescent="0.25">
      <c r="A29">
        <v>306000</v>
      </c>
    </row>
    <row r="30" spans="1:1" x14ac:dyDescent="0.25">
      <c r="A30">
        <v>207500</v>
      </c>
    </row>
    <row r="31" spans="1:1" x14ac:dyDescent="0.25">
      <c r="A31">
        <v>68500</v>
      </c>
    </row>
    <row r="32" spans="1:1" x14ac:dyDescent="0.25">
      <c r="A32">
        <v>40000</v>
      </c>
    </row>
    <row r="33" spans="1:1" x14ac:dyDescent="0.25">
      <c r="A33">
        <v>149350</v>
      </c>
    </row>
    <row r="34" spans="1:1" x14ac:dyDescent="0.25">
      <c r="A34">
        <v>179900</v>
      </c>
    </row>
    <row r="35" spans="1:1" x14ac:dyDescent="0.25">
      <c r="A35">
        <v>165500</v>
      </c>
    </row>
    <row r="36" spans="1:1" x14ac:dyDescent="0.25">
      <c r="A36">
        <v>277500</v>
      </c>
    </row>
    <row r="37" spans="1:1" x14ac:dyDescent="0.25">
      <c r="A37">
        <v>309000</v>
      </c>
    </row>
    <row r="38" spans="1:1" x14ac:dyDescent="0.25">
      <c r="A38">
        <v>145000</v>
      </c>
    </row>
    <row r="39" spans="1:1" x14ac:dyDescent="0.25">
      <c r="A39">
        <v>153000</v>
      </c>
    </row>
    <row r="40" spans="1:1" x14ac:dyDescent="0.25">
      <c r="A40">
        <v>109000</v>
      </c>
    </row>
    <row r="41" spans="1:1" x14ac:dyDescent="0.25">
      <c r="A41">
        <v>82000</v>
      </c>
    </row>
    <row r="42" spans="1:1" x14ac:dyDescent="0.25">
      <c r="A42">
        <v>160000</v>
      </c>
    </row>
    <row r="43" spans="1:1" x14ac:dyDescent="0.25">
      <c r="A43">
        <v>170000</v>
      </c>
    </row>
    <row r="44" spans="1:1" x14ac:dyDescent="0.25">
      <c r="A44">
        <v>144000</v>
      </c>
    </row>
    <row r="45" spans="1:1" x14ac:dyDescent="0.25">
      <c r="A45">
        <v>130250</v>
      </c>
    </row>
    <row r="46" spans="1:1" x14ac:dyDescent="0.25">
      <c r="A46">
        <v>141000</v>
      </c>
    </row>
    <row r="47" spans="1:1" x14ac:dyDescent="0.25">
      <c r="A47">
        <v>319900</v>
      </c>
    </row>
    <row r="48" spans="1:1" x14ac:dyDescent="0.25">
      <c r="A48">
        <v>239686</v>
      </c>
    </row>
    <row r="49" spans="1:1" x14ac:dyDescent="0.25">
      <c r="A49">
        <v>249700</v>
      </c>
    </row>
    <row r="50" spans="1:1" x14ac:dyDescent="0.25">
      <c r="A50">
        <v>113000</v>
      </c>
    </row>
    <row r="51" spans="1:1" x14ac:dyDescent="0.25">
      <c r="A51">
        <v>127000</v>
      </c>
    </row>
    <row r="52" spans="1:1" x14ac:dyDescent="0.25">
      <c r="A52">
        <v>177000</v>
      </c>
    </row>
    <row r="53" spans="1:1" x14ac:dyDescent="0.25">
      <c r="A53">
        <v>114500</v>
      </c>
    </row>
    <row r="54" spans="1:1" x14ac:dyDescent="0.25">
      <c r="A54">
        <v>110000</v>
      </c>
    </row>
    <row r="55" spans="1:1" x14ac:dyDescent="0.25">
      <c r="A55">
        <v>385000</v>
      </c>
    </row>
    <row r="56" spans="1:1" x14ac:dyDescent="0.25">
      <c r="A56">
        <v>130000</v>
      </c>
    </row>
    <row r="57" spans="1:1" x14ac:dyDescent="0.25">
      <c r="A57">
        <v>180500</v>
      </c>
    </row>
    <row r="58" spans="1:1" x14ac:dyDescent="0.25">
      <c r="A58">
        <v>172500</v>
      </c>
    </row>
    <row r="59" spans="1:1" x14ac:dyDescent="0.25">
      <c r="A59">
        <v>196500</v>
      </c>
    </row>
    <row r="60" spans="1:1" x14ac:dyDescent="0.25">
      <c r="A60">
        <v>438780</v>
      </c>
    </row>
    <row r="61" spans="1:1" x14ac:dyDescent="0.25">
      <c r="A61">
        <v>124900</v>
      </c>
    </row>
    <row r="62" spans="1:1" x14ac:dyDescent="0.25">
      <c r="A62">
        <v>158000</v>
      </c>
    </row>
    <row r="63" spans="1:1" x14ac:dyDescent="0.25">
      <c r="A63">
        <v>101000</v>
      </c>
    </row>
    <row r="64" spans="1:1" x14ac:dyDescent="0.25">
      <c r="A64">
        <v>202500</v>
      </c>
    </row>
    <row r="65" spans="1:1" x14ac:dyDescent="0.25">
      <c r="A65">
        <v>140000</v>
      </c>
    </row>
    <row r="66" spans="1:1" x14ac:dyDescent="0.25">
      <c r="A66">
        <v>219500</v>
      </c>
    </row>
    <row r="67" spans="1:1" x14ac:dyDescent="0.25">
      <c r="A67">
        <v>317000</v>
      </c>
    </row>
    <row r="68" spans="1:1" x14ac:dyDescent="0.25">
      <c r="A68">
        <v>180000</v>
      </c>
    </row>
    <row r="69" spans="1:1" x14ac:dyDescent="0.25">
      <c r="A69">
        <v>226000</v>
      </c>
    </row>
    <row r="70" spans="1:1" x14ac:dyDescent="0.25">
      <c r="A70">
        <v>80000</v>
      </c>
    </row>
    <row r="71" spans="1:1" x14ac:dyDescent="0.25">
      <c r="A71">
        <v>225000</v>
      </c>
    </row>
    <row r="72" spans="1:1" x14ac:dyDescent="0.25">
      <c r="A72">
        <v>244000</v>
      </c>
    </row>
    <row r="73" spans="1:1" x14ac:dyDescent="0.25">
      <c r="A73">
        <v>129500</v>
      </c>
    </row>
    <row r="74" spans="1:1" x14ac:dyDescent="0.25">
      <c r="A74">
        <v>185000</v>
      </c>
    </row>
    <row r="75" spans="1:1" x14ac:dyDescent="0.25">
      <c r="A75">
        <v>144900</v>
      </c>
    </row>
    <row r="76" spans="1:1" x14ac:dyDescent="0.25">
      <c r="A76">
        <v>107400</v>
      </c>
    </row>
    <row r="77" spans="1:1" x14ac:dyDescent="0.25">
      <c r="A77">
        <v>91000</v>
      </c>
    </row>
    <row r="78" spans="1:1" x14ac:dyDescent="0.25">
      <c r="A78">
        <v>135750</v>
      </c>
    </row>
    <row r="79" spans="1:1" x14ac:dyDescent="0.25">
      <c r="A79">
        <v>127000</v>
      </c>
    </row>
    <row r="80" spans="1:1" x14ac:dyDescent="0.25">
      <c r="A80">
        <v>136500</v>
      </c>
    </row>
    <row r="81" spans="1:1" x14ac:dyDescent="0.25">
      <c r="A81">
        <v>110000</v>
      </c>
    </row>
    <row r="82" spans="1:1" x14ac:dyDescent="0.25">
      <c r="A82">
        <v>193500</v>
      </c>
    </row>
    <row r="83" spans="1:1" x14ac:dyDescent="0.25">
      <c r="A83">
        <v>153500</v>
      </c>
    </row>
    <row r="84" spans="1:1" x14ac:dyDescent="0.25">
      <c r="A84">
        <v>245000</v>
      </c>
    </row>
    <row r="85" spans="1:1" x14ac:dyDescent="0.25">
      <c r="A85">
        <v>126500</v>
      </c>
    </row>
    <row r="86" spans="1:1" x14ac:dyDescent="0.25">
      <c r="A86">
        <v>168500</v>
      </c>
    </row>
    <row r="87" spans="1:1" x14ac:dyDescent="0.25">
      <c r="A87">
        <v>260000</v>
      </c>
    </row>
    <row r="88" spans="1:1" x14ac:dyDescent="0.25">
      <c r="A88">
        <v>174000</v>
      </c>
    </row>
    <row r="89" spans="1:1" x14ac:dyDescent="0.25">
      <c r="A89">
        <v>164500</v>
      </c>
    </row>
    <row r="90" spans="1:1" x14ac:dyDescent="0.25">
      <c r="A90">
        <v>85000</v>
      </c>
    </row>
    <row r="91" spans="1:1" x14ac:dyDescent="0.25">
      <c r="A91">
        <v>123600</v>
      </c>
    </row>
    <row r="92" spans="1:1" x14ac:dyDescent="0.25">
      <c r="A92">
        <v>109900</v>
      </c>
    </row>
    <row r="93" spans="1:1" x14ac:dyDescent="0.25">
      <c r="A93">
        <v>98600</v>
      </c>
    </row>
    <row r="94" spans="1:1" x14ac:dyDescent="0.25">
      <c r="A94">
        <v>163500</v>
      </c>
    </row>
    <row r="95" spans="1:1" x14ac:dyDescent="0.25">
      <c r="A95">
        <v>133900</v>
      </c>
    </row>
    <row r="96" spans="1:1" x14ac:dyDescent="0.25">
      <c r="A96">
        <v>204750</v>
      </c>
    </row>
    <row r="97" spans="1:1" x14ac:dyDescent="0.25">
      <c r="A97">
        <v>185000</v>
      </c>
    </row>
    <row r="98" spans="1:1" x14ac:dyDescent="0.25">
      <c r="A98">
        <v>214000</v>
      </c>
    </row>
    <row r="99" spans="1:1" x14ac:dyDescent="0.25">
      <c r="A99">
        <v>94750</v>
      </c>
    </row>
    <row r="100" spans="1:1" x14ac:dyDescent="0.25">
      <c r="A100">
        <v>83000</v>
      </c>
    </row>
    <row r="101" spans="1:1" x14ac:dyDescent="0.25">
      <c r="A101">
        <v>128950</v>
      </c>
    </row>
    <row r="102" spans="1:1" x14ac:dyDescent="0.25">
      <c r="A102">
        <v>205000</v>
      </c>
    </row>
    <row r="103" spans="1:1" x14ac:dyDescent="0.25">
      <c r="A103">
        <v>178000</v>
      </c>
    </row>
    <row r="104" spans="1:1" x14ac:dyDescent="0.25">
      <c r="A104">
        <v>118964</v>
      </c>
    </row>
    <row r="105" spans="1:1" x14ac:dyDescent="0.25">
      <c r="A105">
        <v>198900</v>
      </c>
    </row>
    <row r="106" spans="1:1" x14ac:dyDescent="0.25">
      <c r="A106">
        <v>169500</v>
      </c>
    </row>
    <row r="107" spans="1:1" x14ac:dyDescent="0.25">
      <c r="A107">
        <v>250000</v>
      </c>
    </row>
    <row r="108" spans="1:1" x14ac:dyDescent="0.25">
      <c r="A108">
        <v>100000</v>
      </c>
    </row>
    <row r="109" spans="1:1" x14ac:dyDescent="0.25">
      <c r="A109">
        <v>115000</v>
      </c>
    </row>
    <row r="110" spans="1:1" x14ac:dyDescent="0.25">
      <c r="A110">
        <v>115000</v>
      </c>
    </row>
    <row r="111" spans="1:1" x14ac:dyDescent="0.25">
      <c r="A111">
        <v>190000</v>
      </c>
    </row>
    <row r="112" spans="1:1" x14ac:dyDescent="0.25">
      <c r="A112">
        <v>136900</v>
      </c>
    </row>
    <row r="113" spans="1:1" x14ac:dyDescent="0.25">
      <c r="A113">
        <v>180000</v>
      </c>
    </row>
    <row r="114" spans="1:1" x14ac:dyDescent="0.25">
      <c r="A114">
        <v>383970</v>
      </c>
    </row>
    <row r="115" spans="1:1" x14ac:dyDescent="0.25">
      <c r="A115">
        <v>217000</v>
      </c>
    </row>
    <row r="116" spans="1:1" x14ac:dyDescent="0.25">
      <c r="A116">
        <v>259500</v>
      </c>
    </row>
    <row r="117" spans="1:1" x14ac:dyDescent="0.25">
      <c r="A117">
        <v>176000</v>
      </c>
    </row>
    <row r="118" spans="1:1" x14ac:dyDescent="0.25">
      <c r="A118">
        <v>139000</v>
      </c>
    </row>
    <row r="119" spans="1:1" x14ac:dyDescent="0.25">
      <c r="A119">
        <v>155000</v>
      </c>
    </row>
    <row r="120" spans="1:1" x14ac:dyDescent="0.25">
      <c r="A120">
        <v>320000</v>
      </c>
    </row>
    <row r="121" spans="1:1" x14ac:dyDescent="0.25">
      <c r="A121">
        <v>163990</v>
      </c>
    </row>
    <row r="122" spans="1:1" x14ac:dyDescent="0.25">
      <c r="A122">
        <v>180000</v>
      </c>
    </row>
    <row r="123" spans="1:1" x14ac:dyDescent="0.25">
      <c r="A123">
        <v>100000</v>
      </c>
    </row>
    <row r="124" spans="1:1" x14ac:dyDescent="0.25">
      <c r="A124">
        <v>136000</v>
      </c>
    </row>
    <row r="125" spans="1:1" x14ac:dyDescent="0.25">
      <c r="A125">
        <v>153900</v>
      </c>
    </row>
    <row r="126" spans="1:1" x14ac:dyDescent="0.25">
      <c r="A126">
        <v>181000</v>
      </c>
    </row>
    <row r="127" spans="1:1" x14ac:dyDescent="0.25">
      <c r="A127">
        <v>84500</v>
      </c>
    </row>
    <row r="128" spans="1:1" x14ac:dyDescent="0.25">
      <c r="A128">
        <v>128000</v>
      </c>
    </row>
    <row r="129" spans="1:1" x14ac:dyDescent="0.25">
      <c r="A129">
        <v>87000</v>
      </c>
    </row>
    <row r="130" spans="1:1" x14ac:dyDescent="0.25">
      <c r="A130">
        <v>155000</v>
      </c>
    </row>
    <row r="131" spans="1:1" x14ac:dyDescent="0.25">
      <c r="A131">
        <v>150000</v>
      </c>
    </row>
    <row r="132" spans="1:1" x14ac:dyDescent="0.25">
      <c r="A132">
        <v>226000</v>
      </c>
    </row>
    <row r="133" spans="1:1" x14ac:dyDescent="0.25">
      <c r="A133">
        <v>244000</v>
      </c>
    </row>
    <row r="134" spans="1:1" x14ac:dyDescent="0.25">
      <c r="A134">
        <v>150750</v>
      </c>
    </row>
    <row r="135" spans="1:1" x14ac:dyDescent="0.25">
      <c r="A135">
        <v>220000</v>
      </c>
    </row>
    <row r="136" spans="1:1" x14ac:dyDescent="0.25">
      <c r="A136">
        <v>180000</v>
      </c>
    </row>
    <row r="137" spans="1:1" x14ac:dyDescent="0.25">
      <c r="A137">
        <v>174000</v>
      </c>
    </row>
    <row r="138" spans="1:1" x14ac:dyDescent="0.25">
      <c r="A138">
        <v>143000</v>
      </c>
    </row>
    <row r="139" spans="1:1" x14ac:dyDescent="0.25">
      <c r="A139">
        <v>171000</v>
      </c>
    </row>
    <row r="140" spans="1:1" x14ac:dyDescent="0.25">
      <c r="A140">
        <v>230000</v>
      </c>
    </row>
    <row r="141" spans="1:1" x14ac:dyDescent="0.25">
      <c r="A141">
        <v>231500</v>
      </c>
    </row>
    <row r="142" spans="1:1" x14ac:dyDescent="0.25">
      <c r="A142">
        <v>115000</v>
      </c>
    </row>
    <row r="143" spans="1:1" x14ac:dyDescent="0.25">
      <c r="A143">
        <v>260000</v>
      </c>
    </row>
    <row r="144" spans="1:1" x14ac:dyDescent="0.25">
      <c r="A144">
        <v>166000</v>
      </c>
    </row>
    <row r="145" spans="1:1" x14ac:dyDescent="0.25">
      <c r="A145">
        <v>204000</v>
      </c>
    </row>
    <row r="146" spans="1:1" x14ac:dyDescent="0.25">
      <c r="A146">
        <v>125000</v>
      </c>
    </row>
    <row r="147" spans="1:1" x14ac:dyDescent="0.25">
      <c r="A147">
        <v>130000</v>
      </c>
    </row>
    <row r="148" spans="1:1" x14ac:dyDescent="0.25">
      <c r="A148">
        <v>105000</v>
      </c>
    </row>
    <row r="149" spans="1:1" x14ac:dyDescent="0.25">
      <c r="A149">
        <v>222500</v>
      </c>
    </row>
    <row r="150" spans="1:1" x14ac:dyDescent="0.25">
      <c r="A150">
        <v>141000</v>
      </c>
    </row>
    <row r="151" spans="1:1" x14ac:dyDescent="0.25">
      <c r="A151">
        <v>115000</v>
      </c>
    </row>
    <row r="152" spans="1:1" x14ac:dyDescent="0.25">
      <c r="A152">
        <v>122000</v>
      </c>
    </row>
    <row r="153" spans="1:1" x14ac:dyDescent="0.25">
      <c r="A153">
        <v>372402</v>
      </c>
    </row>
    <row r="154" spans="1:1" x14ac:dyDescent="0.25">
      <c r="A154">
        <v>190000</v>
      </c>
    </row>
    <row r="155" spans="1:1" x14ac:dyDescent="0.25">
      <c r="A155">
        <v>235000</v>
      </c>
    </row>
    <row r="156" spans="1:1" x14ac:dyDescent="0.25">
      <c r="A156">
        <v>125000</v>
      </c>
    </row>
    <row r="157" spans="1:1" x14ac:dyDescent="0.25">
      <c r="A157">
        <v>79000</v>
      </c>
    </row>
    <row r="158" spans="1:1" x14ac:dyDescent="0.25">
      <c r="A158">
        <v>109500</v>
      </c>
    </row>
    <row r="159" spans="1:1" x14ac:dyDescent="0.25">
      <c r="A159">
        <v>269500</v>
      </c>
    </row>
    <row r="160" spans="1:1" x14ac:dyDescent="0.25">
      <c r="A160">
        <v>254900</v>
      </c>
    </row>
    <row r="161" spans="1:1" x14ac:dyDescent="0.25">
      <c r="A161">
        <v>320000</v>
      </c>
    </row>
    <row r="162" spans="1:1" x14ac:dyDescent="0.25">
      <c r="A162">
        <v>162500</v>
      </c>
    </row>
    <row r="163" spans="1:1" x14ac:dyDescent="0.25">
      <c r="A163">
        <v>412500</v>
      </c>
    </row>
    <row r="164" spans="1:1" x14ac:dyDescent="0.25">
      <c r="A164">
        <v>220000</v>
      </c>
    </row>
    <row r="165" spans="1:1" x14ac:dyDescent="0.25">
      <c r="A165">
        <v>103200</v>
      </c>
    </row>
    <row r="166" spans="1:1" x14ac:dyDescent="0.25">
      <c r="A166">
        <v>152000</v>
      </c>
    </row>
    <row r="167" spans="1:1" x14ac:dyDescent="0.25">
      <c r="A167">
        <v>127500</v>
      </c>
    </row>
    <row r="168" spans="1:1" x14ac:dyDescent="0.25">
      <c r="A168">
        <v>190000</v>
      </c>
    </row>
    <row r="169" spans="1:1" x14ac:dyDescent="0.25">
      <c r="A169">
        <v>325624</v>
      </c>
    </row>
    <row r="170" spans="1:1" x14ac:dyDescent="0.25">
      <c r="A170">
        <v>183500</v>
      </c>
    </row>
    <row r="171" spans="1:1" x14ac:dyDescent="0.25">
      <c r="A171">
        <v>228000</v>
      </c>
    </row>
    <row r="172" spans="1:1" x14ac:dyDescent="0.25">
      <c r="A172">
        <v>128500</v>
      </c>
    </row>
    <row r="173" spans="1:1" x14ac:dyDescent="0.25">
      <c r="A173">
        <v>215000</v>
      </c>
    </row>
    <row r="174" spans="1:1" x14ac:dyDescent="0.25">
      <c r="A174">
        <v>239000</v>
      </c>
    </row>
    <row r="175" spans="1:1" x14ac:dyDescent="0.25">
      <c r="A175">
        <v>163000</v>
      </c>
    </row>
    <row r="176" spans="1:1" x14ac:dyDescent="0.25">
      <c r="A176">
        <v>184000</v>
      </c>
    </row>
    <row r="177" spans="1:1" x14ac:dyDescent="0.25">
      <c r="A177">
        <v>243000</v>
      </c>
    </row>
    <row r="178" spans="1:1" x14ac:dyDescent="0.25">
      <c r="A178">
        <v>211000</v>
      </c>
    </row>
    <row r="179" spans="1:1" x14ac:dyDescent="0.25">
      <c r="A179">
        <v>172500</v>
      </c>
    </row>
    <row r="180" spans="1:1" x14ac:dyDescent="0.25">
      <c r="A180">
        <v>501837</v>
      </c>
    </row>
    <row r="181" spans="1:1" x14ac:dyDescent="0.25">
      <c r="A181">
        <v>100000</v>
      </c>
    </row>
    <row r="182" spans="1:1" x14ac:dyDescent="0.25">
      <c r="A182">
        <v>177000</v>
      </c>
    </row>
    <row r="183" spans="1:1" x14ac:dyDescent="0.25">
      <c r="A183">
        <v>200100</v>
      </c>
    </row>
    <row r="184" spans="1:1" x14ac:dyDescent="0.25">
      <c r="A184">
        <v>120000</v>
      </c>
    </row>
    <row r="185" spans="1:1" x14ac:dyDescent="0.25">
      <c r="A185">
        <v>200000</v>
      </c>
    </row>
    <row r="186" spans="1:1" x14ac:dyDescent="0.25">
      <c r="A186">
        <v>127000</v>
      </c>
    </row>
    <row r="187" spans="1:1" x14ac:dyDescent="0.25">
      <c r="A187">
        <v>475000</v>
      </c>
    </row>
    <row r="188" spans="1:1" x14ac:dyDescent="0.25">
      <c r="A188">
        <v>173000</v>
      </c>
    </row>
    <row r="189" spans="1:1" x14ac:dyDescent="0.25">
      <c r="A189">
        <v>135000</v>
      </c>
    </row>
    <row r="190" spans="1:1" x14ac:dyDescent="0.25">
      <c r="A190">
        <v>153337</v>
      </c>
    </row>
    <row r="191" spans="1:1" x14ac:dyDescent="0.25">
      <c r="A191">
        <v>286000</v>
      </c>
    </row>
    <row r="192" spans="1:1" x14ac:dyDescent="0.25">
      <c r="A192">
        <v>315000</v>
      </c>
    </row>
    <row r="193" spans="1:1" x14ac:dyDescent="0.25">
      <c r="A193">
        <v>184000</v>
      </c>
    </row>
    <row r="194" spans="1:1" x14ac:dyDescent="0.25">
      <c r="A194">
        <v>192000</v>
      </c>
    </row>
    <row r="195" spans="1:1" x14ac:dyDescent="0.25">
      <c r="A195">
        <v>130000</v>
      </c>
    </row>
    <row r="196" spans="1:1" x14ac:dyDescent="0.25">
      <c r="A196">
        <v>127000</v>
      </c>
    </row>
    <row r="197" spans="1:1" x14ac:dyDescent="0.25">
      <c r="A197">
        <v>148500</v>
      </c>
    </row>
    <row r="198" spans="1:1" x14ac:dyDescent="0.25">
      <c r="A198">
        <v>311872</v>
      </c>
    </row>
    <row r="199" spans="1:1" x14ac:dyDescent="0.25">
      <c r="A199">
        <v>235000</v>
      </c>
    </row>
    <row r="200" spans="1:1" x14ac:dyDescent="0.25">
      <c r="A200">
        <v>104000</v>
      </c>
    </row>
    <row r="201" spans="1:1" x14ac:dyDescent="0.25">
      <c r="A201">
        <v>274900</v>
      </c>
    </row>
    <row r="202" spans="1:1" x14ac:dyDescent="0.25">
      <c r="A202">
        <v>140000</v>
      </c>
    </row>
    <row r="203" spans="1:1" x14ac:dyDescent="0.25">
      <c r="A203">
        <v>171500</v>
      </c>
    </row>
    <row r="204" spans="1:1" x14ac:dyDescent="0.25">
      <c r="A204">
        <v>112000</v>
      </c>
    </row>
    <row r="205" spans="1:1" x14ac:dyDescent="0.25">
      <c r="A205">
        <v>149000</v>
      </c>
    </row>
    <row r="206" spans="1:1" x14ac:dyDescent="0.25">
      <c r="A206">
        <v>110000</v>
      </c>
    </row>
    <row r="207" spans="1:1" x14ac:dyDescent="0.25">
      <c r="A207">
        <v>180500</v>
      </c>
    </row>
    <row r="208" spans="1:1" x14ac:dyDescent="0.25">
      <c r="A208">
        <v>143900</v>
      </c>
    </row>
    <row r="209" spans="1:1" x14ac:dyDescent="0.25">
      <c r="A209">
        <v>141000</v>
      </c>
    </row>
    <row r="210" spans="1:1" x14ac:dyDescent="0.25">
      <c r="A210">
        <v>277000</v>
      </c>
    </row>
    <row r="211" spans="1:1" x14ac:dyDescent="0.25">
      <c r="A211">
        <v>145000</v>
      </c>
    </row>
    <row r="212" spans="1:1" x14ac:dyDescent="0.25">
      <c r="A212">
        <v>98000</v>
      </c>
    </row>
    <row r="213" spans="1:1" x14ac:dyDescent="0.25">
      <c r="A213">
        <v>186000</v>
      </c>
    </row>
    <row r="214" spans="1:1" x14ac:dyDescent="0.25">
      <c r="A214">
        <v>252678</v>
      </c>
    </row>
    <row r="215" spans="1:1" x14ac:dyDescent="0.25">
      <c r="A215">
        <v>156000</v>
      </c>
    </row>
    <row r="216" spans="1:1" x14ac:dyDescent="0.25">
      <c r="A216">
        <v>161750</v>
      </c>
    </row>
    <row r="217" spans="1:1" x14ac:dyDescent="0.25">
      <c r="A217">
        <v>134450</v>
      </c>
    </row>
    <row r="218" spans="1:1" x14ac:dyDescent="0.25">
      <c r="A218">
        <v>210000</v>
      </c>
    </row>
    <row r="219" spans="1:1" x14ac:dyDescent="0.25">
      <c r="A219">
        <v>107000</v>
      </c>
    </row>
    <row r="220" spans="1:1" x14ac:dyDescent="0.25">
      <c r="A220">
        <v>311500</v>
      </c>
    </row>
    <row r="221" spans="1:1" x14ac:dyDescent="0.25">
      <c r="A221">
        <v>167240</v>
      </c>
    </row>
    <row r="222" spans="1:1" x14ac:dyDescent="0.25">
      <c r="A222">
        <v>204900</v>
      </c>
    </row>
    <row r="223" spans="1:1" x14ac:dyDescent="0.25">
      <c r="A223">
        <v>200000</v>
      </c>
    </row>
    <row r="224" spans="1:1" x14ac:dyDescent="0.25">
      <c r="A224">
        <v>179900</v>
      </c>
    </row>
    <row r="225" spans="1:1" x14ac:dyDescent="0.25">
      <c r="A225">
        <v>97000</v>
      </c>
    </row>
    <row r="226" spans="1:1" x14ac:dyDescent="0.25">
      <c r="A226">
        <v>386250</v>
      </c>
    </row>
    <row r="227" spans="1:1" x14ac:dyDescent="0.25">
      <c r="A227">
        <v>112000</v>
      </c>
    </row>
    <row r="228" spans="1:1" x14ac:dyDescent="0.25">
      <c r="A228">
        <v>290000</v>
      </c>
    </row>
    <row r="229" spans="1:1" x14ac:dyDescent="0.25">
      <c r="A229">
        <v>106000</v>
      </c>
    </row>
    <row r="230" spans="1:1" x14ac:dyDescent="0.25">
      <c r="A230">
        <v>125000</v>
      </c>
    </row>
    <row r="231" spans="1:1" x14ac:dyDescent="0.25">
      <c r="A231">
        <v>192500</v>
      </c>
    </row>
    <row r="232" spans="1:1" x14ac:dyDescent="0.25">
      <c r="A232">
        <v>148000</v>
      </c>
    </row>
    <row r="233" spans="1:1" x14ac:dyDescent="0.25">
      <c r="A233">
        <v>403000</v>
      </c>
    </row>
    <row r="234" spans="1:1" x14ac:dyDescent="0.25">
      <c r="A234">
        <v>94500</v>
      </c>
    </row>
    <row r="235" spans="1:1" x14ac:dyDescent="0.25">
      <c r="A235">
        <v>128200</v>
      </c>
    </row>
    <row r="236" spans="1:1" x14ac:dyDescent="0.25">
      <c r="A236">
        <v>216500</v>
      </c>
    </row>
    <row r="237" spans="1:1" x14ac:dyDescent="0.25">
      <c r="A237">
        <v>89500</v>
      </c>
    </row>
    <row r="238" spans="1:1" x14ac:dyDescent="0.25">
      <c r="A238">
        <v>185500</v>
      </c>
    </row>
    <row r="239" spans="1:1" x14ac:dyDescent="0.25">
      <c r="A239">
        <v>194500</v>
      </c>
    </row>
    <row r="240" spans="1:1" x14ac:dyDescent="0.25">
      <c r="A240">
        <v>318000</v>
      </c>
    </row>
    <row r="241" spans="1:1" x14ac:dyDescent="0.25">
      <c r="A241">
        <v>113000</v>
      </c>
    </row>
    <row r="242" spans="1:1" x14ac:dyDescent="0.25">
      <c r="A242">
        <v>262500</v>
      </c>
    </row>
    <row r="243" spans="1:1" x14ac:dyDescent="0.25">
      <c r="A243">
        <v>110500</v>
      </c>
    </row>
    <row r="244" spans="1:1" x14ac:dyDescent="0.25">
      <c r="A244">
        <v>79000</v>
      </c>
    </row>
    <row r="245" spans="1:1" x14ac:dyDescent="0.25">
      <c r="A245">
        <v>120000</v>
      </c>
    </row>
    <row r="246" spans="1:1" x14ac:dyDescent="0.25">
      <c r="A246">
        <v>205000</v>
      </c>
    </row>
    <row r="247" spans="1:1" x14ac:dyDescent="0.25">
      <c r="A247">
        <v>241500</v>
      </c>
    </row>
    <row r="248" spans="1:1" x14ac:dyDescent="0.25">
      <c r="A248">
        <v>137000</v>
      </c>
    </row>
    <row r="249" spans="1:1" x14ac:dyDescent="0.25">
      <c r="A249">
        <v>140000</v>
      </c>
    </row>
    <row r="250" spans="1:1" x14ac:dyDescent="0.25">
      <c r="A250">
        <v>180000</v>
      </c>
    </row>
    <row r="251" spans="1:1" x14ac:dyDescent="0.25">
      <c r="A251">
        <v>277000</v>
      </c>
    </row>
    <row r="252" spans="1:1" x14ac:dyDescent="0.25">
      <c r="A252">
        <v>76500</v>
      </c>
    </row>
    <row r="253" spans="1:1" x14ac:dyDescent="0.25">
      <c r="A253">
        <v>235000</v>
      </c>
    </row>
    <row r="254" spans="1:1" x14ac:dyDescent="0.25">
      <c r="A254">
        <v>173000</v>
      </c>
    </row>
    <row r="255" spans="1:1" x14ac:dyDescent="0.25">
      <c r="A255">
        <v>158000</v>
      </c>
    </row>
    <row r="256" spans="1:1" x14ac:dyDescent="0.25">
      <c r="A256">
        <v>145000</v>
      </c>
    </row>
    <row r="257" spans="1:1" x14ac:dyDescent="0.25">
      <c r="A257">
        <v>230000</v>
      </c>
    </row>
    <row r="258" spans="1:1" x14ac:dyDescent="0.25">
      <c r="A258">
        <v>207500</v>
      </c>
    </row>
    <row r="259" spans="1:1" x14ac:dyDescent="0.25">
      <c r="A259">
        <v>220000</v>
      </c>
    </row>
    <row r="260" spans="1:1" x14ac:dyDescent="0.25">
      <c r="A260">
        <v>231500</v>
      </c>
    </row>
    <row r="261" spans="1:1" x14ac:dyDescent="0.25">
      <c r="A261">
        <v>97000</v>
      </c>
    </row>
    <row r="262" spans="1:1" x14ac:dyDescent="0.25">
      <c r="A262">
        <v>176000</v>
      </c>
    </row>
    <row r="263" spans="1:1" x14ac:dyDescent="0.25">
      <c r="A263">
        <v>276000</v>
      </c>
    </row>
    <row r="264" spans="1:1" x14ac:dyDescent="0.25">
      <c r="A264">
        <v>151000</v>
      </c>
    </row>
    <row r="265" spans="1:1" x14ac:dyDescent="0.25">
      <c r="A265">
        <v>130000</v>
      </c>
    </row>
    <row r="266" spans="1:1" x14ac:dyDescent="0.25">
      <c r="A266">
        <v>73000</v>
      </c>
    </row>
    <row r="267" spans="1:1" x14ac:dyDescent="0.25">
      <c r="A267">
        <v>175500</v>
      </c>
    </row>
    <row r="268" spans="1:1" x14ac:dyDescent="0.25">
      <c r="A268">
        <v>185000</v>
      </c>
    </row>
    <row r="269" spans="1:1" x14ac:dyDescent="0.25">
      <c r="A269">
        <v>179500</v>
      </c>
    </row>
    <row r="270" spans="1:1" x14ac:dyDescent="0.25">
      <c r="A270">
        <v>120500</v>
      </c>
    </row>
    <row r="271" spans="1:1" x14ac:dyDescent="0.25">
      <c r="A271">
        <v>148000</v>
      </c>
    </row>
    <row r="272" spans="1:1" x14ac:dyDescent="0.25">
      <c r="A272">
        <v>266000</v>
      </c>
    </row>
    <row r="273" spans="1:1" x14ac:dyDescent="0.25">
      <c r="A273">
        <v>241500</v>
      </c>
    </row>
    <row r="274" spans="1:1" x14ac:dyDescent="0.25">
      <c r="A274">
        <v>290000</v>
      </c>
    </row>
    <row r="275" spans="1:1" x14ac:dyDescent="0.25">
      <c r="A275">
        <v>139000</v>
      </c>
    </row>
    <row r="276" spans="1:1" x14ac:dyDescent="0.25">
      <c r="A276">
        <v>124500</v>
      </c>
    </row>
    <row r="277" spans="1:1" x14ac:dyDescent="0.25">
      <c r="A277">
        <v>205000</v>
      </c>
    </row>
    <row r="278" spans="1:1" x14ac:dyDescent="0.25">
      <c r="A278">
        <v>201000</v>
      </c>
    </row>
    <row r="279" spans="1:1" x14ac:dyDescent="0.25">
      <c r="A279">
        <v>141000</v>
      </c>
    </row>
    <row r="280" spans="1:1" x14ac:dyDescent="0.25">
      <c r="A280">
        <v>415298</v>
      </c>
    </row>
    <row r="281" spans="1:1" x14ac:dyDescent="0.25">
      <c r="A281">
        <v>192000</v>
      </c>
    </row>
    <row r="282" spans="1:1" x14ac:dyDescent="0.25">
      <c r="A282">
        <v>228500</v>
      </c>
    </row>
    <row r="283" spans="1:1" x14ac:dyDescent="0.25">
      <c r="A283">
        <v>185000</v>
      </c>
    </row>
    <row r="284" spans="1:1" x14ac:dyDescent="0.25">
      <c r="A284">
        <v>207500</v>
      </c>
    </row>
    <row r="285" spans="1:1" x14ac:dyDescent="0.25">
      <c r="A285">
        <v>244600</v>
      </c>
    </row>
    <row r="286" spans="1:1" x14ac:dyDescent="0.25">
      <c r="A286">
        <v>179200</v>
      </c>
    </row>
    <row r="287" spans="1:1" x14ac:dyDescent="0.25">
      <c r="A287">
        <v>164700</v>
      </c>
    </row>
    <row r="288" spans="1:1" x14ac:dyDescent="0.25">
      <c r="A288">
        <v>159000</v>
      </c>
    </row>
    <row r="289" spans="1:1" x14ac:dyDescent="0.25">
      <c r="A289">
        <v>88000</v>
      </c>
    </row>
    <row r="290" spans="1:1" x14ac:dyDescent="0.25">
      <c r="A290">
        <v>122000</v>
      </c>
    </row>
    <row r="291" spans="1:1" x14ac:dyDescent="0.25">
      <c r="A291">
        <v>153575</v>
      </c>
    </row>
    <row r="292" spans="1:1" x14ac:dyDescent="0.25">
      <c r="A292">
        <v>233230</v>
      </c>
    </row>
    <row r="293" spans="1:1" x14ac:dyDescent="0.25">
      <c r="A293">
        <v>135900</v>
      </c>
    </row>
    <row r="294" spans="1:1" x14ac:dyDescent="0.25">
      <c r="A294">
        <v>131000</v>
      </c>
    </row>
    <row r="295" spans="1:1" x14ac:dyDescent="0.25">
      <c r="A295">
        <v>235000</v>
      </c>
    </row>
    <row r="296" spans="1:1" x14ac:dyDescent="0.25">
      <c r="A296">
        <v>167000</v>
      </c>
    </row>
    <row r="297" spans="1:1" x14ac:dyDescent="0.25">
      <c r="A297">
        <v>142500</v>
      </c>
    </row>
    <row r="298" spans="1:1" x14ac:dyDescent="0.25">
      <c r="A298">
        <v>152000</v>
      </c>
    </row>
    <row r="299" spans="1:1" x14ac:dyDescent="0.25">
      <c r="A299">
        <v>239000</v>
      </c>
    </row>
    <row r="300" spans="1:1" x14ac:dyDescent="0.25">
      <c r="A300">
        <v>175000</v>
      </c>
    </row>
    <row r="301" spans="1:1" x14ac:dyDescent="0.25">
      <c r="A301">
        <v>158500</v>
      </c>
    </row>
    <row r="302" spans="1:1" x14ac:dyDescent="0.25">
      <c r="A302">
        <v>157000</v>
      </c>
    </row>
    <row r="303" spans="1:1" x14ac:dyDescent="0.25">
      <c r="A303">
        <v>267000</v>
      </c>
    </row>
    <row r="304" spans="1:1" x14ac:dyDescent="0.25">
      <c r="A304">
        <v>205000</v>
      </c>
    </row>
    <row r="305" spans="1:1" x14ac:dyDescent="0.25">
      <c r="A305">
        <v>149900</v>
      </c>
    </row>
    <row r="306" spans="1:1" x14ac:dyDescent="0.25">
      <c r="A306">
        <v>295000</v>
      </c>
    </row>
    <row r="307" spans="1:1" x14ac:dyDescent="0.25">
      <c r="A307">
        <v>305900</v>
      </c>
    </row>
    <row r="308" spans="1:1" x14ac:dyDescent="0.25">
      <c r="A308">
        <v>225000</v>
      </c>
    </row>
    <row r="309" spans="1:1" x14ac:dyDescent="0.25">
      <c r="A309">
        <v>89500</v>
      </c>
    </row>
    <row r="310" spans="1:1" x14ac:dyDescent="0.25">
      <c r="A310">
        <v>82500</v>
      </c>
    </row>
    <row r="311" spans="1:1" x14ac:dyDescent="0.25">
      <c r="A311">
        <v>360000</v>
      </c>
    </row>
    <row r="312" spans="1:1" x14ac:dyDescent="0.25">
      <c r="A312">
        <v>165600</v>
      </c>
    </row>
    <row r="313" spans="1:1" x14ac:dyDescent="0.25">
      <c r="A313">
        <v>132000</v>
      </c>
    </row>
    <row r="314" spans="1:1" x14ac:dyDescent="0.25">
      <c r="A314">
        <v>119900</v>
      </c>
    </row>
    <row r="315" spans="1:1" x14ac:dyDescent="0.25">
      <c r="A315">
        <v>375000</v>
      </c>
    </row>
    <row r="316" spans="1:1" x14ac:dyDescent="0.25">
      <c r="A316">
        <v>178000</v>
      </c>
    </row>
    <row r="317" spans="1:1" x14ac:dyDescent="0.25">
      <c r="A317">
        <v>188500</v>
      </c>
    </row>
    <row r="318" spans="1:1" x14ac:dyDescent="0.25">
      <c r="A318">
        <v>260000</v>
      </c>
    </row>
    <row r="319" spans="1:1" x14ac:dyDescent="0.25">
      <c r="A319">
        <v>270000</v>
      </c>
    </row>
    <row r="320" spans="1:1" x14ac:dyDescent="0.25">
      <c r="A320">
        <v>260000</v>
      </c>
    </row>
    <row r="321" spans="1:1" x14ac:dyDescent="0.25">
      <c r="A321">
        <v>187500</v>
      </c>
    </row>
    <row r="322" spans="1:1" x14ac:dyDescent="0.25">
      <c r="A322">
        <v>342643</v>
      </c>
    </row>
    <row r="323" spans="1:1" x14ac:dyDescent="0.25">
      <c r="A323">
        <v>354000</v>
      </c>
    </row>
    <row r="324" spans="1:1" x14ac:dyDescent="0.25">
      <c r="A324">
        <v>301000</v>
      </c>
    </row>
    <row r="325" spans="1:1" x14ac:dyDescent="0.25">
      <c r="A325">
        <v>126175</v>
      </c>
    </row>
    <row r="326" spans="1:1" x14ac:dyDescent="0.25">
      <c r="A326">
        <v>242000</v>
      </c>
    </row>
    <row r="327" spans="1:1" x14ac:dyDescent="0.25">
      <c r="A327">
        <v>87000</v>
      </c>
    </row>
    <row r="328" spans="1:1" x14ac:dyDescent="0.25">
      <c r="A328">
        <v>324000</v>
      </c>
    </row>
    <row r="329" spans="1:1" x14ac:dyDescent="0.25">
      <c r="A329">
        <v>145250</v>
      </c>
    </row>
    <row r="330" spans="1:1" x14ac:dyDescent="0.25">
      <c r="A330">
        <v>214500</v>
      </c>
    </row>
    <row r="331" spans="1:1" x14ac:dyDescent="0.25">
      <c r="A331">
        <v>78000</v>
      </c>
    </row>
    <row r="332" spans="1:1" x14ac:dyDescent="0.25">
      <c r="A332">
        <v>119000</v>
      </c>
    </row>
    <row r="333" spans="1:1" x14ac:dyDescent="0.25">
      <c r="A333">
        <v>139000</v>
      </c>
    </row>
    <row r="334" spans="1:1" x14ac:dyDescent="0.25">
      <c r="A334">
        <v>284000</v>
      </c>
    </row>
    <row r="335" spans="1:1" x14ac:dyDescent="0.25">
      <c r="A335">
        <v>207000</v>
      </c>
    </row>
    <row r="336" spans="1:1" x14ac:dyDescent="0.25">
      <c r="A336">
        <v>192000</v>
      </c>
    </row>
    <row r="337" spans="1:1" x14ac:dyDescent="0.25">
      <c r="A337">
        <v>228950</v>
      </c>
    </row>
    <row r="338" spans="1:1" x14ac:dyDescent="0.25">
      <c r="A338">
        <v>377426</v>
      </c>
    </row>
    <row r="339" spans="1:1" x14ac:dyDescent="0.25">
      <c r="A339">
        <v>214000</v>
      </c>
    </row>
    <row r="340" spans="1:1" x14ac:dyDescent="0.25">
      <c r="A340">
        <v>202500</v>
      </c>
    </row>
    <row r="341" spans="1:1" x14ac:dyDescent="0.25">
      <c r="A341">
        <v>155000</v>
      </c>
    </row>
    <row r="342" spans="1:1" x14ac:dyDescent="0.25">
      <c r="A342">
        <v>202900</v>
      </c>
    </row>
    <row r="343" spans="1:1" x14ac:dyDescent="0.25">
      <c r="A343">
        <v>82000</v>
      </c>
    </row>
    <row r="344" spans="1:1" x14ac:dyDescent="0.25">
      <c r="A344">
        <v>87500</v>
      </c>
    </row>
    <row r="345" spans="1:1" x14ac:dyDescent="0.25">
      <c r="A345">
        <v>266000</v>
      </c>
    </row>
    <row r="346" spans="1:1" x14ac:dyDescent="0.25">
      <c r="A346">
        <v>85000</v>
      </c>
    </row>
    <row r="347" spans="1:1" x14ac:dyDescent="0.25">
      <c r="A347">
        <v>140200</v>
      </c>
    </row>
    <row r="348" spans="1:1" x14ac:dyDescent="0.25">
      <c r="A348">
        <v>151500</v>
      </c>
    </row>
    <row r="349" spans="1:1" x14ac:dyDescent="0.25">
      <c r="A349">
        <v>157500</v>
      </c>
    </row>
    <row r="350" spans="1:1" x14ac:dyDescent="0.25">
      <c r="A350">
        <v>154000</v>
      </c>
    </row>
    <row r="351" spans="1:1" x14ac:dyDescent="0.25">
      <c r="A351">
        <v>437154</v>
      </c>
    </row>
    <row r="352" spans="1:1" x14ac:dyDescent="0.25">
      <c r="A352">
        <v>318061</v>
      </c>
    </row>
    <row r="353" spans="1:1" x14ac:dyDescent="0.25">
      <c r="A353">
        <v>190000</v>
      </c>
    </row>
    <row r="354" spans="1:1" x14ac:dyDescent="0.25">
      <c r="A354">
        <v>95000</v>
      </c>
    </row>
    <row r="355" spans="1:1" x14ac:dyDescent="0.25">
      <c r="A355">
        <v>105900</v>
      </c>
    </row>
    <row r="356" spans="1:1" x14ac:dyDescent="0.25">
      <c r="A356">
        <v>140000</v>
      </c>
    </row>
    <row r="357" spans="1:1" x14ac:dyDescent="0.25">
      <c r="A357">
        <v>177500</v>
      </c>
    </row>
    <row r="358" spans="1:1" x14ac:dyDescent="0.25">
      <c r="A358">
        <v>173000</v>
      </c>
    </row>
    <row r="359" spans="1:1" x14ac:dyDescent="0.25">
      <c r="A359">
        <v>134000</v>
      </c>
    </row>
    <row r="360" spans="1:1" x14ac:dyDescent="0.25">
      <c r="A360">
        <v>130000</v>
      </c>
    </row>
    <row r="361" spans="1:1" x14ac:dyDescent="0.25">
      <c r="A361">
        <v>280000</v>
      </c>
    </row>
    <row r="362" spans="1:1" x14ac:dyDescent="0.25">
      <c r="A362">
        <v>156000</v>
      </c>
    </row>
    <row r="363" spans="1:1" x14ac:dyDescent="0.25">
      <c r="A363">
        <v>145000</v>
      </c>
    </row>
    <row r="364" spans="1:1" x14ac:dyDescent="0.25">
      <c r="A364">
        <v>198500</v>
      </c>
    </row>
    <row r="365" spans="1:1" x14ac:dyDescent="0.25">
      <c r="A365">
        <v>118000</v>
      </c>
    </row>
    <row r="366" spans="1:1" x14ac:dyDescent="0.25">
      <c r="A366">
        <v>190000</v>
      </c>
    </row>
    <row r="367" spans="1:1" x14ac:dyDescent="0.25">
      <c r="A367">
        <v>147000</v>
      </c>
    </row>
    <row r="368" spans="1:1" x14ac:dyDescent="0.25">
      <c r="A368">
        <v>159000</v>
      </c>
    </row>
    <row r="369" spans="1:1" x14ac:dyDescent="0.25">
      <c r="A369">
        <v>165000</v>
      </c>
    </row>
    <row r="370" spans="1:1" x14ac:dyDescent="0.25">
      <c r="A370">
        <v>132000</v>
      </c>
    </row>
    <row r="371" spans="1:1" x14ac:dyDescent="0.25">
      <c r="A371">
        <v>162000</v>
      </c>
    </row>
    <row r="372" spans="1:1" x14ac:dyDescent="0.25">
      <c r="A372">
        <v>172400</v>
      </c>
    </row>
    <row r="373" spans="1:1" x14ac:dyDescent="0.25">
      <c r="A373">
        <v>134432</v>
      </c>
    </row>
    <row r="374" spans="1:1" x14ac:dyDescent="0.25">
      <c r="A374">
        <v>125000</v>
      </c>
    </row>
    <row r="375" spans="1:1" x14ac:dyDescent="0.25">
      <c r="A375">
        <v>123000</v>
      </c>
    </row>
    <row r="376" spans="1:1" x14ac:dyDescent="0.25">
      <c r="A376">
        <v>219500</v>
      </c>
    </row>
    <row r="377" spans="1:1" x14ac:dyDescent="0.25">
      <c r="A377">
        <v>61000</v>
      </c>
    </row>
    <row r="378" spans="1:1" x14ac:dyDescent="0.25">
      <c r="A378">
        <v>148000</v>
      </c>
    </row>
    <row r="379" spans="1:1" x14ac:dyDescent="0.25">
      <c r="A379">
        <v>340000</v>
      </c>
    </row>
    <row r="380" spans="1:1" x14ac:dyDescent="0.25">
      <c r="A380">
        <v>394432</v>
      </c>
    </row>
    <row r="381" spans="1:1" x14ac:dyDescent="0.25">
      <c r="A381">
        <v>179000</v>
      </c>
    </row>
    <row r="382" spans="1:1" x14ac:dyDescent="0.25">
      <c r="A382">
        <v>127000</v>
      </c>
    </row>
    <row r="383" spans="1:1" x14ac:dyDescent="0.25">
      <c r="A383">
        <v>187750</v>
      </c>
    </row>
    <row r="384" spans="1:1" x14ac:dyDescent="0.25">
      <c r="A384">
        <v>213500</v>
      </c>
    </row>
    <row r="385" spans="1:1" x14ac:dyDescent="0.25">
      <c r="A385">
        <v>76000</v>
      </c>
    </row>
    <row r="386" spans="1:1" x14ac:dyDescent="0.25">
      <c r="A386">
        <v>240000</v>
      </c>
    </row>
    <row r="387" spans="1:1" x14ac:dyDescent="0.25">
      <c r="A387">
        <v>192000</v>
      </c>
    </row>
    <row r="388" spans="1:1" x14ac:dyDescent="0.25">
      <c r="A388">
        <v>81000</v>
      </c>
    </row>
    <row r="389" spans="1:1" x14ac:dyDescent="0.25">
      <c r="A389">
        <v>125000</v>
      </c>
    </row>
    <row r="390" spans="1:1" x14ac:dyDescent="0.25">
      <c r="A390">
        <v>191000</v>
      </c>
    </row>
    <row r="391" spans="1:1" x14ac:dyDescent="0.25">
      <c r="A391">
        <v>426000</v>
      </c>
    </row>
    <row r="392" spans="1:1" x14ac:dyDescent="0.25">
      <c r="A392">
        <v>119000</v>
      </c>
    </row>
    <row r="393" spans="1:1" x14ac:dyDescent="0.25">
      <c r="A393">
        <v>215000</v>
      </c>
    </row>
    <row r="394" spans="1:1" x14ac:dyDescent="0.25">
      <c r="A394">
        <v>106500</v>
      </c>
    </row>
    <row r="395" spans="1:1" x14ac:dyDescent="0.25">
      <c r="A395">
        <v>100000</v>
      </c>
    </row>
    <row r="396" spans="1:1" x14ac:dyDescent="0.25">
      <c r="A396">
        <v>109000</v>
      </c>
    </row>
    <row r="397" spans="1:1" x14ac:dyDescent="0.25">
      <c r="A397">
        <v>129000</v>
      </c>
    </row>
    <row r="398" spans="1:1" x14ac:dyDescent="0.25">
      <c r="A398">
        <v>123000</v>
      </c>
    </row>
    <row r="399" spans="1:1" x14ac:dyDescent="0.25">
      <c r="A399">
        <v>169500</v>
      </c>
    </row>
    <row r="400" spans="1:1" x14ac:dyDescent="0.25">
      <c r="A400">
        <v>67000</v>
      </c>
    </row>
    <row r="401" spans="1:1" x14ac:dyDescent="0.25">
      <c r="A401">
        <v>241000</v>
      </c>
    </row>
    <row r="402" spans="1:1" x14ac:dyDescent="0.25">
      <c r="A402">
        <v>245500</v>
      </c>
    </row>
    <row r="403" spans="1:1" x14ac:dyDescent="0.25">
      <c r="A403">
        <v>164990</v>
      </c>
    </row>
    <row r="404" spans="1:1" x14ac:dyDescent="0.25">
      <c r="A404">
        <v>108000</v>
      </c>
    </row>
    <row r="405" spans="1:1" x14ac:dyDescent="0.25">
      <c r="A405">
        <v>258000</v>
      </c>
    </row>
    <row r="406" spans="1:1" x14ac:dyDescent="0.25">
      <c r="A406">
        <v>168000</v>
      </c>
    </row>
    <row r="407" spans="1:1" x14ac:dyDescent="0.25">
      <c r="A407">
        <v>150000</v>
      </c>
    </row>
    <row r="408" spans="1:1" x14ac:dyDescent="0.25">
      <c r="A408">
        <v>115000</v>
      </c>
    </row>
    <row r="409" spans="1:1" x14ac:dyDescent="0.25">
      <c r="A409">
        <v>177000</v>
      </c>
    </row>
    <row r="410" spans="1:1" x14ac:dyDescent="0.25">
      <c r="A410">
        <v>280000</v>
      </c>
    </row>
    <row r="411" spans="1:1" x14ac:dyDescent="0.25">
      <c r="A411">
        <v>339750</v>
      </c>
    </row>
    <row r="412" spans="1:1" x14ac:dyDescent="0.25">
      <c r="A412">
        <v>60000</v>
      </c>
    </row>
    <row r="413" spans="1:1" x14ac:dyDescent="0.25">
      <c r="A413">
        <v>145000</v>
      </c>
    </row>
    <row r="414" spans="1:1" x14ac:dyDescent="0.25">
      <c r="A414">
        <v>222000</v>
      </c>
    </row>
    <row r="415" spans="1:1" x14ac:dyDescent="0.25">
      <c r="A415">
        <v>115000</v>
      </c>
    </row>
    <row r="416" spans="1:1" x14ac:dyDescent="0.25">
      <c r="A416">
        <v>228000</v>
      </c>
    </row>
    <row r="417" spans="1:1" x14ac:dyDescent="0.25">
      <c r="A417">
        <v>181134</v>
      </c>
    </row>
    <row r="418" spans="1:1" x14ac:dyDescent="0.25">
      <c r="A418">
        <v>149500</v>
      </c>
    </row>
    <row r="419" spans="1:1" x14ac:dyDescent="0.25">
      <c r="A419">
        <v>239000</v>
      </c>
    </row>
    <row r="420" spans="1:1" x14ac:dyDescent="0.25">
      <c r="A420">
        <v>126000</v>
      </c>
    </row>
    <row r="421" spans="1:1" x14ac:dyDescent="0.25">
      <c r="A421">
        <v>142000</v>
      </c>
    </row>
    <row r="422" spans="1:1" x14ac:dyDescent="0.25">
      <c r="A422">
        <v>206300</v>
      </c>
    </row>
    <row r="423" spans="1:1" x14ac:dyDescent="0.25">
      <c r="A423">
        <v>215000</v>
      </c>
    </row>
    <row r="424" spans="1:1" x14ac:dyDescent="0.25">
      <c r="A424">
        <v>113000</v>
      </c>
    </row>
    <row r="425" spans="1:1" x14ac:dyDescent="0.25">
      <c r="A425">
        <v>315000</v>
      </c>
    </row>
    <row r="426" spans="1:1" x14ac:dyDescent="0.25">
      <c r="A426">
        <v>139000</v>
      </c>
    </row>
    <row r="427" spans="1:1" x14ac:dyDescent="0.25">
      <c r="A427">
        <v>135000</v>
      </c>
    </row>
    <row r="428" spans="1:1" x14ac:dyDescent="0.25">
      <c r="A428">
        <v>275000</v>
      </c>
    </row>
    <row r="429" spans="1:1" x14ac:dyDescent="0.25">
      <c r="A429">
        <v>109008</v>
      </c>
    </row>
    <row r="430" spans="1:1" x14ac:dyDescent="0.25">
      <c r="A430">
        <v>195400</v>
      </c>
    </row>
    <row r="431" spans="1:1" x14ac:dyDescent="0.25">
      <c r="A431">
        <v>175000</v>
      </c>
    </row>
    <row r="432" spans="1:1" x14ac:dyDescent="0.25">
      <c r="A432">
        <v>85400</v>
      </c>
    </row>
    <row r="433" spans="1:1" x14ac:dyDescent="0.25">
      <c r="A433">
        <v>79900</v>
      </c>
    </row>
    <row r="434" spans="1:1" x14ac:dyDescent="0.25">
      <c r="A434">
        <v>122500</v>
      </c>
    </row>
    <row r="435" spans="1:1" x14ac:dyDescent="0.25">
      <c r="A435">
        <v>181000</v>
      </c>
    </row>
    <row r="436" spans="1:1" x14ac:dyDescent="0.25">
      <c r="A436">
        <v>81000</v>
      </c>
    </row>
    <row r="437" spans="1:1" x14ac:dyDescent="0.25">
      <c r="A437">
        <v>212000</v>
      </c>
    </row>
    <row r="438" spans="1:1" x14ac:dyDescent="0.25">
      <c r="A438">
        <v>116000</v>
      </c>
    </row>
    <row r="439" spans="1:1" x14ac:dyDescent="0.25">
      <c r="A439">
        <v>119000</v>
      </c>
    </row>
    <row r="440" spans="1:1" x14ac:dyDescent="0.25">
      <c r="A440">
        <v>90350</v>
      </c>
    </row>
    <row r="441" spans="1:1" x14ac:dyDescent="0.25">
      <c r="A441">
        <v>110000</v>
      </c>
    </row>
    <row r="442" spans="1:1" x14ac:dyDescent="0.25">
      <c r="A442">
        <v>555000</v>
      </c>
    </row>
    <row r="443" spans="1:1" x14ac:dyDescent="0.25">
      <c r="A443">
        <v>118000</v>
      </c>
    </row>
    <row r="444" spans="1:1" x14ac:dyDescent="0.25">
      <c r="A444">
        <v>162900</v>
      </c>
    </row>
    <row r="445" spans="1:1" x14ac:dyDescent="0.25">
      <c r="A445">
        <v>172500</v>
      </c>
    </row>
    <row r="446" spans="1:1" x14ac:dyDescent="0.25">
      <c r="A446">
        <v>210000</v>
      </c>
    </row>
    <row r="447" spans="1:1" x14ac:dyDescent="0.25">
      <c r="A447">
        <v>127500</v>
      </c>
    </row>
    <row r="448" spans="1:1" x14ac:dyDescent="0.25">
      <c r="A448">
        <v>190000</v>
      </c>
    </row>
    <row r="449" spans="1:1" x14ac:dyDescent="0.25">
      <c r="A449">
        <v>199900</v>
      </c>
    </row>
    <row r="450" spans="1:1" x14ac:dyDescent="0.25">
      <c r="A450">
        <v>119500</v>
      </c>
    </row>
    <row r="451" spans="1:1" x14ac:dyDescent="0.25">
      <c r="A451">
        <v>120000</v>
      </c>
    </row>
    <row r="452" spans="1:1" x14ac:dyDescent="0.25">
      <c r="A452">
        <v>110000</v>
      </c>
    </row>
    <row r="453" spans="1:1" x14ac:dyDescent="0.25">
      <c r="A453">
        <v>280000</v>
      </c>
    </row>
    <row r="454" spans="1:1" x14ac:dyDescent="0.25">
      <c r="A454">
        <v>204000</v>
      </c>
    </row>
    <row r="455" spans="1:1" x14ac:dyDescent="0.25">
      <c r="A455">
        <v>210000</v>
      </c>
    </row>
    <row r="456" spans="1:1" x14ac:dyDescent="0.25">
      <c r="A456">
        <v>188000</v>
      </c>
    </row>
    <row r="457" spans="1:1" x14ac:dyDescent="0.25">
      <c r="A457">
        <v>175500</v>
      </c>
    </row>
    <row r="458" spans="1:1" x14ac:dyDescent="0.25">
      <c r="A458">
        <v>98000</v>
      </c>
    </row>
    <row r="459" spans="1:1" x14ac:dyDescent="0.25">
      <c r="A459">
        <v>256000</v>
      </c>
    </row>
    <row r="460" spans="1:1" x14ac:dyDescent="0.25">
      <c r="A460">
        <v>161000</v>
      </c>
    </row>
    <row r="461" spans="1:1" x14ac:dyDescent="0.25">
      <c r="A461">
        <v>110000</v>
      </c>
    </row>
    <row r="462" spans="1:1" x14ac:dyDescent="0.25">
      <c r="A462">
        <v>263435</v>
      </c>
    </row>
    <row r="463" spans="1:1" x14ac:dyDescent="0.25">
      <c r="A463">
        <v>155000</v>
      </c>
    </row>
    <row r="464" spans="1:1" x14ac:dyDescent="0.25">
      <c r="A464">
        <v>62383</v>
      </c>
    </row>
    <row r="465" spans="1:1" x14ac:dyDescent="0.25">
      <c r="A465">
        <v>188700</v>
      </c>
    </row>
    <row r="466" spans="1:1" x14ac:dyDescent="0.25">
      <c r="A466">
        <v>124000</v>
      </c>
    </row>
    <row r="467" spans="1:1" x14ac:dyDescent="0.25">
      <c r="A467">
        <v>178740</v>
      </c>
    </row>
    <row r="468" spans="1:1" x14ac:dyDescent="0.25">
      <c r="A468">
        <v>167000</v>
      </c>
    </row>
    <row r="469" spans="1:1" x14ac:dyDescent="0.25">
      <c r="A469">
        <v>146500</v>
      </c>
    </row>
    <row r="470" spans="1:1" x14ac:dyDescent="0.25">
      <c r="A470">
        <v>250000</v>
      </c>
    </row>
    <row r="471" spans="1:1" x14ac:dyDescent="0.25">
      <c r="A471">
        <v>187000</v>
      </c>
    </row>
    <row r="472" spans="1:1" x14ac:dyDescent="0.25">
      <c r="A472">
        <v>212000</v>
      </c>
    </row>
    <row r="473" spans="1:1" x14ac:dyDescent="0.25">
      <c r="A473">
        <v>190000</v>
      </c>
    </row>
    <row r="474" spans="1:1" x14ac:dyDescent="0.25">
      <c r="A474">
        <v>148000</v>
      </c>
    </row>
    <row r="475" spans="1:1" x14ac:dyDescent="0.25">
      <c r="A475">
        <v>440000</v>
      </c>
    </row>
    <row r="476" spans="1:1" x14ac:dyDescent="0.25">
      <c r="A476">
        <v>251000</v>
      </c>
    </row>
    <row r="477" spans="1:1" x14ac:dyDescent="0.25">
      <c r="A477">
        <v>132500</v>
      </c>
    </row>
    <row r="478" spans="1:1" x14ac:dyDescent="0.25">
      <c r="A478">
        <v>208900</v>
      </c>
    </row>
    <row r="479" spans="1:1" x14ac:dyDescent="0.25">
      <c r="A479">
        <v>380000</v>
      </c>
    </row>
    <row r="480" spans="1:1" x14ac:dyDescent="0.25">
      <c r="A480">
        <v>297000</v>
      </c>
    </row>
    <row r="481" spans="1:1" x14ac:dyDescent="0.25">
      <c r="A481">
        <v>89471</v>
      </c>
    </row>
    <row r="482" spans="1:1" x14ac:dyDescent="0.25">
      <c r="A482">
        <v>326000</v>
      </c>
    </row>
    <row r="483" spans="1:1" x14ac:dyDescent="0.25">
      <c r="A483">
        <v>374000</v>
      </c>
    </row>
    <row r="484" spans="1:1" x14ac:dyDescent="0.25">
      <c r="A484">
        <v>155000</v>
      </c>
    </row>
    <row r="485" spans="1:1" x14ac:dyDescent="0.25">
      <c r="A485">
        <v>164000</v>
      </c>
    </row>
    <row r="486" spans="1:1" x14ac:dyDescent="0.25">
      <c r="A486">
        <v>132500</v>
      </c>
    </row>
    <row r="487" spans="1:1" x14ac:dyDescent="0.25">
      <c r="A487">
        <v>147000</v>
      </c>
    </row>
    <row r="488" spans="1:1" x14ac:dyDescent="0.25">
      <c r="A488">
        <v>156000</v>
      </c>
    </row>
    <row r="489" spans="1:1" x14ac:dyDescent="0.25">
      <c r="A489">
        <v>175000</v>
      </c>
    </row>
    <row r="490" spans="1:1" x14ac:dyDescent="0.25">
      <c r="A490">
        <v>160000</v>
      </c>
    </row>
    <row r="491" spans="1:1" x14ac:dyDescent="0.25">
      <c r="A491">
        <v>86000</v>
      </c>
    </row>
    <row r="492" spans="1:1" x14ac:dyDescent="0.25">
      <c r="A492">
        <v>115000</v>
      </c>
    </row>
    <row r="493" spans="1:1" x14ac:dyDescent="0.25">
      <c r="A493">
        <v>133000</v>
      </c>
    </row>
    <row r="494" spans="1:1" x14ac:dyDescent="0.25">
      <c r="A494">
        <v>172785</v>
      </c>
    </row>
    <row r="495" spans="1:1" x14ac:dyDescent="0.25">
      <c r="A495">
        <v>155000</v>
      </c>
    </row>
    <row r="496" spans="1:1" x14ac:dyDescent="0.25">
      <c r="A496">
        <v>91300</v>
      </c>
    </row>
    <row r="497" spans="1:1" x14ac:dyDescent="0.25">
      <c r="A497">
        <v>34900</v>
      </c>
    </row>
    <row r="498" spans="1:1" x14ac:dyDescent="0.25">
      <c r="A498">
        <v>430000</v>
      </c>
    </row>
    <row r="499" spans="1:1" x14ac:dyDescent="0.25">
      <c r="A499">
        <v>184000</v>
      </c>
    </row>
    <row r="500" spans="1:1" x14ac:dyDescent="0.25">
      <c r="A500">
        <v>130000</v>
      </c>
    </row>
    <row r="501" spans="1:1" x14ac:dyDescent="0.25">
      <c r="A501">
        <v>120000</v>
      </c>
    </row>
    <row r="502" spans="1:1" x14ac:dyDescent="0.25">
      <c r="A502">
        <v>113000</v>
      </c>
    </row>
    <row r="503" spans="1:1" x14ac:dyDescent="0.25">
      <c r="A503">
        <v>226700</v>
      </c>
    </row>
    <row r="504" spans="1:1" x14ac:dyDescent="0.25">
      <c r="A504">
        <v>140000</v>
      </c>
    </row>
    <row r="505" spans="1:1" x14ac:dyDescent="0.25">
      <c r="A505">
        <v>289000</v>
      </c>
    </row>
    <row r="506" spans="1:1" x14ac:dyDescent="0.25">
      <c r="A506">
        <v>147000</v>
      </c>
    </row>
    <row r="507" spans="1:1" x14ac:dyDescent="0.25">
      <c r="A507">
        <v>124500</v>
      </c>
    </row>
    <row r="508" spans="1:1" x14ac:dyDescent="0.25">
      <c r="A508">
        <v>215000</v>
      </c>
    </row>
    <row r="509" spans="1:1" x14ac:dyDescent="0.25">
      <c r="A509">
        <v>208300</v>
      </c>
    </row>
    <row r="510" spans="1:1" x14ac:dyDescent="0.25">
      <c r="A510">
        <v>161000</v>
      </c>
    </row>
    <row r="511" spans="1:1" x14ac:dyDescent="0.25">
      <c r="A511">
        <v>124500</v>
      </c>
    </row>
    <row r="512" spans="1:1" x14ac:dyDescent="0.25">
      <c r="A512">
        <v>164900</v>
      </c>
    </row>
    <row r="513" spans="1:1" x14ac:dyDescent="0.25">
      <c r="A513">
        <v>202665</v>
      </c>
    </row>
    <row r="514" spans="1:1" x14ac:dyDescent="0.25">
      <c r="A514">
        <v>129900</v>
      </c>
    </row>
    <row r="515" spans="1:1" x14ac:dyDescent="0.25">
      <c r="A515">
        <v>134000</v>
      </c>
    </row>
    <row r="516" spans="1:1" x14ac:dyDescent="0.25">
      <c r="A516">
        <v>96500</v>
      </c>
    </row>
    <row r="517" spans="1:1" x14ac:dyDescent="0.25">
      <c r="A517">
        <v>402861</v>
      </c>
    </row>
    <row r="518" spans="1:1" x14ac:dyDescent="0.25">
      <c r="A518">
        <v>158000</v>
      </c>
    </row>
    <row r="519" spans="1:1" x14ac:dyDescent="0.25">
      <c r="A519">
        <v>265000</v>
      </c>
    </row>
    <row r="520" spans="1:1" x14ac:dyDescent="0.25">
      <c r="A520">
        <v>211000</v>
      </c>
    </row>
    <row r="521" spans="1:1" x14ac:dyDescent="0.25">
      <c r="A521">
        <v>234000</v>
      </c>
    </row>
    <row r="522" spans="1:1" x14ac:dyDescent="0.25">
      <c r="A522">
        <v>106250</v>
      </c>
    </row>
    <row r="523" spans="1:1" x14ac:dyDescent="0.25">
      <c r="A523">
        <v>150000</v>
      </c>
    </row>
    <row r="524" spans="1:1" x14ac:dyDescent="0.25">
      <c r="A524">
        <v>159000</v>
      </c>
    </row>
    <row r="525" spans="1:1" x14ac:dyDescent="0.25">
      <c r="A525">
        <v>184750</v>
      </c>
    </row>
    <row r="526" spans="1:1" x14ac:dyDescent="0.25">
      <c r="A526">
        <v>315750</v>
      </c>
    </row>
    <row r="527" spans="1:1" x14ac:dyDescent="0.25">
      <c r="A527">
        <v>176000</v>
      </c>
    </row>
    <row r="528" spans="1:1" x14ac:dyDescent="0.25">
      <c r="A528">
        <v>132000</v>
      </c>
    </row>
    <row r="529" spans="1:1" x14ac:dyDescent="0.25">
      <c r="A529">
        <v>446261</v>
      </c>
    </row>
    <row r="530" spans="1:1" x14ac:dyDescent="0.25">
      <c r="A530">
        <v>86000</v>
      </c>
    </row>
    <row r="531" spans="1:1" x14ac:dyDescent="0.25">
      <c r="A531">
        <v>200624</v>
      </c>
    </row>
    <row r="532" spans="1:1" x14ac:dyDescent="0.25">
      <c r="A532">
        <v>175000</v>
      </c>
    </row>
    <row r="533" spans="1:1" x14ac:dyDescent="0.25">
      <c r="A533">
        <v>128000</v>
      </c>
    </row>
    <row r="534" spans="1:1" x14ac:dyDescent="0.25">
      <c r="A534">
        <v>107500</v>
      </c>
    </row>
    <row r="535" spans="1:1" x14ac:dyDescent="0.25">
      <c r="A535">
        <v>39300</v>
      </c>
    </row>
    <row r="536" spans="1:1" x14ac:dyDescent="0.25">
      <c r="A536">
        <v>178000</v>
      </c>
    </row>
    <row r="537" spans="1:1" x14ac:dyDescent="0.25">
      <c r="A537">
        <v>107500</v>
      </c>
    </row>
    <row r="538" spans="1:1" x14ac:dyDescent="0.25">
      <c r="A538">
        <v>188000</v>
      </c>
    </row>
    <row r="539" spans="1:1" x14ac:dyDescent="0.25">
      <c r="A539">
        <v>111250</v>
      </c>
    </row>
    <row r="540" spans="1:1" x14ac:dyDescent="0.25">
      <c r="A540">
        <v>158000</v>
      </c>
    </row>
    <row r="541" spans="1:1" x14ac:dyDescent="0.25">
      <c r="A541">
        <v>272000</v>
      </c>
    </row>
    <row r="542" spans="1:1" x14ac:dyDescent="0.25">
      <c r="A542">
        <v>315000</v>
      </c>
    </row>
    <row r="543" spans="1:1" x14ac:dyDescent="0.25">
      <c r="A543">
        <v>248000</v>
      </c>
    </row>
    <row r="544" spans="1:1" x14ac:dyDescent="0.25">
      <c r="A544">
        <v>213250</v>
      </c>
    </row>
    <row r="545" spans="1:1" x14ac:dyDescent="0.25">
      <c r="A545">
        <v>133000</v>
      </c>
    </row>
    <row r="546" spans="1:1" x14ac:dyDescent="0.25">
      <c r="A546">
        <v>179665</v>
      </c>
    </row>
    <row r="547" spans="1:1" x14ac:dyDescent="0.25">
      <c r="A547">
        <v>229000</v>
      </c>
    </row>
    <row r="548" spans="1:1" x14ac:dyDescent="0.25">
      <c r="A548">
        <v>210000</v>
      </c>
    </row>
    <row r="549" spans="1:1" x14ac:dyDescent="0.25">
      <c r="A549">
        <v>129500</v>
      </c>
    </row>
    <row r="550" spans="1:1" x14ac:dyDescent="0.25">
      <c r="A550">
        <v>125000</v>
      </c>
    </row>
    <row r="551" spans="1:1" x14ac:dyDescent="0.25">
      <c r="A551">
        <v>263000</v>
      </c>
    </row>
    <row r="552" spans="1:1" x14ac:dyDescent="0.25">
      <c r="A552">
        <v>140000</v>
      </c>
    </row>
    <row r="553" spans="1:1" x14ac:dyDescent="0.25">
      <c r="A553">
        <v>112500</v>
      </c>
    </row>
    <row r="554" spans="1:1" x14ac:dyDescent="0.25">
      <c r="A554">
        <v>255500</v>
      </c>
    </row>
    <row r="555" spans="1:1" x14ac:dyDescent="0.25">
      <c r="A555">
        <v>108000</v>
      </c>
    </row>
    <row r="556" spans="1:1" x14ac:dyDescent="0.25">
      <c r="A556">
        <v>284000</v>
      </c>
    </row>
    <row r="557" spans="1:1" x14ac:dyDescent="0.25">
      <c r="A557">
        <v>113000</v>
      </c>
    </row>
    <row r="558" spans="1:1" x14ac:dyDescent="0.25">
      <c r="A558">
        <v>141000</v>
      </c>
    </row>
    <row r="559" spans="1:1" x14ac:dyDescent="0.25">
      <c r="A559">
        <v>108000</v>
      </c>
    </row>
    <row r="560" spans="1:1" x14ac:dyDescent="0.25">
      <c r="A560">
        <v>175000</v>
      </c>
    </row>
    <row r="561" spans="1:1" x14ac:dyDescent="0.25">
      <c r="A561">
        <v>234000</v>
      </c>
    </row>
    <row r="562" spans="1:1" x14ac:dyDescent="0.25">
      <c r="A562">
        <v>121500</v>
      </c>
    </row>
    <row r="563" spans="1:1" x14ac:dyDescent="0.25">
      <c r="A563">
        <v>170000</v>
      </c>
    </row>
    <row r="564" spans="1:1" x14ac:dyDescent="0.25">
      <c r="A564">
        <v>108000</v>
      </c>
    </row>
    <row r="565" spans="1:1" x14ac:dyDescent="0.25">
      <c r="A565">
        <v>185000</v>
      </c>
    </row>
    <row r="566" spans="1:1" x14ac:dyDescent="0.25">
      <c r="A566">
        <v>268000</v>
      </c>
    </row>
    <row r="567" spans="1:1" x14ac:dyDescent="0.25">
      <c r="A567">
        <v>128000</v>
      </c>
    </row>
    <row r="568" spans="1:1" x14ac:dyDescent="0.25">
      <c r="A568">
        <v>325000</v>
      </c>
    </row>
    <row r="569" spans="1:1" x14ac:dyDescent="0.25">
      <c r="A569">
        <v>214000</v>
      </c>
    </row>
    <row r="570" spans="1:1" x14ac:dyDescent="0.25">
      <c r="A570">
        <v>316600</v>
      </c>
    </row>
    <row r="571" spans="1:1" x14ac:dyDescent="0.25">
      <c r="A571">
        <v>135960</v>
      </c>
    </row>
    <row r="572" spans="1:1" x14ac:dyDescent="0.25">
      <c r="A572">
        <v>142600</v>
      </c>
    </row>
    <row r="573" spans="1:1" x14ac:dyDescent="0.25">
      <c r="A573">
        <v>120000</v>
      </c>
    </row>
    <row r="574" spans="1:1" x14ac:dyDescent="0.25">
      <c r="A574">
        <v>224500</v>
      </c>
    </row>
    <row r="575" spans="1:1" x14ac:dyDescent="0.25">
      <c r="A575">
        <v>170000</v>
      </c>
    </row>
    <row r="576" spans="1:1" x14ac:dyDescent="0.25">
      <c r="A576">
        <v>139000</v>
      </c>
    </row>
    <row r="577" spans="1:1" x14ac:dyDescent="0.25">
      <c r="A577">
        <v>118500</v>
      </c>
    </row>
    <row r="578" spans="1:1" x14ac:dyDescent="0.25">
      <c r="A578">
        <v>145000</v>
      </c>
    </row>
    <row r="579" spans="1:1" x14ac:dyDescent="0.25">
      <c r="A579">
        <v>164500</v>
      </c>
    </row>
    <row r="580" spans="1:1" x14ac:dyDescent="0.25">
      <c r="A580">
        <v>146000</v>
      </c>
    </row>
    <row r="581" spans="1:1" x14ac:dyDescent="0.25">
      <c r="A581">
        <v>131500</v>
      </c>
    </row>
    <row r="582" spans="1:1" x14ac:dyDescent="0.25">
      <c r="A582">
        <v>181900</v>
      </c>
    </row>
    <row r="583" spans="1:1" x14ac:dyDescent="0.25">
      <c r="A583">
        <v>253293</v>
      </c>
    </row>
    <row r="584" spans="1:1" x14ac:dyDescent="0.25">
      <c r="A584">
        <v>118500</v>
      </c>
    </row>
    <row r="585" spans="1:1" x14ac:dyDescent="0.25">
      <c r="A585">
        <v>325000</v>
      </c>
    </row>
    <row r="586" spans="1:1" x14ac:dyDescent="0.25">
      <c r="A586">
        <v>133000</v>
      </c>
    </row>
    <row r="587" spans="1:1" x14ac:dyDescent="0.25">
      <c r="A587">
        <v>369900</v>
      </c>
    </row>
    <row r="588" spans="1:1" x14ac:dyDescent="0.25">
      <c r="A588">
        <v>130000</v>
      </c>
    </row>
    <row r="589" spans="1:1" x14ac:dyDescent="0.25">
      <c r="A589">
        <v>137000</v>
      </c>
    </row>
    <row r="590" spans="1:1" x14ac:dyDescent="0.25">
      <c r="A590">
        <v>143000</v>
      </c>
    </row>
    <row r="591" spans="1:1" x14ac:dyDescent="0.25">
      <c r="A591">
        <v>79500</v>
      </c>
    </row>
    <row r="592" spans="1:1" x14ac:dyDescent="0.25">
      <c r="A592">
        <v>185900</v>
      </c>
    </row>
    <row r="593" spans="1:1" x14ac:dyDescent="0.25">
      <c r="A593">
        <v>451950</v>
      </c>
    </row>
    <row r="594" spans="1:1" x14ac:dyDescent="0.25">
      <c r="A594">
        <v>138000</v>
      </c>
    </row>
    <row r="595" spans="1:1" x14ac:dyDescent="0.25">
      <c r="A595">
        <v>140000</v>
      </c>
    </row>
    <row r="596" spans="1:1" x14ac:dyDescent="0.25">
      <c r="A596">
        <v>110000</v>
      </c>
    </row>
    <row r="597" spans="1:1" x14ac:dyDescent="0.25">
      <c r="A597">
        <v>319000</v>
      </c>
    </row>
    <row r="598" spans="1:1" x14ac:dyDescent="0.25">
      <c r="A598">
        <v>114504</v>
      </c>
    </row>
    <row r="599" spans="1:1" x14ac:dyDescent="0.25">
      <c r="A599">
        <v>194201</v>
      </c>
    </row>
    <row r="600" spans="1:1" x14ac:dyDescent="0.25">
      <c r="A600">
        <v>217500</v>
      </c>
    </row>
    <row r="601" spans="1:1" x14ac:dyDescent="0.25">
      <c r="A601">
        <v>151000</v>
      </c>
    </row>
    <row r="602" spans="1:1" x14ac:dyDescent="0.25">
      <c r="A602">
        <v>275000</v>
      </c>
    </row>
    <row r="603" spans="1:1" x14ac:dyDescent="0.25">
      <c r="A603">
        <v>141000</v>
      </c>
    </row>
    <row r="604" spans="1:1" x14ac:dyDescent="0.25">
      <c r="A604">
        <v>220000</v>
      </c>
    </row>
    <row r="605" spans="1:1" x14ac:dyDescent="0.25">
      <c r="A605">
        <v>151000</v>
      </c>
    </row>
    <row r="606" spans="1:1" x14ac:dyDescent="0.25">
      <c r="A606">
        <v>221000</v>
      </c>
    </row>
    <row r="607" spans="1:1" x14ac:dyDescent="0.25">
      <c r="A607">
        <v>205000</v>
      </c>
    </row>
    <row r="608" spans="1:1" x14ac:dyDescent="0.25">
      <c r="A608">
        <v>152000</v>
      </c>
    </row>
    <row r="609" spans="1:1" x14ac:dyDescent="0.25">
      <c r="A609">
        <v>225000</v>
      </c>
    </row>
    <row r="610" spans="1:1" x14ac:dyDescent="0.25">
      <c r="A610">
        <v>359100</v>
      </c>
    </row>
    <row r="611" spans="1:1" x14ac:dyDescent="0.25">
      <c r="A611">
        <v>118500</v>
      </c>
    </row>
    <row r="612" spans="1:1" x14ac:dyDescent="0.25">
      <c r="A612">
        <v>313000</v>
      </c>
    </row>
    <row r="613" spans="1:1" x14ac:dyDescent="0.25">
      <c r="A613">
        <v>148000</v>
      </c>
    </row>
    <row r="614" spans="1:1" x14ac:dyDescent="0.25">
      <c r="A614">
        <v>261500</v>
      </c>
    </row>
    <row r="615" spans="1:1" x14ac:dyDescent="0.25">
      <c r="A615">
        <v>147000</v>
      </c>
    </row>
    <row r="616" spans="1:1" x14ac:dyDescent="0.25">
      <c r="A616">
        <v>75500</v>
      </c>
    </row>
    <row r="617" spans="1:1" x14ac:dyDescent="0.25">
      <c r="A617">
        <v>137500</v>
      </c>
    </row>
    <row r="618" spans="1:1" x14ac:dyDescent="0.25">
      <c r="A618">
        <v>183200</v>
      </c>
    </row>
    <row r="619" spans="1:1" x14ac:dyDescent="0.25">
      <c r="A619">
        <v>105500</v>
      </c>
    </row>
    <row r="620" spans="1:1" x14ac:dyDescent="0.25">
      <c r="A620">
        <v>314813</v>
      </c>
    </row>
    <row r="621" spans="1:1" x14ac:dyDescent="0.25">
      <c r="A621">
        <v>305000</v>
      </c>
    </row>
    <row r="622" spans="1:1" x14ac:dyDescent="0.25">
      <c r="A622">
        <v>67000</v>
      </c>
    </row>
    <row r="623" spans="1:1" x14ac:dyDescent="0.25">
      <c r="A623">
        <v>240000</v>
      </c>
    </row>
    <row r="624" spans="1:1" x14ac:dyDescent="0.25">
      <c r="A624">
        <v>135000</v>
      </c>
    </row>
    <row r="625" spans="1:1" x14ac:dyDescent="0.25">
      <c r="A625">
        <v>168500</v>
      </c>
    </row>
    <row r="626" spans="1:1" x14ac:dyDescent="0.25">
      <c r="A626">
        <v>165150</v>
      </c>
    </row>
    <row r="627" spans="1:1" x14ac:dyDescent="0.25">
      <c r="A627">
        <v>160000</v>
      </c>
    </row>
    <row r="628" spans="1:1" x14ac:dyDescent="0.25">
      <c r="A628">
        <v>139900</v>
      </c>
    </row>
    <row r="629" spans="1:1" x14ac:dyDescent="0.25">
      <c r="A629">
        <v>153000</v>
      </c>
    </row>
    <row r="630" spans="1:1" x14ac:dyDescent="0.25">
      <c r="A630">
        <v>135000</v>
      </c>
    </row>
    <row r="631" spans="1:1" x14ac:dyDescent="0.25">
      <c r="A631">
        <v>168500</v>
      </c>
    </row>
    <row r="632" spans="1:1" x14ac:dyDescent="0.25">
      <c r="A632">
        <v>124000</v>
      </c>
    </row>
    <row r="633" spans="1:1" x14ac:dyDescent="0.25">
      <c r="A633">
        <v>209500</v>
      </c>
    </row>
    <row r="634" spans="1:1" x14ac:dyDescent="0.25">
      <c r="A634">
        <v>82500</v>
      </c>
    </row>
    <row r="635" spans="1:1" x14ac:dyDescent="0.25">
      <c r="A635">
        <v>139400</v>
      </c>
    </row>
    <row r="636" spans="1:1" x14ac:dyDescent="0.25">
      <c r="A636">
        <v>144000</v>
      </c>
    </row>
    <row r="637" spans="1:1" x14ac:dyDescent="0.25">
      <c r="A637">
        <v>200000</v>
      </c>
    </row>
    <row r="638" spans="1:1" x14ac:dyDescent="0.25">
      <c r="A638">
        <v>60000</v>
      </c>
    </row>
    <row r="639" spans="1:1" x14ac:dyDescent="0.25">
      <c r="A639">
        <v>93000</v>
      </c>
    </row>
    <row r="640" spans="1:1" x14ac:dyDescent="0.25">
      <c r="A640">
        <v>85000</v>
      </c>
    </row>
    <row r="641" spans="1:1" x14ac:dyDescent="0.25">
      <c r="A641">
        <v>264561</v>
      </c>
    </row>
    <row r="642" spans="1:1" x14ac:dyDescent="0.25">
      <c r="A642">
        <v>274000</v>
      </c>
    </row>
    <row r="643" spans="1:1" x14ac:dyDescent="0.25">
      <c r="A643">
        <v>226000</v>
      </c>
    </row>
    <row r="644" spans="1:1" x14ac:dyDescent="0.25">
      <c r="A644">
        <v>345000</v>
      </c>
    </row>
    <row r="645" spans="1:1" x14ac:dyDescent="0.25">
      <c r="A645">
        <v>152000</v>
      </c>
    </row>
    <row r="646" spans="1:1" x14ac:dyDescent="0.25">
      <c r="A646">
        <v>370878</v>
      </c>
    </row>
    <row r="647" spans="1:1" x14ac:dyDescent="0.25">
      <c r="A647">
        <v>143250</v>
      </c>
    </row>
    <row r="648" spans="1:1" x14ac:dyDescent="0.25">
      <c r="A648">
        <v>98300</v>
      </c>
    </row>
    <row r="649" spans="1:1" x14ac:dyDescent="0.25">
      <c r="A649">
        <v>155000</v>
      </c>
    </row>
    <row r="650" spans="1:1" x14ac:dyDescent="0.25">
      <c r="A650">
        <v>155000</v>
      </c>
    </row>
    <row r="651" spans="1:1" x14ac:dyDescent="0.25">
      <c r="A651">
        <v>84500</v>
      </c>
    </row>
    <row r="652" spans="1:1" x14ac:dyDescent="0.25">
      <c r="A652">
        <v>205950</v>
      </c>
    </row>
    <row r="653" spans="1:1" x14ac:dyDescent="0.25">
      <c r="A653">
        <v>108000</v>
      </c>
    </row>
    <row r="654" spans="1:1" x14ac:dyDescent="0.25">
      <c r="A654">
        <v>191000</v>
      </c>
    </row>
    <row r="655" spans="1:1" x14ac:dyDescent="0.25">
      <c r="A655">
        <v>135000</v>
      </c>
    </row>
    <row r="656" spans="1:1" x14ac:dyDescent="0.25">
      <c r="A656">
        <v>350000</v>
      </c>
    </row>
    <row r="657" spans="1:1" x14ac:dyDescent="0.25">
      <c r="A657">
        <v>88000</v>
      </c>
    </row>
    <row r="658" spans="1:1" x14ac:dyDescent="0.25">
      <c r="A658">
        <v>145500</v>
      </c>
    </row>
    <row r="659" spans="1:1" x14ac:dyDescent="0.25">
      <c r="A659">
        <v>149000</v>
      </c>
    </row>
    <row r="660" spans="1:1" x14ac:dyDescent="0.25">
      <c r="A660">
        <v>97500</v>
      </c>
    </row>
    <row r="661" spans="1:1" x14ac:dyDescent="0.25">
      <c r="A661">
        <v>167000</v>
      </c>
    </row>
    <row r="662" spans="1:1" x14ac:dyDescent="0.25">
      <c r="A662">
        <v>197900</v>
      </c>
    </row>
    <row r="663" spans="1:1" x14ac:dyDescent="0.25">
      <c r="A663">
        <v>402000</v>
      </c>
    </row>
    <row r="664" spans="1:1" x14ac:dyDescent="0.25">
      <c r="A664">
        <v>110000</v>
      </c>
    </row>
    <row r="665" spans="1:1" x14ac:dyDescent="0.25">
      <c r="A665">
        <v>137500</v>
      </c>
    </row>
    <row r="666" spans="1:1" x14ac:dyDescent="0.25">
      <c r="A666">
        <v>423000</v>
      </c>
    </row>
    <row r="667" spans="1:1" x14ac:dyDescent="0.25">
      <c r="A667">
        <v>230500</v>
      </c>
    </row>
    <row r="668" spans="1:1" x14ac:dyDescent="0.25">
      <c r="A668">
        <v>129000</v>
      </c>
    </row>
    <row r="669" spans="1:1" x14ac:dyDescent="0.25">
      <c r="A669">
        <v>193500</v>
      </c>
    </row>
    <row r="670" spans="1:1" x14ac:dyDescent="0.25">
      <c r="A670">
        <v>168000</v>
      </c>
    </row>
    <row r="671" spans="1:1" x14ac:dyDescent="0.25">
      <c r="A671">
        <v>137500</v>
      </c>
    </row>
    <row r="672" spans="1:1" x14ac:dyDescent="0.25">
      <c r="A672">
        <v>173500</v>
      </c>
    </row>
    <row r="673" spans="1:1" x14ac:dyDescent="0.25">
      <c r="A673">
        <v>103600</v>
      </c>
    </row>
    <row r="674" spans="1:1" x14ac:dyDescent="0.25">
      <c r="A674">
        <v>165000</v>
      </c>
    </row>
    <row r="675" spans="1:1" x14ac:dyDescent="0.25">
      <c r="A675">
        <v>257500</v>
      </c>
    </row>
    <row r="676" spans="1:1" x14ac:dyDescent="0.25">
      <c r="A676">
        <v>140000</v>
      </c>
    </row>
    <row r="677" spans="1:1" x14ac:dyDescent="0.25">
      <c r="A677">
        <v>148500</v>
      </c>
    </row>
    <row r="678" spans="1:1" x14ac:dyDescent="0.25">
      <c r="A678">
        <v>87000</v>
      </c>
    </row>
    <row r="679" spans="1:1" x14ac:dyDescent="0.25">
      <c r="A679">
        <v>109500</v>
      </c>
    </row>
    <row r="680" spans="1:1" x14ac:dyDescent="0.25">
      <c r="A680">
        <v>372500</v>
      </c>
    </row>
    <row r="681" spans="1:1" x14ac:dyDescent="0.25">
      <c r="A681">
        <v>128500</v>
      </c>
    </row>
    <row r="682" spans="1:1" x14ac:dyDescent="0.25">
      <c r="A682">
        <v>143000</v>
      </c>
    </row>
    <row r="683" spans="1:1" x14ac:dyDescent="0.25">
      <c r="A683">
        <v>159434</v>
      </c>
    </row>
    <row r="684" spans="1:1" x14ac:dyDescent="0.25">
      <c r="A684">
        <v>173000</v>
      </c>
    </row>
    <row r="685" spans="1:1" x14ac:dyDescent="0.25">
      <c r="A685">
        <v>285000</v>
      </c>
    </row>
    <row r="686" spans="1:1" x14ac:dyDescent="0.25">
      <c r="A686">
        <v>221000</v>
      </c>
    </row>
    <row r="687" spans="1:1" x14ac:dyDescent="0.25">
      <c r="A687">
        <v>207500</v>
      </c>
    </row>
    <row r="688" spans="1:1" x14ac:dyDescent="0.25">
      <c r="A688">
        <v>227875</v>
      </c>
    </row>
    <row r="689" spans="1:1" x14ac:dyDescent="0.25">
      <c r="A689">
        <v>148800</v>
      </c>
    </row>
    <row r="690" spans="1:1" x14ac:dyDescent="0.25">
      <c r="A690">
        <v>392000</v>
      </c>
    </row>
    <row r="691" spans="1:1" x14ac:dyDescent="0.25">
      <c r="A691">
        <v>194700</v>
      </c>
    </row>
    <row r="692" spans="1:1" x14ac:dyDescent="0.25">
      <c r="A692">
        <v>141000</v>
      </c>
    </row>
    <row r="693" spans="1:1" x14ac:dyDescent="0.25">
      <c r="A693">
        <v>755000</v>
      </c>
    </row>
    <row r="694" spans="1:1" x14ac:dyDescent="0.25">
      <c r="A694">
        <v>335000</v>
      </c>
    </row>
    <row r="695" spans="1:1" x14ac:dyDescent="0.25">
      <c r="A695">
        <v>108480</v>
      </c>
    </row>
    <row r="696" spans="1:1" x14ac:dyDescent="0.25">
      <c r="A696">
        <v>141500</v>
      </c>
    </row>
    <row r="697" spans="1:1" x14ac:dyDescent="0.25">
      <c r="A697">
        <v>176000</v>
      </c>
    </row>
    <row r="698" spans="1:1" x14ac:dyDescent="0.25">
      <c r="A698">
        <v>89000</v>
      </c>
    </row>
    <row r="699" spans="1:1" x14ac:dyDescent="0.25">
      <c r="A699">
        <v>123500</v>
      </c>
    </row>
    <row r="700" spans="1:1" x14ac:dyDescent="0.25">
      <c r="A700">
        <v>138500</v>
      </c>
    </row>
    <row r="701" spans="1:1" x14ac:dyDescent="0.25">
      <c r="A701">
        <v>196000</v>
      </c>
    </row>
    <row r="702" spans="1:1" x14ac:dyDescent="0.25">
      <c r="A702">
        <v>312500</v>
      </c>
    </row>
    <row r="703" spans="1:1" x14ac:dyDescent="0.25">
      <c r="A703">
        <v>140000</v>
      </c>
    </row>
    <row r="704" spans="1:1" x14ac:dyDescent="0.25">
      <c r="A704">
        <v>361919</v>
      </c>
    </row>
    <row r="705" spans="1:1" x14ac:dyDescent="0.25">
      <c r="A705">
        <v>140000</v>
      </c>
    </row>
    <row r="706" spans="1:1" x14ac:dyDescent="0.25">
      <c r="A706">
        <v>213000</v>
      </c>
    </row>
    <row r="707" spans="1:1" x14ac:dyDescent="0.25">
      <c r="A707">
        <v>55000</v>
      </c>
    </row>
    <row r="708" spans="1:1" x14ac:dyDescent="0.25">
      <c r="A708">
        <v>302000</v>
      </c>
    </row>
    <row r="709" spans="1:1" x14ac:dyDescent="0.25">
      <c r="A709">
        <v>254000</v>
      </c>
    </row>
    <row r="710" spans="1:1" x14ac:dyDescent="0.25">
      <c r="A710">
        <v>179540</v>
      </c>
    </row>
    <row r="711" spans="1:1" x14ac:dyDescent="0.25">
      <c r="A711">
        <v>109900</v>
      </c>
    </row>
    <row r="712" spans="1:1" x14ac:dyDescent="0.25">
      <c r="A712">
        <v>52000</v>
      </c>
    </row>
    <row r="713" spans="1:1" x14ac:dyDescent="0.25">
      <c r="A713">
        <v>102776</v>
      </c>
    </row>
    <row r="714" spans="1:1" x14ac:dyDescent="0.25">
      <c r="A714">
        <v>189000</v>
      </c>
    </row>
    <row r="715" spans="1:1" x14ac:dyDescent="0.25">
      <c r="A715">
        <v>129000</v>
      </c>
    </row>
    <row r="716" spans="1:1" x14ac:dyDescent="0.25">
      <c r="A716">
        <v>130500</v>
      </c>
    </row>
    <row r="717" spans="1:1" x14ac:dyDescent="0.25">
      <c r="A717">
        <v>165000</v>
      </c>
    </row>
    <row r="718" spans="1:1" x14ac:dyDescent="0.25">
      <c r="A718">
        <v>159500</v>
      </c>
    </row>
    <row r="719" spans="1:1" x14ac:dyDescent="0.25">
      <c r="A719">
        <v>157000</v>
      </c>
    </row>
    <row r="720" spans="1:1" x14ac:dyDescent="0.25">
      <c r="A720">
        <v>341000</v>
      </c>
    </row>
    <row r="721" spans="1:1" x14ac:dyDescent="0.25">
      <c r="A721">
        <v>128500</v>
      </c>
    </row>
    <row r="722" spans="1:1" x14ac:dyDescent="0.25">
      <c r="A722">
        <v>275000</v>
      </c>
    </row>
    <row r="723" spans="1:1" x14ac:dyDescent="0.25">
      <c r="A723">
        <v>143000</v>
      </c>
    </row>
    <row r="724" spans="1:1" x14ac:dyDescent="0.25">
      <c r="A724">
        <v>124500</v>
      </c>
    </row>
    <row r="725" spans="1:1" x14ac:dyDescent="0.25">
      <c r="A725">
        <v>135000</v>
      </c>
    </row>
    <row r="726" spans="1:1" x14ac:dyDescent="0.25">
      <c r="A726">
        <v>320000</v>
      </c>
    </row>
    <row r="727" spans="1:1" x14ac:dyDescent="0.25">
      <c r="A727">
        <v>120500</v>
      </c>
    </row>
    <row r="728" spans="1:1" x14ac:dyDescent="0.25">
      <c r="A728">
        <v>222000</v>
      </c>
    </row>
    <row r="729" spans="1:1" x14ac:dyDescent="0.25">
      <c r="A729">
        <v>194500</v>
      </c>
    </row>
    <row r="730" spans="1:1" x14ac:dyDescent="0.25">
      <c r="A730">
        <v>110000</v>
      </c>
    </row>
    <row r="731" spans="1:1" x14ac:dyDescent="0.25">
      <c r="A731">
        <v>103000</v>
      </c>
    </row>
    <row r="732" spans="1:1" x14ac:dyDescent="0.25">
      <c r="A732">
        <v>236500</v>
      </c>
    </row>
    <row r="733" spans="1:1" x14ac:dyDescent="0.25">
      <c r="A733">
        <v>187500</v>
      </c>
    </row>
    <row r="734" spans="1:1" x14ac:dyDescent="0.25">
      <c r="A734">
        <v>222500</v>
      </c>
    </row>
    <row r="735" spans="1:1" x14ac:dyDescent="0.25">
      <c r="A735">
        <v>131400</v>
      </c>
    </row>
    <row r="736" spans="1:1" x14ac:dyDescent="0.25">
      <c r="A736">
        <v>108000</v>
      </c>
    </row>
    <row r="737" spans="1:1" x14ac:dyDescent="0.25">
      <c r="A737">
        <v>163000</v>
      </c>
    </row>
    <row r="738" spans="1:1" x14ac:dyDescent="0.25">
      <c r="A738">
        <v>93500</v>
      </c>
    </row>
    <row r="739" spans="1:1" x14ac:dyDescent="0.25">
      <c r="A739">
        <v>239900</v>
      </c>
    </row>
    <row r="740" spans="1:1" x14ac:dyDescent="0.25">
      <c r="A740">
        <v>179000</v>
      </c>
    </row>
    <row r="741" spans="1:1" x14ac:dyDescent="0.25">
      <c r="A741">
        <v>190000</v>
      </c>
    </row>
    <row r="742" spans="1:1" x14ac:dyDescent="0.25">
      <c r="A742">
        <v>132000</v>
      </c>
    </row>
    <row r="743" spans="1:1" x14ac:dyDescent="0.25">
      <c r="A743">
        <v>142000</v>
      </c>
    </row>
    <row r="744" spans="1:1" x14ac:dyDescent="0.25">
      <c r="A744">
        <v>179000</v>
      </c>
    </row>
    <row r="745" spans="1:1" x14ac:dyDescent="0.25">
      <c r="A745">
        <v>175000</v>
      </c>
    </row>
    <row r="746" spans="1:1" x14ac:dyDescent="0.25">
      <c r="A746">
        <v>180000</v>
      </c>
    </row>
    <row r="747" spans="1:1" x14ac:dyDescent="0.25">
      <c r="A747">
        <v>299800</v>
      </c>
    </row>
    <row r="748" spans="1:1" x14ac:dyDescent="0.25">
      <c r="A748">
        <v>236000</v>
      </c>
    </row>
    <row r="749" spans="1:1" x14ac:dyDescent="0.25">
      <c r="A749">
        <v>265979</v>
      </c>
    </row>
    <row r="750" spans="1:1" x14ac:dyDescent="0.25">
      <c r="A750">
        <v>260400</v>
      </c>
    </row>
    <row r="751" spans="1:1" x14ac:dyDescent="0.25">
      <c r="A751">
        <v>98000</v>
      </c>
    </row>
    <row r="752" spans="1:1" x14ac:dyDescent="0.25">
      <c r="A752">
        <v>96500</v>
      </c>
    </row>
    <row r="753" spans="1:1" x14ac:dyDescent="0.25">
      <c r="A753">
        <v>162000</v>
      </c>
    </row>
    <row r="754" spans="1:1" x14ac:dyDescent="0.25">
      <c r="A754">
        <v>217000</v>
      </c>
    </row>
    <row r="755" spans="1:1" x14ac:dyDescent="0.25">
      <c r="A755">
        <v>275500</v>
      </c>
    </row>
    <row r="756" spans="1:1" x14ac:dyDescent="0.25">
      <c r="A756">
        <v>156000</v>
      </c>
    </row>
    <row r="757" spans="1:1" x14ac:dyDescent="0.25">
      <c r="A757">
        <v>172500</v>
      </c>
    </row>
    <row r="758" spans="1:1" x14ac:dyDescent="0.25">
      <c r="A758">
        <v>212000</v>
      </c>
    </row>
    <row r="759" spans="1:1" x14ac:dyDescent="0.25">
      <c r="A759">
        <v>158900</v>
      </c>
    </row>
    <row r="760" spans="1:1" x14ac:dyDescent="0.25">
      <c r="A760">
        <v>179400</v>
      </c>
    </row>
    <row r="761" spans="1:1" x14ac:dyDescent="0.25">
      <c r="A761">
        <v>290000</v>
      </c>
    </row>
    <row r="762" spans="1:1" x14ac:dyDescent="0.25">
      <c r="A762">
        <v>127500</v>
      </c>
    </row>
    <row r="763" spans="1:1" x14ac:dyDescent="0.25">
      <c r="A763">
        <v>100000</v>
      </c>
    </row>
    <row r="764" spans="1:1" x14ac:dyDescent="0.25">
      <c r="A764">
        <v>215200</v>
      </c>
    </row>
    <row r="765" spans="1:1" x14ac:dyDescent="0.25">
      <c r="A765">
        <v>337000</v>
      </c>
    </row>
    <row r="766" spans="1:1" x14ac:dyDescent="0.25">
      <c r="A766">
        <v>270000</v>
      </c>
    </row>
    <row r="767" spans="1:1" x14ac:dyDescent="0.25">
      <c r="A767">
        <v>264132</v>
      </c>
    </row>
    <row r="768" spans="1:1" x14ac:dyDescent="0.25">
      <c r="A768">
        <v>196500</v>
      </c>
    </row>
    <row r="769" spans="1:1" x14ac:dyDescent="0.25">
      <c r="A769">
        <v>160000</v>
      </c>
    </row>
    <row r="770" spans="1:1" x14ac:dyDescent="0.25">
      <c r="A770">
        <v>216837</v>
      </c>
    </row>
    <row r="771" spans="1:1" x14ac:dyDescent="0.25">
      <c r="A771">
        <v>538000</v>
      </c>
    </row>
    <row r="772" spans="1:1" x14ac:dyDescent="0.25">
      <c r="A772">
        <v>134900</v>
      </c>
    </row>
    <row r="773" spans="1:1" x14ac:dyDescent="0.25">
      <c r="A773">
        <v>102000</v>
      </c>
    </row>
    <row r="774" spans="1:1" x14ac:dyDescent="0.25">
      <c r="A774">
        <v>107000</v>
      </c>
    </row>
    <row r="775" spans="1:1" x14ac:dyDescent="0.25">
      <c r="A775">
        <v>114500</v>
      </c>
    </row>
    <row r="776" spans="1:1" x14ac:dyDescent="0.25">
      <c r="A776">
        <v>395000</v>
      </c>
    </row>
    <row r="777" spans="1:1" x14ac:dyDescent="0.25">
      <c r="A777">
        <v>162000</v>
      </c>
    </row>
    <row r="778" spans="1:1" x14ac:dyDescent="0.25">
      <c r="A778">
        <v>221500</v>
      </c>
    </row>
    <row r="779" spans="1:1" x14ac:dyDescent="0.25">
      <c r="A779">
        <v>142500</v>
      </c>
    </row>
    <row r="780" spans="1:1" x14ac:dyDescent="0.25">
      <c r="A780">
        <v>144000</v>
      </c>
    </row>
    <row r="781" spans="1:1" x14ac:dyDescent="0.25">
      <c r="A781">
        <v>135000</v>
      </c>
    </row>
    <row r="782" spans="1:1" x14ac:dyDescent="0.25">
      <c r="A782">
        <v>176000</v>
      </c>
    </row>
    <row r="783" spans="1:1" x14ac:dyDescent="0.25">
      <c r="A783">
        <v>175900</v>
      </c>
    </row>
    <row r="784" spans="1:1" x14ac:dyDescent="0.25">
      <c r="A784">
        <v>187100</v>
      </c>
    </row>
    <row r="785" spans="1:1" x14ac:dyDescent="0.25">
      <c r="A785">
        <v>165500</v>
      </c>
    </row>
    <row r="786" spans="1:1" x14ac:dyDescent="0.25">
      <c r="A786">
        <v>128000</v>
      </c>
    </row>
    <row r="787" spans="1:1" x14ac:dyDescent="0.25">
      <c r="A787">
        <v>161500</v>
      </c>
    </row>
    <row r="788" spans="1:1" x14ac:dyDescent="0.25">
      <c r="A788">
        <v>139000</v>
      </c>
    </row>
    <row r="789" spans="1:1" x14ac:dyDescent="0.25">
      <c r="A789">
        <v>233000</v>
      </c>
    </row>
    <row r="790" spans="1:1" x14ac:dyDescent="0.25">
      <c r="A790">
        <v>107900</v>
      </c>
    </row>
    <row r="791" spans="1:1" x14ac:dyDescent="0.25">
      <c r="A791">
        <v>187500</v>
      </c>
    </row>
    <row r="792" spans="1:1" x14ac:dyDescent="0.25">
      <c r="A792">
        <v>160200</v>
      </c>
    </row>
    <row r="793" spans="1:1" x14ac:dyDescent="0.25">
      <c r="A793">
        <v>146800</v>
      </c>
    </row>
    <row r="794" spans="1:1" x14ac:dyDescent="0.25">
      <c r="A794">
        <v>269790</v>
      </c>
    </row>
    <row r="795" spans="1:1" x14ac:dyDescent="0.25">
      <c r="A795">
        <v>225000</v>
      </c>
    </row>
    <row r="796" spans="1:1" x14ac:dyDescent="0.25">
      <c r="A796">
        <v>194500</v>
      </c>
    </row>
    <row r="797" spans="1:1" x14ac:dyDescent="0.25">
      <c r="A797">
        <v>171000</v>
      </c>
    </row>
    <row r="798" spans="1:1" x14ac:dyDescent="0.25">
      <c r="A798">
        <v>143500</v>
      </c>
    </row>
    <row r="799" spans="1:1" x14ac:dyDescent="0.25">
      <c r="A799">
        <v>110000</v>
      </c>
    </row>
    <row r="800" spans="1:1" x14ac:dyDescent="0.25">
      <c r="A800">
        <v>485000</v>
      </c>
    </row>
    <row r="801" spans="1:1" x14ac:dyDescent="0.25">
      <c r="A801">
        <v>175000</v>
      </c>
    </row>
    <row r="802" spans="1:1" x14ac:dyDescent="0.25">
      <c r="A802">
        <v>200000</v>
      </c>
    </row>
    <row r="803" spans="1:1" x14ac:dyDescent="0.25">
      <c r="A803">
        <v>109900</v>
      </c>
    </row>
    <row r="804" spans="1:1" x14ac:dyDescent="0.25">
      <c r="A804">
        <v>189000</v>
      </c>
    </row>
    <row r="805" spans="1:1" x14ac:dyDescent="0.25">
      <c r="A805">
        <v>582933</v>
      </c>
    </row>
    <row r="806" spans="1:1" x14ac:dyDescent="0.25">
      <c r="A806">
        <v>118000</v>
      </c>
    </row>
    <row r="807" spans="1:1" x14ac:dyDescent="0.25">
      <c r="A807">
        <v>227680</v>
      </c>
    </row>
    <row r="808" spans="1:1" x14ac:dyDescent="0.25">
      <c r="A808">
        <v>135500</v>
      </c>
    </row>
    <row r="809" spans="1:1" x14ac:dyDescent="0.25">
      <c r="A809">
        <v>223500</v>
      </c>
    </row>
    <row r="810" spans="1:1" x14ac:dyDescent="0.25">
      <c r="A810">
        <v>159950</v>
      </c>
    </row>
    <row r="811" spans="1:1" x14ac:dyDescent="0.25">
      <c r="A811">
        <v>106000</v>
      </c>
    </row>
    <row r="812" spans="1:1" x14ac:dyDescent="0.25">
      <c r="A812">
        <v>181000</v>
      </c>
    </row>
    <row r="813" spans="1:1" x14ac:dyDescent="0.25">
      <c r="A813">
        <v>144500</v>
      </c>
    </row>
    <row r="814" spans="1:1" x14ac:dyDescent="0.25">
      <c r="A814">
        <v>55993</v>
      </c>
    </row>
    <row r="815" spans="1:1" x14ac:dyDescent="0.25">
      <c r="A815">
        <v>157900</v>
      </c>
    </row>
    <row r="816" spans="1:1" x14ac:dyDescent="0.25">
      <c r="A816">
        <v>116000</v>
      </c>
    </row>
    <row r="817" spans="1:1" x14ac:dyDescent="0.25">
      <c r="A817">
        <v>224900</v>
      </c>
    </row>
    <row r="818" spans="1:1" x14ac:dyDescent="0.25">
      <c r="A818">
        <v>137000</v>
      </c>
    </row>
    <row r="819" spans="1:1" x14ac:dyDescent="0.25">
      <c r="A819">
        <v>271000</v>
      </c>
    </row>
    <row r="820" spans="1:1" x14ac:dyDescent="0.25">
      <c r="A820">
        <v>155000</v>
      </c>
    </row>
    <row r="821" spans="1:1" x14ac:dyDescent="0.25">
      <c r="A821">
        <v>224000</v>
      </c>
    </row>
    <row r="822" spans="1:1" x14ac:dyDescent="0.25">
      <c r="A822">
        <v>183000</v>
      </c>
    </row>
    <row r="823" spans="1:1" x14ac:dyDescent="0.25">
      <c r="A823">
        <v>93000</v>
      </c>
    </row>
    <row r="824" spans="1:1" x14ac:dyDescent="0.25">
      <c r="A824">
        <v>225000</v>
      </c>
    </row>
    <row r="825" spans="1:1" x14ac:dyDescent="0.25">
      <c r="A825">
        <v>139500</v>
      </c>
    </row>
    <row r="826" spans="1:1" x14ac:dyDescent="0.25">
      <c r="A826">
        <v>232600</v>
      </c>
    </row>
    <row r="827" spans="1:1" x14ac:dyDescent="0.25">
      <c r="A827">
        <v>385000</v>
      </c>
    </row>
    <row r="828" spans="1:1" x14ac:dyDescent="0.25">
      <c r="A828">
        <v>109500</v>
      </c>
    </row>
    <row r="829" spans="1:1" x14ac:dyDescent="0.25">
      <c r="A829">
        <v>189000</v>
      </c>
    </row>
    <row r="830" spans="1:1" x14ac:dyDescent="0.25">
      <c r="A830">
        <v>185000</v>
      </c>
    </row>
    <row r="831" spans="1:1" x14ac:dyDescent="0.25">
      <c r="A831">
        <v>147400</v>
      </c>
    </row>
    <row r="832" spans="1:1" x14ac:dyDescent="0.25">
      <c r="A832">
        <v>166000</v>
      </c>
    </row>
    <row r="833" spans="1:1" x14ac:dyDescent="0.25">
      <c r="A833">
        <v>151000</v>
      </c>
    </row>
    <row r="834" spans="1:1" x14ac:dyDescent="0.25">
      <c r="A834">
        <v>237000</v>
      </c>
    </row>
    <row r="835" spans="1:1" x14ac:dyDescent="0.25">
      <c r="A835">
        <v>167000</v>
      </c>
    </row>
    <row r="836" spans="1:1" x14ac:dyDescent="0.25">
      <c r="A836">
        <v>139950</v>
      </c>
    </row>
    <row r="837" spans="1:1" x14ac:dyDescent="0.25">
      <c r="A837">
        <v>128000</v>
      </c>
    </row>
    <row r="838" spans="1:1" x14ac:dyDescent="0.25">
      <c r="A838">
        <v>153500</v>
      </c>
    </row>
    <row r="839" spans="1:1" x14ac:dyDescent="0.25">
      <c r="A839">
        <v>100000</v>
      </c>
    </row>
    <row r="840" spans="1:1" x14ac:dyDescent="0.25">
      <c r="A840">
        <v>144000</v>
      </c>
    </row>
    <row r="841" spans="1:1" x14ac:dyDescent="0.25">
      <c r="A841">
        <v>130500</v>
      </c>
    </row>
    <row r="842" spans="1:1" x14ac:dyDescent="0.25">
      <c r="A842">
        <v>140000</v>
      </c>
    </row>
    <row r="843" spans="1:1" x14ac:dyDescent="0.25">
      <c r="A843">
        <v>157500</v>
      </c>
    </row>
    <row r="844" spans="1:1" x14ac:dyDescent="0.25">
      <c r="A844">
        <v>174900</v>
      </c>
    </row>
    <row r="845" spans="1:1" x14ac:dyDescent="0.25">
      <c r="A845">
        <v>141000</v>
      </c>
    </row>
    <row r="846" spans="1:1" x14ac:dyDescent="0.25">
      <c r="A846">
        <v>153900</v>
      </c>
    </row>
    <row r="847" spans="1:1" x14ac:dyDescent="0.25">
      <c r="A847">
        <v>171000</v>
      </c>
    </row>
    <row r="848" spans="1:1" x14ac:dyDescent="0.25">
      <c r="A848">
        <v>213000</v>
      </c>
    </row>
    <row r="849" spans="1:1" x14ac:dyDescent="0.25">
      <c r="A849">
        <v>133500</v>
      </c>
    </row>
    <row r="850" spans="1:1" x14ac:dyDescent="0.25">
      <c r="A850">
        <v>240000</v>
      </c>
    </row>
    <row r="851" spans="1:1" x14ac:dyDescent="0.25">
      <c r="A851">
        <v>187000</v>
      </c>
    </row>
    <row r="852" spans="1:1" x14ac:dyDescent="0.25">
      <c r="A852">
        <v>131500</v>
      </c>
    </row>
    <row r="853" spans="1:1" x14ac:dyDescent="0.25">
      <c r="A853">
        <v>215000</v>
      </c>
    </row>
    <row r="854" spans="1:1" x14ac:dyDescent="0.25">
      <c r="A854">
        <v>164000</v>
      </c>
    </row>
    <row r="855" spans="1:1" x14ac:dyDescent="0.25">
      <c r="A855">
        <v>158000</v>
      </c>
    </row>
    <row r="856" spans="1:1" x14ac:dyDescent="0.25">
      <c r="A856">
        <v>170000</v>
      </c>
    </row>
    <row r="857" spans="1:1" x14ac:dyDescent="0.25">
      <c r="A857">
        <v>127000</v>
      </c>
    </row>
    <row r="858" spans="1:1" x14ac:dyDescent="0.25">
      <c r="A858">
        <v>147000</v>
      </c>
    </row>
    <row r="859" spans="1:1" x14ac:dyDescent="0.25">
      <c r="A859">
        <v>174000</v>
      </c>
    </row>
    <row r="860" spans="1:1" x14ac:dyDescent="0.25">
      <c r="A860">
        <v>152000</v>
      </c>
    </row>
    <row r="861" spans="1:1" x14ac:dyDescent="0.25">
      <c r="A861">
        <v>250000</v>
      </c>
    </row>
    <row r="862" spans="1:1" x14ac:dyDescent="0.25">
      <c r="A862">
        <v>189950</v>
      </c>
    </row>
    <row r="863" spans="1:1" x14ac:dyDescent="0.25">
      <c r="A863">
        <v>131500</v>
      </c>
    </row>
    <row r="864" spans="1:1" x14ac:dyDescent="0.25">
      <c r="A864">
        <v>152000</v>
      </c>
    </row>
    <row r="865" spans="1:1" x14ac:dyDescent="0.25">
      <c r="A865">
        <v>132500</v>
      </c>
    </row>
    <row r="866" spans="1:1" x14ac:dyDescent="0.25">
      <c r="A866">
        <v>250580</v>
      </c>
    </row>
    <row r="867" spans="1:1" x14ac:dyDescent="0.25">
      <c r="A867">
        <v>148500</v>
      </c>
    </row>
    <row r="868" spans="1:1" x14ac:dyDescent="0.25">
      <c r="A868">
        <v>248900</v>
      </c>
    </row>
    <row r="869" spans="1:1" x14ac:dyDescent="0.25">
      <c r="A869">
        <v>129000</v>
      </c>
    </row>
    <row r="870" spans="1:1" x14ac:dyDescent="0.25">
      <c r="A870">
        <v>169000</v>
      </c>
    </row>
    <row r="871" spans="1:1" x14ac:dyDescent="0.25">
      <c r="A871">
        <v>236000</v>
      </c>
    </row>
    <row r="872" spans="1:1" x14ac:dyDescent="0.25">
      <c r="A872">
        <v>109500</v>
      </c>
    </row>
    <row r="873" spans="1:1" x14ac:dyDescent="0.25">
      <c r="A873">
        <v>200500</v>
      </c>
    </row>
    <row r="874" spans="1:1" x14ac:dyDescent="0.25">
      <c r="A874">
        <v>116000</v>
      </c>
    </row>
    <row r="875" spans="1:1" x14ac:dyDescent="0.25">
      <c r="A875">
        <v>133000</v>
      </c>
    </row>
    <row r="876" spans="1:1" x14ac:dyDescent="0.25">
      <c r="A876">
        <v>66500</v>
      </c>
    </row>
    <row r="877" spans="1:1" x14ac:dyDescent="0.25">
      <c r="A877">
        <v>303477</v>
      </c>
    </row>
    <row r="878" spans="1:1" x14ac:dyDescent="0.25">
      <c r="A878">
        <v>132250</v>
      </c>
    </row>
    <row r="879" spans="1:1" x14ac:dyDescent="0.25">
      <c r="A879">
        <v>350000</v>
      </c>
    </row>
    <row r="880" spans="1:1" x14ac:dyDescent="0.25">
      <c r="A880">
        <v>148000</v>
      </c>
    </row>
    <row r="881" spans="1:1" x14ac:dyDescent="0.25">
      <c r="A881">
        <v>136500</v>
      </c>
    </row>
    <row r="882" spans="1:1" x14ac:dyDescent="0.25">
      <c r="A882">
        <v>157000</v>
      </c>
    </row>
    <row r="883" spans="1:1" x14ac:dyDescent="0.25">
      <c r="A883">
        <v>187500</v>
      </c>
    </row>
    <row r="884" spans="1:1" x14ac:dyDescent="0.25">
      <c r="A884">
        <v>178000</v>
      </c>
    </row>
    <row r="885" spans="1:1" x14ac:dyDescent="0.25">
      <c r="A885">
        <v>118500</v>
      </c>
    </row>
    <row r="886" spans="1:1" x14ac:dyDescent="0.25">
      <c r="A886">
        <v>100000</v>
      </c>
    </row>
    <row r="887" spans="1:1" x14ac:dyDescent="0.25">
      <c r="A887">
        <v>328900</v>
      </c>
    </row>
    <row r="888" spans="1:1" x14ac:dyDescent="0.25">
      <c r="A888">
        <v>145000</v>
      </c>
    </row>
    <row r="889" spans="1:1" x14ac:dyDescent="0.25">
      <c r="A889">
        <v>135500</v>
      </c>
    </row>
    <row r="890" spans="1:1" x14ac:dyDescent="0.25">
      <c r="A890">
        <v>268000</v>
      </c>
    </row>
    <row r="891" spans="1:1" x14ac:dyDescent="0.25">
      <c r="A891">
        <v>149500</v>
      </c>
    </row>
    <row r="892" spans="1:1" x14ac:dyDescent="0.25">
      <c r="A892">
        <v>122900</v>
      </c>
    </row>
    <row r="893" spans="1:1" x14ac:dyDescent="0.25">
      <c r="A893">
        <v>172500</v>
      </c>
    </row>
    <row r="894" spans="1:1" x14ac:dyDescent="0.25">
      <c r="A894">
        <v>154500</v>
      </c>
    </row>
    <row r="895" spans="1:1" x14ac:dyDescent="0.25">
      <c r="A895">
        <v>165000</v>
      </c>
    </row>
    <row r="896" spans="1:1" x14ac:dyDescent="0.25">
      <c r="A896">
        <v>118858</v>
      </c>
    </row>
    <row r="897" spans="1:1" x14ac:dyDescent="0.25">
      <c r="A897">
        <v>140000</v>
      </c>
    </row>
    <row r="898" spans="1:1" x14ac:dyDescent="0.25">
      <c r="A898">
        <v>106500</v>
      </c>
    </row>
    <row r="899" spans="1:1" x14ac:dyDescent="0.25">
      <c r="A899">
        <v>142953</v>
      </c>
    </row>
    <row r="900" spans="1:1" x14ac:dyDescent="0.25">
      <c r="A900">
        <v>611657</v>
      </c>
    </row>
    <row r="901" spans="1:1" x14ac:dyDescent="0.25">
      <c r="A901">
        <v>135000</v>
      </c>
    </row>
    <row r="902" spans="1:1" x14ac:dyDescent="0.25">
      <c r="A902">
        <v>110000</v>
      </c>
    </row>
    <row r="903" spans="1:1" x14ac:dyDescent="0.25">
      <c r="A903">
        <v>153000</v>
      </c>
    </row>
    <row r="904" spans="1:1" x14ac:dyDescent="0.25">
      <c r="A904">
        <v>180000</v>
      </c>
    </row>
    <row r="905" spans="1:1" x14ac:dyDescent="0.25">
      <c r="A905">
        <v>240000</v>
      </c>
    </row>
    <row r="906" spans="1:1" x14ac:dyDescent="0.25">
      <c r="A906">
        <v>125500</v>
      </c>
    </row>
    <row r="907" spans="1:1" x14ac:dyDescent="0.25">
      <c r="A907">
        <v>128000</v>
      </c>
    </row>
    <row r="908" spans="1:1" x14ac:dyDescent="0.25">
      <c r="A908">
        <v>255000</v>
      </c>
    </row>
    <row r="909" spans="1:1" x14ac:dyDescent="0.25">
      <c r="A909">
        <v>250000</v>
      </c>
    </row>
    <row r="910" spans="1:1" x14ac:dyDescent="0.25">
      <c r="A910">
        <v>131000</v>
      </c>
    </row>
    <row r="911" spans="1:1" x14ac:dyDescent="0.25">
      <c r="A911">
        <v>174000</v>
      </c>
    </row>
    <row r="912" spans="1:1" x14ac:dyDescent="0.25">
      <c r="A912">
        <v>154300</v>
      </c>
    </row>
    <row r="913" spans="1:1" x14ac:dyDescent="0.25">
      <c r="A913">
        <v>143500</v>
      </c>
    </row>
    <row r="914" spans="1:1" x14ac:dyDescent="0.25">
      <c r="A914">
        <v>88000</v>
      </c>
    </row>
    <row r="915" spans="1:1" x14ac:dyDescent="0.25">
      <c r="A915">
        <v>145000</v>
      </c>
    </row>
    <row r="916" spans="1:1" x14ac:dyDescent="0.25">
      <c r="A916">
        <v>173733</v>
      </c>
    </row>
    <row r="917" spans="1:1" x14ac:dyDescent="0.25">
      <c r="A917">
        <v>75000</v>
      </c>
    </row>
    <row r="918" spans="1:1" x14ac:dyDescent="0.25">
      <c r="A918">
        <v>35311</v>
      </c>
    </row>
    <row r="919" spans="1:1" x14ac:dyDescent="0.25">
      <c r="A919">
        <v>135000</v>
      </c>
    </row>
    <row r="920" spans="1:1" x14ac:dyDescent="0.25">
      <c r="A920">
        <v>238000</v>
      </c>
    </row>
    <row r="921" spans="1:1" x14ac:dyDescent="0.25">
      <c r="A921">
        <v>176500</v>
      </c>
    </row>
    <row r="922" spans="1:1" x14ac:dyDescent="0.25">
      <c r="A922">
        <v>201000</v>
      </c>
    </row>
    <row r="923" spans="1:1" x14ac:dyDescent="0.25">
      <c r="A923">
        <v>145900</v>
      </c>
    </row>
    <row r="924" spans="1:1" x14ac:dyDescent="0.25">
      <c r="A924">
        <v>169990</v>
      </c>
    </row>
    <row r="925" spans="1:1" x14ac:dyDescent="0.25">
      <c r="A925">
        <v>193000</v>
      </c>
    </row>
    <row r="926" spans="1:1" x14ac:dyDescent="0.25">
      <c r="A926">
        <v>207500</v>
      </c>
    </row>
    <row r="927" spans="1:1" x14ac:dyDescent="0.25">
      <c r="A927">
        <v>175000</v>
      </c>
    </row>
    <row r="928" spans="1:1" x14ac:dyDescent="0.25">
      <c r="A928">
        <v>285000</v>
      </c>
    </row>
    <row r="929" spans="1:1" x14ac:dyDescent="0.25">
      <c r="A929">
        <v>176000</v>
      </c>
    </row>
    <row r="930" spans="1:1" x14ac:dyDescent="0.25">
      <c r="A930">
        <v>236500</v>
      </c>
    </row>
    <row r="931" spans="1:1" x14ac:dyDescent="0.25">
      <c r="A931">
        <v>222000</v>
      </c>
    </row>
    <row r="932" spans="1:1" x14ac:dyDescent="0.25">
      <c r="A932">
        <v>201000</v>
      </c>
    </row>
    <row r="933" spans="1:1" x14ac:dyDescent="0.25">
      <c r="A933">
        <v>117500</v>
      </c>
    </row>
    <row r="934" spans="1:1" x14ac:dyDescent="0.25">
      <c r="A934">
        <v>320000</v>
      </c>
    </row>
    <row r="935" spans="1:1" x14ac:dyDescent="0.25">
      <c r="A935">
        <v>190000</v>
      </c>
    </row>
    <row r="936" spans="1:1" x14ac:dyDescent="0.25">
      <c r="A936">
        <v>242000</v>
      </c>
    </row>
    <row r="937" spans="1:1" x14ac:dyDescent="0.25">
      <c r="A937">
        <v>79900</v>
      </c>
    </row>
    <row r="938" spans="1:1" x14ac:dyDescent="0.25">
      <c r="A938">
        <v>184900</v>
      </c>
    </row>
    <row r="939" spans="1:1" x14ac:dyDescent="0.25">
      <c r="A939">
        <v>253000</v>
      </c>
    </row>
    <row r="940" spans="1:1" x14ac:dyDescent="0.25">
      <c r="A940">
        <v>239799</v>
      </c>
    </row>
    <row r="941" spans="1:1" x14ac:dyDescent="0.25">
      <c r="A941">
        <v>244400</v>
      </c>
    </row>
    <row r="942" spans="1:1" x14ac:dyDescent="0.25">
      <c r="A942">
        <v>150900</v>
      </c>
    </row>
    <row r="943" spans="1:1" x14ac:dyDescent="0.25">
      <c r="A943">
        <v>214000</v>
      </c>
    </row>
    <row r="944" spans="1:1" x14ac:dyDescent="0.25">
      <c r="A944">
        <v>150000</v>
      </c>
    </row>
    <row r="945" spans="1:1" x14ac:dyDescent="0.25">
      <c r="A945">
        <v>143000</v>
      </c>
    </row>
    <row r="946" spans="1:1" x14ac:dyDescent="0.25">
      <c r="A946">
        <v>137500</v>
      </c>
    </row>
    <row r="947" spans="1:1" x14ac:dyDescent="0.25">
      <c r="A947">
        <v>124900</v>
      </c>
    </row>
    <row r="948" spans="1:1" x14ac:dyDescent="0.25">
      <c r="A948">
        <v>143000</v>
      </c>
    </row>
    <row r="949" spans="1:1" x14ac:dyDescent="0.25">
      <c r="A949">
        <v>270000</v>
      </c>
    </row>
    <row r="950" spans="1:1" x14ac:dyDescent="0.25">
      <c r="A950">
        <v>192500</v>
      </c>
    </row>
    <row r="951" spans="1:1" x14ac:dyDescent="0.25">
      <c r="A951">
        <v>197500</v>
      </c>
    </row>
    <row r="952" spans="1:1" x14ac:dyDescent="0.25">
      <c r="A952">
        <v>129000</v>
      </c>
    </row>
    <row r="953" spans="1:1" x14ac:dyDescent="0.25">
      <c r="A953">
        <v>119900</v>
      </c>
    </row>
    <row r="954" spans="1:1" x14ac:dyDescent="0.25">
      <c r="A954">
        <v>133900</v>
      </c>
    </row>
    <row r="955" spans="1:1" x14ac:dyDescent="0.25">
      <c r="A955">
        <v>172000</v>
      </c>
    </row>
    <row r="956" spans="1:1" x14ac:dyDescent="0.25">
      <c r="A956">
        <v>127500</v>
      </c>
    </row>
    <row r="957" spans="1:1" x14ac:dyDescent="0.25">
      <c r="A957">
        <v>145000</v>
      </c>
    </row>
    <row r="958" spans="1:1" x14ac:dyDescent="0.25">
      <c r="A958">
        <v>124000</v>
      </c>
    </row>
    <row r="959" spans="1:1" x14ac:dyDescent="0.25">
      <c r="A959">
        <v>132000</v>
      </c>
    </row>
    <row r="960" spans="1:1" x14ac:dyDescent="0.25">
      <c r="A960">
        <v>185000</v>
      </c>
    </row>
    <row r="961" spans="1:1" x14ac:dyDescent="0.25">
      <c r="A961">
        <v>155000</v>
      </c>
    </row>
    <row r="962" spans="1:1" x14ac:dyDescent="0.25">
      <c r="A962">
        <v>116500</v>
      </c>
    </row>
    <row r="963" spans="1:1" x14ac:dyDescent="0.25">
      <c r="A963">
        <v>272000</v>
      </c>
    </row>
    <row r="964" spans="1:1" x14ac:dyDescent="0.25">
      <c r="A964">
        <v>155000</v>
      </c>
    </row>
    <row r="965" spans="1:1" x14ac:dyDescent="0.25">
      <c r="A965">
        <v>239000</v>
      </c>
    </row>
    <row r="966" spans="1:1" x14ac:dyDescent="0.25">
      <c r="A966">
        <v>214900</v>
      </c>
    </row>
    <row r="967" spans="1:1" x14ac:dyDescent="0.25">
      <c r="A967">
        <v>178900</v>
      </c>
    </row>
    <row r="968" spans="1:1" x14ac:dyDescent="0.25">
      <c r="A968">
        <v>160000</v>
      </c>
    </row>
    <row r="969" spans="1:1" x14ac:dyDescent="0.25">
      <c r="A969">
        <v>135000</v>
      </c>
    </row>
    <row r="970" spans="1:1" x14ac:dyDescent="0.25">
      <c r="A970">
        <v>37900</v>
      </c>
    </row>
    <row r="971" spans="1:1" x14ac:dyDescent="0.25">
      <c r="A971">
        <v>140000</v>
      </c>
    </row>
    <row r="972" spans="1:1" x14ac:dyDescent="0.25">
      <c r="A972">
        <v>135000</v>
      </c>
    </row>
    <row r="973" spans="1:1" x14ac:dyDescent="0.25">
      <c r="A973">
        <v>173000</v>
      </c>
    </row>
    <row r="974" spans="1:1" x14ac:dyDescent="0.25">
      <c r="A974">
        <v>99500</v>
      </c>
    </row>
    <row r="975" spans="1:1" x14ac:dyDescent="0.25">
      <c r="A975">
        <v>182000</v>
      </c>
    </row>
    <row r="976" spans="1:1" x14ac:dyDescent="0.25">
      <c r="A976">
        <v>167500</v>
      </c>
    </row>
    <row r="977" spans="1:1" x14ac:dyDescent="0.25">
      <c r="A977">
        <v>165000</v>
      </c>
    </row>
    <row r="978" spans="1:1" x14ac:dyDescent="0.25">
      <c r="A978">
        <v>85500</v>
      </c>
    </row>
    <row r="979" spans="1:1" x14ac:dyDescent="0.25">
      <c r="A979">
        <v>199900</v>
      </c>
    </row>
    <row r="980" spans="1:1" x14ac:dyDescent="0.25">
      <c r="A980">
        <v>110000</v>
      </c>
    </row>
    <row r="981" spans="1:1" x14ac:dyDescent="0.25">
      <c r="A981">
        <v>139000</v>
      </c>
    </row>
    <row r="982" spans="1:1" x14ac:dyDescent="0.25">
      <c r="A982">
        <v>178400</v>
      </c>
    </row>
    <row r="983" spans="1:1" x14ac:dyDescent="0.25">
      <c r="A983">
        <v>336000</v>
      </c>
    </row>
    <row r="984" spans="1:1" x14ac:dyDescent="0.25">
      <c r="A984">
        <v>159895</v>
      </c>
    </row>
    <row r="985" spans="1:1" x14ac:dyDescent="0.25">
      <c r="A985">
        <v>255900</v>
      </c>
    </row>
    <row r="986" spans="1:1" x14ac:dyDescent="0.25">
      <c r="A986">
        <v>126000</v>
      </c>
    </row>
    <row r="987" spans="1:1" x14ac:dyDescent="0.25">
      <c r="A987">
        <v>125000</v>
      </c>
    </row>
    <row r="988" spans="1:1" x14ac:dyDescent="0.25">
      <c r="A988">
        <v>117000</v>
      </c>
    </row>
    <row r="989" spans="1:1" x14ac:dyDescent="0.25">
      <c r="A989">
        <v>395192</v>
      </c>
    </row>
    <row r="990" spans="1:1" x14ac:dyDescent="0.25">
      <c r="A990">
        <v>195000</v>
      </c>
    </row>
    <row r="991" spans="1:1" x14ac:dyDescent="0.25">
      <c r="A991">
        <v>197000</v>
      </c>
    </row>
    <row r="992" spans="1:1" x14ac:dyDescent="0.25">
      <c r="A992">
        <v>348000</v>
      </c>
    </row>
    <row r="993" spans="1:1" x14ac:dyDescent="0.25">
      <c r="A993">
        <v>168000</v>
      </c>
    </row>
    <row r="994" spans="1:1" x14ac:dyDescent="0.25">
      <c r="A994">
        <v>187000</v>
      </c>
    </row>
    <row r="995" spans="1:1" x14ac:dyDescent="0.25">
      <c r="A995">
        <v>173900</v>
      </c>
    </row>
    <row r="996" spans="1:1" x14ac:dyDescent="0.25">
      <c r="A996">
        <v>337500</v>
      </c>
    </row>
    <row r="997" spans="1:1" x14ac:dyDescent="0.25">
      <c r="A997">
        <v>121600</v>
      </c>
    </row>
    <row r="998" spans="1:1" x14ac:dyDescent="0.25">
      <c r="A998">
        <v>136500</v>
      </c>
    </row>
    <row r="999" spans="1:1" x14ac:dyDescent="0.25">
      <c r="A999">
        <v>185000</v>
      </c>
    </row>
    <row r="1000" spans="1:1" x14ac:dyDescent="0.25">
      <c r="A1000">
        <v>91000</v>
      </c>
    </row>
    <row r="1001" spans="1:1" x14ac:dyDescent="0.25">
      <c r="A1001">
        <v>206000</v>
      </c>
    </row>
    <row r="1002" spans="1:1" x14ac:dyDescent="0.25">
      <c r="A1002">
        <v>82000</v>
      </c>
    </row>
    <row r="1003" spans="1:1" x14ac:dyDescent="0.25">
      <c r="A1003">
        <v>86000</v>
      </c>
    </row>
    <row r="1004" spans="1:1" x14ac:dyDescent="0.25">
      <c r="A1004">
        <v>232000</v>
      </c>
    </row>
    <row r="1005" spans="1:1" x14ac:dyDescent="0.25">
      <c r="A1005">
        <v>136905</v>
      </c>
    </row>
    <row r="1006" spans="1:1" x14ac:dyDescent="0.25">
      <c r="A1006">
        <v>181000</v>
      </c>
    </row>
    <row r="1007" spans="1:1" x14ac:dyDescent="0.25">
      <c r="A1007">
        <v>149900</v>
      </c>
    </row>
    <row r="1008" spans="1:1" x14ac:dyDescent="0.25">
      <c r="A1008">
        <v>163500</v>
      </c>
    </row>
    <row r="1009" spans="1:1" x14ac:dyDescent="0.25">
      <c r="A1009">
        <v>88000</v>
      </c>
    </row>
    <row r="1010" spans="1:1" x14ac:dyDescent="0.25">
      <c r="A1010">
        <v>240000</v>
      </c>
    </row>
    <row r="1011" spans="1:1" x14ac:dyDescent="0.25">
      <c r="A1011">
        <v>102000</v>
      </c>
    </row>
    <row r="1012" spans="1:1" x14ac:dyDescent="0.25">
      <c r="A1012">
        <v>135000</v>
      </c>
    </row>
    <row r="1013" spans="1:1" x14ac:dyDescent="0.25">
      <c r="A1013">
        <v>100000</v>
      </c>
    </row>
    <row r="1014" spans="1:1" x14ac:dyDescent="0.25">
      <c r="A1014">
        <v>165000</v>
      </c>
    </row>
    <row r="1015" spans="1:1" x14ac:dyDescent="0.25">
      <c r="A1015">
        <v>85000</v>
      </c>
    </row>
    <row r="1016" spans="1:1" x14ac:dyDescent="0.25">
      <c r="A1016">
        <v>119200</v>
      </c>
    </row>
    <row r="1017" spans="1:1" x14ac:dyDescent="0.25">
      <c r="A1017">
        <v>227000</v>
      </c>
    </row>
    <row r="1018" spans="1:1" x14ac:dyDescent="0.25">
      <c r="A1018">
        <v>203000</v>
      </c>
    </row>
    <row r="1019" spans="1:1" x14ac:dyDescent="0.25">
      <c r="A1019">
        <v>187500</v>
      </c>
    </row>
    <row r="1020" spans="1:1" x14ac:dyDescent="0.25">
      <c r="A1020">
        <v>160000</v>
      </c>
    </row>
    <row r="1021" spans="1:1" x14ac:dyDescent="0.25">
      <c r="A1021">
        <v>213490</v>
      </c>
    </row>
    <row r="1022" spans="1:1" x14ac:dyDescent="0.25">
      <c r="A1022">
        <v>176000</v>
      </c>
    </row>
    <row r="1023" spans="1:1" x14ac:dyDescent="0.25">
      <c r="A1023">
        <v>194000</v>
      </c>
    </row>
    <row r="1024" spans="1:1" x14ac:dyDescent="0.25">
      <c r="A1024">
        <v>87000</v>
      </c>
    </row>
    <row r="1025" spans="1:1" x14ac:dyDescent="0.25">
      <c r="A1025">
        <v>191000</v>
      </c>
    </row>
    <row r="1026" spans="1:1" x14ac:dyDescent="0.25">
      <c r="A1026">
        <v>287000</v>
      </c>
    </row>
    <row r="1027" spans="1:1" x14ac:dyDescent="0.25">
      <c r="A1027">
        <v>112500</v>
      </c>
    </row>
    <row r="1028" spans="1:1" x14ac:dyDescent="0.25">
      <c r="A1028">
        <v>167500</v>
      </c>
    </row>
    <row r="1029" spans="1:1" x14ac:dyDescent="0.25">
      <c r="A1029">
        <v>293077</v>
      </c>
    </row>
    <row r="1030" spans="1:1" x14ac:dyDescent="0.25">
      <c r="A1030">
        <v>105000</v>
      </c>
    </row>
    <row r="1031" spans="1:1" x14ac:dyDescent="0.25">
      <c r="A1031">
        <v>118000</v>
      </c>
    </row>
    <row r="1032" spans="1:1" x14ac:dyDescent="0.25">
      <c r="A1032">
        <v>160000</v>
      </c>
    </row>
    <row r="1033" spans="1:1" x14ac:dyDescent="0.25">
      <c r="A1033">
        <v>197000</v>
      </c>
    </row>
    <row r="1034" spans="1:1" x14ac:dyDescent="0.25">
      <c r="A1034">
        <v>310000</v>
      </c>
    </row>
    <row r="1035" spans="1:1" x14ac:dyDescent="0.25">
      <c r="A1035">
        <v>230000</v>
      </c>
    </row>
    <row r="1036" spans="1:1" x14ac:dyDescent="0.25">
      <c r="A1036">
        <v>119750</v>
      </c>
    </row>
    <row r="1037" spans="1:1" x14ac:dyDescent="0.25">
      <c r="A1037">
        <v>84000</v>
      </c>
    </row>
    <row r="1038" spans="1:1" x14ac:dyDescent="0.25">
      <c r="A1038">
        <v>315500</v>
      </c>
    </row>
    <row r="1039" spans="1:1" x14ac:dyDescent="0.25">
      <c r="A1039">
        <v>287000</v>
      </c>
    </row>
    <row r="1040" spans="1:1" x14ac:dyDescent="0.25">
      <c r="A1040">
        <v>97000</v>
      </c>
    </row>
    <row r="1041" spans="1:1" x14ac:dyDescent="0.25">
      <c r="A1041">
        <v>80000</v>
      </c>
    </row>
    <row r="1042" spans="1:1" x14ac:dyDescent="0.25">
      <c r="A1042">
        <v>155000</v>
      </c>
    </row>
    <row r="1043" spans="1:1" x14ac:dyDescent="0.25">
      <c r="A1043">
        <v>173000</v>
      </c>
    </row>
    <row r="1044" spans="1:1" x14ac:dyDescent="0.25">
      <c r="A1044">
        <v>196000</v>
      </c>
    </row>
    <row r="1045" spans="1:1" x14ac:dyDescent="0.25">
      <c r="A1045">
        <v>262280</v>
      </c>
    </row>
    <row r="1046" spans="1:1" x14ac:dyDescent="0.25">
      <c r="A1046">
        <v>278000</v>
      </c>
    </row>
    <row r="1047" spans="1:1" x14ac:dyDescent="0.25">
      <c r="A1047">
        <v>139600</v>
      </c>
    </row>
    <row r="1048" spans="1:1" x14ac:dyDescent="0.25">
      <c r="A1048">
        <v>556581</v>
      </c>
    </row>
    <row r="1049" spans="1:1" x14ac:dyDescent="0.25">
      <c r="A1049">
        <v>145000</v>
      </c>
    </row>
    <row r="1050" spans="1:1" x14ac:dyDescent="0.25">
      <c r="A1050">
        <v>115000</v>
      </c>
    </row>
    <row r="1051" spans="1:1" x14ac:dyDescent="0.25">
      <c r="A1051">
        <v>84900</v>
      </c>
    </row>
    <row r="1052" spans="1:1" x14ac:dyDescent="0.25">
      <c r="A1052">
        <v>176485</v>
      </c>
    </row>
    <row r="1053" spans="1:1" x14ac:dyDescent="0.25">
      <c r="A1053">
        <v>200141</v>
      </c>
    </row>
    <row r="1054" spans="1:1" x14ac:dyDescent="0.25">
      <c r="A1054">
        <v>165000</v>
      </c>
    </row>
    <row r="1055" spans="1:1" x14ac:dyDescent="0.25">
      <c r="A1055">
        <v>144500</v>
      </c>
    </row>
    <row r="1056" spans="1:1" x14ac:dyDescent="0.25">
      <c r="A1056">
        <v>255000</v>
      </c>
    </row>
    <row r="1057" spans="1:1" x14ac:dyDescent="0.25">
      <c r="A1057">
        <v>180000</v>
      </c>
    </row>
    <row r="1058" spans="1:1" x14ac:dyDescent="0.25">
      <c r="A1058">
        <v>185850</v>
      </c>
    </row>
    <row r="1059" spans="1:1" x14ac:dyDescent="0.25">
      <c r="A1059">
        <v>248000</v>
      </c>
    </row>
    <row r="1060" spans="1:1" x14ac:dyDescent="0.25">
      <c r="A1060">
        <v>335000</v>
      </c>
    </row>
    <row r="1061" spans="1:1" x14ac:dyDescent="0.25">
      <c r="A1061">
        <v>220000</v>
      </c>
    </row>
    <row r="1062" spans="1:1" x14ac:dyDescent="0.25">
      <c r="A1062">
        <v>213500</v>
      </c>
    </row>
    <row r="1063" spans="1:1" x14ac:dyDescent="0.25">
      <c r="A1063">
        <v>81000</v>
      </c>
    </row>
    <row r="1064" spans="1:1" x14ac:dyDescent="0.25">
      <c r="A1064">
        <v>90000</v>
      </c>
    </row>
    <row r="1065" spans="1:1" x14ac:dyDescent="0.25">
      <c r="A1065">
        <v>110500</v>
      </c>
    </row>
    <row r="1066" spans="1:1" x14ac:dyDescent="0.25">
      <c r="A1066">
        <v>154000</v>
      </c>
    </row>
    <row r="1067" spans="1:1" x14ac:dyDescent="0.25">
      <c r="A1067">
        <v>328000</v>
      </c>
    </row>
    <row r="1068" spans="1:1" x14ac:dyDescent="0.25">
      <c r="A1068">
        <v>178000</v>
      </c>
    </row>
    <row r="1069" spans="1:1" x14ac:dyDescent="0.25">
      <c r="A1069">
        <v>167900</v>
      </c>
    </row>
    <row r="1070" spans="1:1" x14ac:dyDescent="0.25">
      <c r="A1070">
        <v>151400</v>
      </c>
    </row>
    <row r="1071" spans="1:1" x14ac:dyDescent="0.25">
      <c r="A1071">
        <v>135000</v>
      </c>
    </row>
    <row r="1072" spans="1:1" x14ac:dyDescent="0.25">
      <c r="A1072">
        <v>135000</v>
      </c>
    </row>
    <row r="1073" spans="1:1" x14ac:dyDescent="0.25">
      <c r="A1073">
        <v>154000</v>
      </c>
    </row>
    <row r="1074" spans="1:1" x14ac:dyDescent="0.25">
      <c r="A1074">
        <v>91500</v>
      </c>
    </row>
    <row r="1075" spans="1:1" x14ac:dyDescent="0.25">
      <c r="A1075">
        <v>159500</v>
      </c>
    </row>
    <row r="1076" spans="1:1" x14ac:dyDescent="0.25">
      <c r="A1076">
        <v>194000</v>
      </c>
    </row>
    <row r="1077" spans="1:1" x14ac:dyDescent="0.25">
      <c r="A1077">
        <v>219500</v>
      </c>
    </row>
    <row r="1078" spans="1:1" x14ac:dyDescent="0.25">
      <c r="A1078">
        <v>170000</v>
      </c>
    </row>
    <row r="1079" spans="1:1" x14ac:dyDescent="0.25">
      <c r="A1079">
        <v>138800</v>
      </c>
    </row>
    <row r="1080" spans="1:1" x14ac:dyDescent="0.25">
      <c r="A1080">
        <v>155900</v>
      </c>
    </row>
    <row r="1081" spans="1:1" x14ac:dyDescent="0.25">
      <c r="A1081">
        <v>126000</v>
      </c>
    </row>
    <row r="1082" spans="1:1" x14ac:dyDescent="0.25">
      <c r="A1082">
        <v>145000</v>
      </c>
    </row>
    <row r="1083" spans="1:1" x14ac:dyDescent="0.25">
      <c r="A1083">
        <v>133000</v>
      </c>
    </row>
    <row r="1084" spans="1:1" x14ac:dyDescent="0.25">
      <c r="A1084">
        <v>192000</v>
      </c>
    </row>
    <row r="1085" spans="1:1" x14ac:dyDescent="0.25">
      <c r="A1085">
        <v>160000</v>
      </c>
    </row>
    <row r="1086" spans="1:1" x14ac:dyDescent="0.25">
      <c r="A1086">
        <v>187500</v>
      </c>
    </row>
    <row r="1087" spans="1:1" x14ac:dyDescent="0.25">
      <c r="A1087">
        <v>147000</v>
      </c>
    </row>
    <row r="1088" spans="1:1" x14ac:dyDescent="0.25">
      <c r="A1088">
        <v>83500</v>
      </c>
    </row>
    <row r="1089" spans="1:1" x14ac:dyDescent="0.25">
      <c r="A1089">
        <v>252000</v>
      </c>
    </row>
    <row r="1090" spans="1:1" x14ac:dyDescent="0.25">
      <c r="A1090">
        <v>137500</v>
      </c>
    </row>
    <row r="1091" spans="1:1" x14ac:dyDescent="0.25">
      <c r="A1091">
        <v>197000</v>
      </c>
    </row>
    <row r="1092" spans="1:1" x14ac:dyDescent="0.25">
      <c r="A1092">
        <v>92900</v>
      </c>
    </row>
    <row r="1093" spans="1:1" x14ac:dyDescent="0.25">
      <c r="A1093">
        <v>160000</v>
      </c>
    </row>
    <row r="1094" spans="1:1" x14ac:dyDescent="0.25">
      <c r="A1094">
        <v>136500</v>
      </c>
    </row>
    <row r="1095" spans="1:1" x14ac:dyDescent="0.25">
      <c r="A1095">
        <v>146000</v>
      </c>
    </row>
    <row r="1096" spans="1:1" x14ac:dyDescent="0.25">
      <c r="A1096">
        <v>129000</v>
      </c>
    </row>
    <row r="1097" spans="1:1" x14ac:dyDescent="0.25">
      <c r="A1097">
        <v>176432</v>
      </c>
    </row>
    <row r="1098" spans="1:1" x14ac:dyDescent="0.25">
      <c r="A1098">
        <v>127000</v>
      </c>
    </row>
    <row r="1099" spans="1:1" x14ac:dyDescent="0.25">
      <c r="A1099">
        <v>170000</v>
      </c>
    </row>
    <row r="1100" spans="1:1" x14ac:dyDescent="0.25">
      <c r="A1100">
        <v>128000</v>
      </c>
    </row>
    <row r="1101" spans="1:1" x14ac:dyDescent="0.25">
      <c r="A1101">
        <v>157000</v>
      </c>
    </row>
    <row r="1102" spans="1:1" x14ac:dyDescent="0.25">
      <c r="A1102">
        <v>60000</v>
      </c>
    </row>
    <row r="1103" spans="1:1" x14ac:dyDescent="0.25">
      <c r="A1103">
        <v>119500</v>
      </c>
    </row>
    <row r="1104" spans="1:1" x14ac:dyDescent="0.25">
      <c r="A1104">
        <v>135000</v>
      </c>
    </row>
    <row r="1105" spans="1:1" x14ac:dyDescent="0.25">
      <c r="A1105">
        <v>159500</v>
      </c>
    </row>
    <row r="1106" spans="1:1" x14ac:dyDescent="0.25">
      <c r="A1106">
        <v>106000</v>
      </c>
    </row>
    <row r="1107" spans="1:1" x14ac:dyDescent="0.25">
      <c r="A1107">
        <v>325000</v>
      </c>
    </row>
    <row r="1108" spans="1:1" x14ac:dyDescent="0.25">
      <c r="A1108">
        <v>179900</v>
      </c>
    </row>
    <row r="1109" spans="1:1" x14ac:dyDescent="0.25">
      <c r="A1109">
        <v>274725</v>
      </c>
    </row>
    <row r="1110" spans="1:1" x14ac:dyDescent="0.25">
      <c r="A1110">
        <v>181000</v>
      </c>
    </row>
    <row r="1111" spans="1:1" x14ac:dyDescent="0.25">
      <c r="A1111">
        <v>280000</v>
      </c>
    </row>
    <row r="1112" spans="1:1" x14ac:dyDescent="0.25">
      <c r="A1112">
        <v>188000</v>
      </c>
    </row>
    <row r="1113" spans="1:1" x14ac:dyDescent="0.25">
      <c r="A1113">
        <v>205000</v>
      </c>
    </row>
    <row r="1114" spans="1:1" x14ac:dyDescent="0.25">
      <c r="A1114">
        <v>129900</v>
      </c>
    </row>
    <row r="1115" spans="1:1" x14ac:dyDescent="0.25">
      <c r="A1115">
        <v>134500</v>
      </c>
    </row>
    <row r="1116" spans="1:1" x14ac:dyDescent="0.25">
      <c r="A1116">
        <v>117000</v>
      </c>
    </row>
    <row r="1117" spans="1:1" x14ac:dyDescent="0.25">
      <c r="A1117">
        <v>318000</v>
      </c>
    </row>
    <row r="1118" spans="1:1" x14ac:dyDescent="0.25">
      <c r="A1118">
        <v>184100</v>
      </c>
    </row>
    <row r="1119" spans="1:1" x14ac:dyDescent="0.25">
      <c r="A1119">
        <v>130000</v>
      </c>
    </row>
    <row r="1120" spans="1:1" x14ac:dyDescent="0.25">
      <c r="A1120">
        <v>140000</v>
      </c>
    </row>
    <row r="1121" spans="1:1" x14ac:dyDescent="0.25">
      <c r="A1121">
        <v>133700</v>
      </c>
    </row>
    <row r="1122" spans="1:1" x14ac:dyDescent="0.25">
      <c r="A1122">
        <v>118400</v>
      </c>
    </row>
    <row r="1123" spans="1:1" x14ac:dyDescent="0.25">
      <c r="A1123">
        <v>212900</v>
      </c>
    </row>
    <row r="1124" spans="1:1" x14ac:dyDescent="0.25">
      <c r="A1124">
        <v>112000</v>
      </c>
    </row>
    <row r="1125" spans="1:1" x14ac:dyDescent="0.25">
      <c r="A1125">
        <v>118000</v>
      </c>
    </row>
    <row r="1126" spans="1:1" x14ac:dyDescent="0.25">
      <c r="A1126">
        <v>163900</v>
      </c>
    </row>
    <row r="1127" spans="1:1" x14ac:dyDescent="0.25">
      <c r="A1127">
        <v>115000</v>
      </c>
    </row>
    <row r="1128" spans="1:1" x14ac:dyDescent="0.25">
      <c r="A1128">
        <v>174000</v>
      </c>
    </row>
    <row r="1129" spans="1:1" x14ac:dyDescent="0.25">
      <c r="A1129">
        <v>259000</v>
      </c>
    </row>
    <row r="1130" spans="1:1" x14ac:dyDescent="0.25">
      <c r="A1130">
        <v>215000</v>
      </c>
    </row>
    <row r="1131" spans="1:1" x14ac:dyDescent="0.25">
      <c r="A1131">
        <v>140000</v>
      </c>
    </row>
    <row r="1132" spans="1:1" x14ac:dyDescent="0.25">
      <c r="A1132">
        <v>135000</v>
      </c>
    </row>
    <row r="1133" spans="1:1" x14ac:dyDescent="0.25">
      <c r="A1133">
        <v>93500</v>
      </c>
    </row>
    <row r="1134" spans="1:1" x14ac:dyDescent="0.25">
      <c r="A1134">
        <v>117500</v>
      </c>
    </row>
    <row r="1135" spans="1:1" x14ac:dyDescent="0.25">
      <c r="A1135">
        <v>239500</v>
      </c>
    </row>
    <row r="1136" spans="1:1" x14ac:dyDescent="0.25">
      <c r="A1136">
        <v>169000</v>
      </c>
    </row>
    <row r="1137" spans="1:1" x14ac:dyDescent="0.25">
      <c r="A1137">
        <v>102000</v>
      </c>
    </row>
    <row r="1138" spans="1:1" x14ac:dyDescent="0.25">
      <c r="A1138">
        <v>119000</v>
      </c>
    </row>
    <row r="1139" spans="1:1" x14ac:dyDescent="0.25">
      <c r="A1139">
        <v>94000</v>
      </c>
    </row>
    <row r="1140" spans="1:1" x14ac:dyDescent="0.25">
      <c r="A1140">
        <v>196000</v>
      </c>
    </row>
    <row r="1141" spans="1:1" x14ac:dyDescent="0.25">
      <c r="A1141">
        <v>144000</v>
      </c>
    </row>
    <row r="1142" spans="1:1" x14ac:dyDescent="0.25">
      <c r="A1142">
        <v>139000</v>
      </c>
    </row>
    <row r="1143" spans="1:1" x14ac:dyDescent="0.25">
      <c r="A1143">
        <v>197500</v>
      </c>
    </row>
    <row r="1144" spans="1:1" x14ac:dyDescent="0.25">
      <c r="A1144">
        <v>424870</v>
      </c>
    </row>
    <row r="1145" spans="1:1" x14ac:dyDescent="0.25">
      <c r="A1145">
        <v>80000</v>
      </c>
    </row>
    <row r="1146" spans="1:1" x14ac:dyDescent="0.25">
      <c r="A1146">
        <v>80000</v>
      </c>
    </row>
    <row r="1147" spans="1:1" x14ac:dyDescent="0.25">
      <c r="A1147">
        <v>149000</v>
      </c>
    </row>
    <row r="1148" spans="1:1" x14ac:dyDescent="0.25">
      <c r="A1148">
        <v>180000</v>
      </c>
    </row>
    <row r="1149" spans="1:1" x14ac:dyDescent="0.25">
      <c r="A1149">
        <v>174500</v>
      </c>
    </row>
    <row r="1150" spans="1:1" x14ac:dyDescent="0.25">
      <c r="A1150">
        <v>116900</v>
      </c>
    </row>
    <row r="1151" spans="1:1" x14ac:dyDescent="0.25">
      <c r="A1151">
        <v>143000</v>
      </c>
    </row>
    <row r="1152" spans="1:1" x14ac:dyDescent="0.25">
      <c r="A1152">
        <v>124000</v>
      </c>
    </row>
    <row r="1153" spans="1:1" x14ac:dyDescent="0.25">
      <c r="A1153">
        <v>149900</v>
      </c>
    </row>
    <row r="1154" spans="1:1" x14ac:dyDescent="0.25">
      <c r="A1154">
        <v>230000</v>
      </c>
    </row>
    <row r="1155" spans="1:1" x14ac:dyDescent="0.25">
      <c r="A1155">
        <v>120500</v>
      </c>
    </row>
    <row r="1156" spans="1:1" x14ac:dyDescent="0.25">
      <c r="A1156">
        <v>201800</v>
      </c>
    </row>
    <row r="1157" spans="1:1" x14ac:dyDescent="0.25">
      <c r="A1157">
        <v>218000</v>
      </c>
    </row>
    <row r="1158" spans="1:1" x14ac:dyDescent="0.25">
      <c r="A1158">
        <v>179900</v>
      </c>
    </row>
    <row r="1159" spans="1:1" x14ac:dyDescent="0.25">
      <c r="A1159">
        <v>230000</v>
      </c>
    </row>
    <row r="1160" spans="1:1" x14ac:dyDescent="0.25">
      <c r="A1160">
        <v>235128</v>
      </c>
    </row>
    <row r="1161" spans="1:1" x14ac:dyDescent="0.25">
      <c r="A1161">
        <v>185000</v>
      </c>
    </row>
    <row r="1162" spans="1:1" x14ac:dyDescent="0.25">
      <c r="A1162">
        <v>146000</v>
      </c>
    </row>
    <row r="1163" spans="1:1" x14ac:dyDescent="0.25">
      <c r="A1163">
        <v>224000</v>
      </c>
    </row>
    <row r="1164" spans="1:1" x14ac:dyDescent="0.25">
      <c r="A1164">
        <v>129000</v>
      </c>
    </row>
    <row r="1165" spans="1:1" x14ac:dyDescent="0.25">
      <c r="A1165">
        <v>108959</v>
      </c>
    </row>
    <row r="1166" spans="1:1" x14ac:dyDescent="0.25">
      <c r="A1166">
        <v>194000</v>
      </c>
    </row>
    <row r="1167" spans="1:1" x14ac:dyDescent="0.25">
      <c r="A1167">
        <v>233170</v>
      </c>
    </row>
    <row r="1168" spans="1:1" x14ac:dyDescent="0.25">
      <c r="A1168">
        <v>245350</v>
      </c>
    </row>
    <row r="1169" spans="1:1" x14ac:dyDescent="0.25">
      <c r="A1169">
        <v>173000</v>
      </c>
    </row>
    <row r="1170" spans="1:1" x14ac:dyDescent="0.25">
      <c r="A1170">
        <v>235000</v>
      </c>
    </row>
    <row r="1171" spans="1:1" x14ac:dyDescent="0.25">
      <c r="A1171">
        <v>625000</v>
      </c>
    </row>
    <row r="1172" spans="1:1" x14ac:dyDescent="0.25">
      <c r="A1172">
        <v>171000</v>
      </c>
    </row>
    <row r="1173" spans="1:1" x14ac:dyDescent="0.25">
      <c r="A1173">
        <v>163000</v>
      </c>
    </row>
    <row r="1174" spans="1:1" x14ac:dyDescent="0.25">
      <c r="A1174">
        <v>171900</v>
      </c>
    </row>
    <row r="1175" spans="1:1" x14ac:dyDescent="0.25">
      <c r="A1175">
        <v>200500</v>
      </c>
    </row>
    <row r="1176" spans="1:1" x14ac:dyDescent="0.25">
      <c r="A1176">
        <v>239000</v>
      </c>
    </row>
    <row r="1177" spans="1:1" x14ac:dyDescent="0.25">
      <c r="A1177">
        <v>285000</v>
      </c>
    </row>
    <row r="1178" spans="1:1" x14ac:dyDescent="0.25">
      <c r="A1178">
        <v>119500</v>
      </c>
    </row>
    <row r="1179" spans="1:1" x14ac:dyDescent="0.25">
      <c r="A1179">
        <v>115000</v>
      </c>
    </row>
    <row r="1180" spans="1:1" x14ac:dyDescent="0.25">
      <c r="A1180">
        <v>154900</v>
      </c>
    </row>
    <row r="1181" spans="1:1" x14ac:dyDescent="0.25">
      <c r="A1181">
        <v>93000</v>
      </c>
    </row>
    <row r="1182" spans="1:1" x14ac:dyDescent="0.25">
      <c r="A1182">
        <v>250000</v>
      </c>
    </row>
    <row r="1183" spans="1:1" x14ac:dyDescent="0.25">
      <c r="A1183">
        <v>392500</v>
      </c>
    </row>
    <row r="1184" spans="1:1" x14ac:dyDescent="0.25">
      <c r="A1184">
        <v>745000</v>
      </c>
    </row>
    <row r="1185" spans="1:1" x14ac:dyDescent="0.25">
      <c r="A1185">
        <v>120000</v>
      </c>
    </row>
    <row r="1186" spans="1:1" x14ac:dyDescent="0.25">
      <c r="A1186">
        <v>186700</v>
      </c>
    </row>
    <row r="1187" spans="1:1" x14ac:dyDescent="0.25">
      <c r="A1187">
        <v>104900</v>
      </c>
    </row>
    <row r="1188" spans="1:1" x14ac:dyDescent="0.25">
      <c r="A1188">
        <v>95000</v>
      </c>
    </row>
    <row r="1189" spans="1:1" x14ac:dyDescent="0.25">
      <c r="A1189">
        <v>262000</v>
      </c>
    </row>
    <row r="1190" spans="1:1" x14ac:dyDescent="0.25">
      <c r="A1190">
        <v>195000</v>
      </c>
    </row>
    <row r="1191" spans="1:1" x14ac:dyDescent="0.25">
      <c r="A1191">
        <v>189000</v>
      </c>
    </row>
    <row r="1192" spans="1:1" x14ac:dyDescent="0.25">
      <c r="A1192">
        <v>168000</v>
      </c>
    </row>
    <row r="1193" spans="1:1" x14ac:dyDescent="0.25">
      <c r="A1193">
        <v>174000</v>
      </c>
    </row>
    <row r="1194" spans="1:1" x14ac:dyDescent="0.25">
      <c r="A1194">
        <v>125000</v>
      </c>
    </row>
    <row r="1195" spans="1:1" x14ac:dyDescent="0.25">
      <c r="A1195">
        <v>165000</v>
      </c>
    </row>
    <row r="1196" spans="1:1" x14ac:dyDescent="0.25">
      <c r="A1196">
        <v>158000</v>
      </c>
    </row>
    <row r="1197" spans="1:1" x14ac:dyDescent="0.25">
      <c r="A1197">
        <v>176000</v>
      </c>
    </row>
    <row r="1198" spans="1:1" x14ac:dyDescent="0.25">
      <c r="A1198">
        <v>219210</v>
      </c>
    </row>
    <row r="1199" spans="1:1" x14ac:dyDescent="0.25">
      <c r="A1199">
        <v>144000</v>
      </c>
    </row>
    <row r="1200" spans="1:1" x14ac:dyDescent="0.25">
      <c r="A1200">
        <v>178000</v>
      </c>
    </row>
    <row r="1201" spans="1:1" x14ac:dyDescent="0.25">
      <c r="A1201">
        <v>148000</v>
      </c>
    </row>
    <row r="1202" spans="1:1" x14ac:dyDescent="0.25">
      <c r="A1202">
        <v>116050</v>
      </c>
    </row>
    <row r="1203" spans="1:1" x14ac:dyDescent="0.25">
      <c r="A1203">
        <v>197900</v>
      </c>
    </row>
    <row r="1204" spans="1:1" x14ac:dyDescent="0.25">
      <c r="A1204">
        <v>117000</v>
      </c>
    </row>
    <row r="1205" spans="1:1" x14ac:dyDescent="0.25">
      <c r="A1205">
        <v>213000</v>
      </c>
    </row>
    <row r="1206" spans="1:1" x14ac:dyDescent="0.25">
      <c r="A1206">
        <v>153500</v>
      </c>
    </row>
    <row r="1207" spans="1:1" x14ac:dyDescent="0.25">
      <c r="A1207">
        <v>271900</v>
      </c>
    </row>
    <row r="1208" spans="1:1" x14ac:dyDescent="0.25">
      <c r="A1208">
        <v>107000</v>
      </c>
    </row>
    <row r="1209" spans="1:1" x14ac:dyDescent="0.25">
      <c r="A1209">
        <v>200000</v>
      </c>
    </row>
    <row r="1210" spans="1:1" x14ac:dyDescent="0.25">
      <c r="A1210">
        <v>140000</v>
      </c>
    </row>
    <row r="1211" spans="1:1" x14ac:dyDescent="0.25">
      <c r="A1211">
        <v>290000</v>
      </c>
    </row>
    <row r="1212" spans="1:1" x14ac:dyDescent="0.25">
      <c r="A1212">
        <v>189000</v>
      </c>
    </row>
    <row r="1213" spans="1:1" x14ac:dyDescent="0.25">
      <c r="A1213">
        <v>164000</v>
      </c>
    </row>
    <row r="1214" spans="1:1" x14ac:dyDescent="0.25">
      <c r="A1214">
        <v>113000</v>
      </c>
    </row>
    <row r="1215" spans="1:1" x14ac:dyDescent="0.25">
      <c r="A1215">
        <v>145000</v>
      </c>
    </row>
    <row r="1216" spans="1:1" x14ac:dyDescent="0.25">
      <c r="A1216">
        <v>134500</v>
      </c>
    </row>
    <row r="1217" spans="1:1" x14ac:dyDescent="0.25">
      <c r="A1217">
        <v>125000</v>
      </c>
    </row>
    <row r="1218" spans="1:1" x14ac:dyDescent="0.25">
      <c r="A1218">
        <v>112000</v>
      </c>
    </row>
    <row r="1219" spans="1:1" x14ac:dyDescent="0.25">
      <c r="A1219">
        <v>229456</v>
      </c>
    </row>
    <row r="1220" spans="1:1" x14ac:dyDescent="0.25">
      <c r="A1220">
        <v>80500</v>
      </c>
    </row>
    <row r="1221" spans="1:1" x14ac:dyDescent="0.25">
      <c r="A1221">
        <v>91500</v>
      </c>
    </row>
    <row r="1222" spans="1:1" x14ac:dyDescent="0.25">
      <c r="A1222">
        <v>115000</v>
      </c>
    </row>
    <row r="1223" spans="1:1" x14ac:dyDescent="0.25">
      <c r="A1223">
        <v>134000</v>
      </c>
    </row>
    <row r="1224" spans="1:1" x14ac:dyDescent="0.25">
      <c r="A1224">
        <v>143000</v>
      </c>
    </row>
    <row r="1225" spans="1:1" x14ac:dyDescent="0.25">
      <c r="A1225">
        <v>137900</v>
      </c>
    </row>
    <row r="1226" spans="1:1" x14ac:dyDescent="0.25">
      <c r="A1226">
        <v>184000</v>
      </c>
    </row>
    <row r="1227" spans="1:1" x14ac:dyDescent="0.25">
      <c r="A1227">
        <v>145000</v>
      </c>
    </row>
    <row r="1228" spans="1:1" x14ac:dyDescent="0.25">
      <c r="A1228">
        <v>214000</v>
      </c>
    </row>
    <row r="1229" spans="1:1" x14ac:dyDescent="0.25">
      <c r="A1229">
        <v>147000</v>
      </c>
    </row>
    <row r="1230" spans="1:1" x14ac:dyDescent="0.25">
      <c r="A1230">
        <v>367294</v>
      </c>
    </row>
    <row r="1231" spans="1:1" x14ac:dyDescent="0.25">
      <c r="A1231">
        <v>127000</v>
      </c>
    </row>
    <row r="1232" spans="1:1" x14ac:dyDescent="0.25">
      <c r="A1232">
        <v>190000</v>
      </c>
    </row>
    <row r="1233" spans="1:1" x14ac:dyDescent="0.25">
      <c r="A1233">
        <v>132500</v>
      </c>
    </row>
    <row r="1234" spans="1:1" x14ac:dyDescent="0.25">
      <c r="A1234">
        <v>101800</v>
      </c>
    </row>
    <row r="1235" spans="1:1" x14ac:dyDescent="0.25">
      <c r="A1235">
        <v>142000</v>
      </c>
    </row>
    <row r="1236" spans="1:1" x14ac:dyDescent="0.25">
      <c r="A1236">
        <v>130000</v>
      </c>
    </row>
    <row r="1237" spans="1:1" x14ac:dyDescent="0.25">
      <c r="A1237">
        <v>138887</v>
      </c>
    </row>
    <row r="1238" spans="1:1" x14ac:dyDescent="0.25">
      <c r="A1238">
        <v>175500</v>
      </c>
    </row>
    <row r="1239" spans="1:1" x14ac:dyDescent="0.25">
      <c r="A1239">
        <v>195000</v>
      </c>
    </row>
    <row r="1240" spans="1:1" x14ac:dyDescent="0.25">
      <c r="A1240">
        <v>142500</v>
      </c>
    </row>
    <row r="1241" spans="1:1" x14ac:dyDescent="0.25">
      <c r="A1241">
        <v>265900</v>
      </c>
    </row>
    <row r="1242" spans="1:1" x14ac:dyDescent="0.25">
      <c r="A1242">
        <v>224900</v>
      </c>
    </row>
    <row r="1243" spans="1:1" x14ac:dyDescent="0.25">
      <c r="A1243">
        <v>248328</v>
      </c>
    </row>
    <row r="1244" spans="1:1" x14ac:dyDescent="0.25">
      <c r="A1244">
        <v>170000</v>
      </c>
    </row>
    <row r="1245" spans="1:1" x14ac:dyDescent="0.25">
      <c r="A1245">
        <v>465000</v>
      </c>
    </row>
    <row r="1246" spans="1:1" x14ac:dyDescent="0.25">
      <c r="A1246">
        <v>230000</v>
      </c>
    </row>
    <row r="1247" spans="1:1" x14ac:dyDescent="0.25">
      <c r="A1247">
        <v>178000</v>
      </c>
    </row>
    <row r="1248" spans="1:1" x14ac:dyDescent="0.25">
      <c r="A1248">
        <v>186500</v>
      </c>
    </row>
    <row r="1249" spans="1:1" x14ac:dyDescent="0.25">
      <c r="A1249">
        <v>169900</v>
      </c>
    </row>
    <row r="1250" spans="1:1" x14ac:dyDescent="0.25">
      <c r="A1250">
        <v>129500</v>
      </c>
    </row>
    <row r="1251" spans="1:1" x14ac:dyDescent="0.25">
      <c r="A1251">
        <v>119000</v>
      </c>
    </row>
    <row r="1252" spans="1:1" x14ac:dyDescent="0.25">
      <c r="A1252">
        <v>244000</v>
      </c>
    </row>
    <row r="1253" spans="1:1" x14ac:dyDescent="0.25">
      <c r="A1253">
        <v>171750</v>
      </c>
    </row>
    <row r="1254" spans="1:1" x14ac:dyDescent="0.25">
      <c r="A1254">
        <v>130000</v>
      </c>
    </row>
    <row r="1255" spans="1:1" x14ac:dyDescent="0.25">
      <c r="A1255">
        <v>294000</v>
      </c>
    </row>
    <row r="1256" spans="1:1" x14ac:dyDescent="0.25">
      <c r="A1256">
        <v>165400</v>
      </c>
    </row>
    <row r="1257" spans="1:1" x14ac:dyDescent="0.25">
      <c r="A1257">
        <v>127500</v>
      </c>
    </row>
    <row r="1258" spans="1:1" x14ac:dyDescent="0.25">
      <c r="A1258">
        <v>301500</v>
      </c>
    </row>
    <row r="1259" spans="1:1" x14ac:dyDescent="0.25">
      <c r="A1259">
        <v>99900</v>
      </c>
    </row>
    <row r="1260" spans="1:1" x14ac:dyDescent="0.25">
      <c r="A1260">
        <v>190000</v>
      </c>
    </row>
    <row r="1261" spans="1:1" x14ac:dyDescent="0.25">
      <c r="A1261">
        <v>151000</v>
      </c>
    </row>
    <row r="1262" spans="1:1" x14ac:dyDescent="0.25">
      <c r="A1262">
        <v>181000</v>
      </c>
    </row>
    <row r="1263" spans="1:1" x14ac:dyDescent="0.25">
      <c r="A1263">
        <v>128900</v>
      </c>
    </row>
    <row r="1264" spans="1:1" x14ac:dyDescent="0.25">
      <c r="A1264">
        <v>161500</v>
      </c>
    </row>
    <row r="1265" spans="1:1" x14ac:dyDescent="0.25">
      <c r="A1265">
        <v>180500</v>
      </c>
    </row>
    <row r="1266" spans="1:1" x14ac:dyDescent="0.25">
      <c r="A1266">
        <v>181000</v>
      </c>
    </row>
    <row r="1267" spans="1:1" x14ac:dyDescent="0.25">
      <c r="A1267">
        <v>183900</v>
      </c>
    </row>
    <row r="1268" spans="1:1" x14ac:dyDescent="0.25">
      <c r="A1268">
        <v>122000</v>
      </c>
    </row>
    <row r="1269" spans="1:1" x14ac:dyDescent="0.25">
      <c r="A1269">
        <v>378500</v>
      </c>
    </row>
    <row r="1270" spans="1:1" x14ac:dyDescent="0.25">
      <c r="A1270">
        <v>381000</v>
      </c>
    </row>
    <row r="1271" spans="1:1" x14ac:dyDescent="0.25">
      <c r="A1271">
        <v>144000</v>
      </c>
    </row>
    <row r="1272" spans="1:1" x14ac:dyDescent="0.25">
      <c r="A1272">
        <v>260000</v>
      </c>
    </row>
    <row r="1273" spans="1:1" x14ac:dyDescent="0.25">
      <c r="A1273">
        <v>185750</v>
      </c>
    </row>
    <row r="1274" spans="1:1" x14ac:dyDescent="0.25">
      <c r="A1274">
        <v>137000</v>
      </c>
    </row>
    <row r="1275" spans="1:1" x14ac:dyDescent="0.25">
      <c r="A1275">
        <v>177000</v>
      </c>
    </row>
    <row r="1276" spans="1:1" x14ac:dyDescent="0.25">
      <c r="A1276">
        <v>139000</v>
      </c>
    </row>
    <row r="1277" spans="1:1" x14ac:dyDescent="0.25">
      <c r="A1277">
        <v>137000</v>
      </c>
    </row>
    <row r="1278" spans="1:1" x14ac:dyDescent="0.25">
      <c r="A1278">
        <v>162000</v>
      </c>
    </row>
    <row r="1279" spans="1:1" x14ac:dyDescent="0.25">
      <c r="A1279">
        <v>197900</v>
      </c>
    </row>
    <row r="1280" spans="1:1" x14ac:dyDescent="0.25">
      <c r="A1280">
        <v>237000</v>
      </c>
    </row>
    <row r="1281" spans="1:1" x14ac:dyDescent="0.25">
      <c r="A1281">
        <v>68400</v>
      </c>
    </row>
    <row r="1282" spans="1:1" x14ac:dyDescent="0.25">
      <c r="A1282">
        <v>227000</v>
      </c>
    </row>
    <row r="1283" spans="1:1" x14ac:dyDescent="0.25">
      <c r="A1283">
        <v>180000</v>
      </c>
    </row>
    <row r="1284" spans="1:1" x14ac:dyDescent="0.25">
      <c r="A1284">
        <v>150500</v>
      </c>
    </row>
    <row r="1285" spans="1:1" x14ac:dyDescent="0.25">
      <c r="A1285">
        <v>139000</v>
      </c>
    </row>
    <row r="1286" spans="1:1" x14ac:dyDescent="0.25">
      <c r="A1286">
        <v>169000</v>
      </c>
    </row>
    <row r="1287" spans="1:1" x14ac:dyDescent="0.25">
      <c r="A1287">
        <v>132500</v>
      </c>
    </row>
    <row r="1288" spans="1:1" x14ac:dyDescent="0.25">
      <c r="A1288">
        <v>143000</v>
      </c>
    </row>
    <row r="1289" spans="1:1" x14ac:dyDescent="0.25">
      <c r="A1289">
        <v>190000</v>
      </c>
    </row>
    <row r="1290" spans="1:1" x14ac:dyDescent="0.25">
      <c r="A1290">
        <v>278000</v>
      </c>
    </row>
    <row r="1291" spans="1:1" x14ac:dyDescent="0.25">
      <c r="A1291">
        <v>281000</v>
      </c>
    </row>
    <row r="1292" spans="1:1" x14ac:dyDescent="0.25">
      <c r="A1292">
        <v>180500</v>
      </c>
    </row>
    <row r="1293" spans="1:1" x14ac:dyDescent="0.25">
      <c r="A1293">
        <v>119500</v>
      </c>
    </row>
    <row r="1294" spans="1:1" x14ac:dyDescent="0.25">
      <c r="A1294">
        <v>107500</v>
      </c>
    </row>
    <row r="1295" spans="1:1" x14ac:dyDescent="0.25">
      <c r="A1295">
        <v>162900</v>
      </c>
    </row>
    <row r="1296" spans="1:1" x14ac:dyDescent="0.25">
      <c r="A1296">
        <v>115000</v>
      </c>
    </row>
    <row r="1297" spans="1:1" x14ac:dyDescent="0.25">
      <c r="A1297">
        <v>138500</v>
      </c>
    </row>
    <row r="1298" spans="1:1" x14ac:dyDescent="0.25">
      <c r="A1298">
        <v>155000</v>
      </c>
    </row>
    <row r="1299" spans="1:1" x14ac:dyDescent="0.25">
      <c r="A1299">
        <v>140000</v>
      </c>
    </row>
    <row r="1300" spans="1:1" x14ac:dyDescent="0.25">
      <c r="A1300">
        <v>160000</v>
      </c>
    </row>
    <row r="1301" spans="1:1" x14ac:dyDescent="0.25">
      <c r="A1301">
        <v>154000</v>
      </c>
    </row>
    <row r="1302" spans="1:1" x14ac:dyDescent="0.25">
      <c r="A1302">
        <v>225000</v>
      </c>
    </row>
    <row r="1303" spans="1:1" x14ac:dyDescent="0.25">
      <c r="A1303">
        <v>177500</v>
      </c>
    </row>
    <row r="1304" spans="1:1" x14ac:dyDescent="0.25">
      <c r="A1304">
        <v>290000</v>
      </c>
    </row>
    <row r="1305" spans="1:1" x14ac:dyDescent="0.25">
      <c r="A1305">
        <v>232000</v>
      </c>
    </row>
    <row r="1306" spans="1:1" x14ac:dyDescent="0.25">
      <c r="A1306">
        <v>130000</v>
      </c>
    </row>
    <row r="1307" spans="1:1" x14ac:dyDescent="0.25">
      <c r="A1307">
        <v>325000</v>
      </c>
    </row>
    <row r="1308" spans="1:1" x14ac:dyDescent="0.25">
      <c r="A1308">
        <v>202500</v>
      </c>
    </row>
    <row r="1309" spans="1:1" x14ac:dyDescent="0.25">
      <c r="A1309">
        <v>138000</v>
      </c>
    </row>
    <row r="1310" spans="1:1" x14ac:dyDescent="0.25">
      <c r="A1310">
        <v>147000</v>
      </c>
    </row>
    <row r="1311" spans="1:1" x14ac:dyDescent="0.25">
      <c r="A1311">
        <v>179200</v>
      </c>
    </row>
    <row r="1312" spans="1:1" x14ac:dyDescent="0.25">
      <c r="A1312">
        <v>335000</v>
      </c>
    </row>
    <row r="1313" spans="1:1" x14ac:dyDescent="0.25">
      <c r="A1313">
        <v>203000</v>
      </c>
    </row>
    <row r="1314" spans="1:1" x14ac:dyDescent="0.25">
      <c r="A1314">
        <v>302000</v>
      </c>
    </row>
    <row r="1315" spans="1:1" x14ac:dyDescent="0.25">
      <c r="A1315">
        <v>333168</v>
      </c>
    </row>
    <row r="1316" spans="1:1" x14ac:dyDescent="0.25">
      <c r="A1316">
        <v>119000</v>
      </c>
    </row>
    <row r="1317" spans="1:1" x14ac:dyDescent="0.25">
      <c r="A1317">
        <v>206900</v>
      </c>
    </row>
    <row r="1318" spans="1:1" x14ac:dyDescent="0.25">
      <c r="A1318">
        <v>295493</v>
      </c>
    </row>
    <row r="1319" spans="1:1" x14ac:dyDescent="0.25">
      <c r="A1319">
        <v>208900</v>
      </c>
    </row>
    <row r="1320" spans="1:1" x14ac:dyDescent="0.25">
      <c r="A1320">
        <v>275000</v>
      </c>
    </row>
    <row r="1321" spans="1:1" x14ac:dyDescent="0.25">
      <c r="A1321">
        <v>111000</v>
      </c>
    </row>
    <row r="1322" spans="1:1" x14ac:dyDescent="0.25">
      <c r="A1322">
        <v>156500</v>
      </c>
    </row>
    <row r="1323" spans="1:1" x14ac:dyDescent="0.25">
      <c r="A1323">
        <v>72500</v>
      </c>
    </row>
    <row r="1324" spans="1:1" x14ac:dyDescent="0.25">
      <c r="A1324">
        <v>190000</v>
      </c>
    </row>
    <row r="1325" spans="1:1" x14ac:dyDescent="0.25">
      <c r="A1325">
        <v>82500</v>
      </c>
    </row>
    <row r="1326" spans="1:1" x14ac:dyDescent="0.25">
      <c r="A1326">
        <v>147000</v>
      </c>
    </row>
    <row r="1327" spans="1:1" x14ac:dyDescent="0.25">
      <c r="A1327">
        <v>55000</v>
      </c>
    </row>
    <row r="1328" spans="1:1" x14ac:dyDescent="0.25">
      <c r="A1328">
        <v>79000</v>
      </c>
    </row>
    <row r="1329" spans="1:1" x14ac:dyDescent="0.25">
      <c r="A1329">
        <v>130500</v>
      </c>
    </row>
    <row r="1330" spans="1:1" x14ac:dyDescent="0.25">
      <c r="A1330">
        <v>256000</v>
      </c>
    </row>
    <row r="1331" spans="1:1" x14ac:dyDescent="0.25">
      <c r="A1331">
        <v>176500</v>
      </c>
    </row>
    <row r="1332" spans="1:1" x14ac:dyDescent="0.25">
      <c r="A1332">
        <v>227000</v>
      </c>
    </row>
    <row r="1333" spans="1:1" x14ac:dyDescent="0.25">
      <c r="A1333">
        <v>132500</v>
      </c>
    </row>
    <row r="1334" spans="1:1" x14ac:dyDescent="0.25">
      <c r="A1334">
        <v>100000</v>
      </c>
    </row>
    <row r="1335" spans="1:1" x14ac:dyDescent="0.25">
      <c r="A1335">
        <v>125500</v>
      </c>
    </row>
    <row r="1336" spans="1:1" x14ac:dyDescent="0.25">
      <c r="A1336">
        <v>125000</v>
      </c>
    </row>
    <row r="1337" spans="1:1" x14ac:dyDescent="0.25">
      <c r="A1337">
        <v>167900</v>
      </c>
    </row>
    <row r="1338" spans="1:1" x14ac:dyDescent="0.25">
      <c r="A1338">
        <v>135000</v>
      </c>
    </row>
    <row r="1339" spans="1:1" x14ac:dyDescent="0.25">
      <c r="A1339">
        <v>52500</v>
      </c>
    </row>
    <row r="1340" spans="1:1" x14ac:dyDescent="0.25">
      <c r="A1340">
        <v>200000</v>
      </c>
    </row>
    <row r="1341" spans="1:1" x14ac:dyDescent="0.25">
      <c r="A1341">
        <v>128500</v>
      </c>
    </row>
    <row r="1342" spans="1:1" x14ac:dyDescent="0.25">
      <c r="A1342">
        <v>123000</v>
      </c>
    </row>
    <row r="1343" spans="1:1" x14ac:dyDescent="0.25">
      <c r="A1343">
        <v>155000</v>
      </c>
    </row>
    <row r="1344" spans="1:1" x14ac:dyDescent="0.25">
      <c r="A1344">
        <v>228500</v>
      </c>
    </row>
    <row r="1345" spans="1:1" x14ac:dyDescent="0.25">
      <c r="A1345">
        <v>177000</v>
      </c>
    </row>
    <row r="1346" spans="1:1" x14ac:dyDescent="0.25">
      <c r="A1346">
        <v>155835</v>
      </c>
    </row>
    <row r="1347" spans="1:1" x14ac:dyDescent="0.25">
      <c r="A1347">
        <v>108500</v>
      </c>
    </row>
    <row r="1348" spans="1:1" x14ac:dyDescent="0.25">
      <c r="A1348">
        <v>262500</v>
      </c>
    </row>
    <row r="1349" spans="1:1" x14ac:dyDescent="0.25">
      <c r="A1349">
        <v>283463</v>
      </c>
    </row>
    <row r="1350" spans="1:1" x14ac:dyDescent="0.25">
      <c r="A1350">
        <v>215000</v>
      </c>
    </row>
    <row r="1351" spans="1:1" x14ac:dyDescent="0.25">
      <c r="A1351">
        <v>122000</v>
      </c>
    </row>
    <row r="1352" spans="1:1" x14ac:dyDescent="0.25">
      <c r="A1352">
        <v>200000</v>
      </c>
    </row>
    <row r="1353" spans="1:1" x14ac:dyDescent="0.25">
      <c r="A1353">
        <v>171000</v>
      </c>
    </row>
    <row r="1354" spans="1:1" x14ac:dyDescent="0.25">
      <c r="A1354">
        <v>134900</v>
      </c>
    </row>
    <row r="1355" spans="1:1" x14ac:dyDescent="0.25">
      <c r="A1355">
        <v>410000</v>
      </c>
    </row>
    <row r="1356" spans="1:1" x14ac:dyDescent="0.25">
      <c r="A1356">
        <v>235000</v>
      </c>
    </row>
    <row r="1357" spans="1:1" x14ac:dyDescent="0.25">
      <c r="A1357">
        <v>170000</v>
      </c>
    </row>
    <row r="1358" spans="1:1" x14ac:dyDescent="0.25">
      <c r="A1358">
        <v>110000</v>
      </c>
    </row>
    <row r="1359" spans="1:1" x14ac:dyDescent="0.25">
      <c r="A1359">
        <v>149900</v>
      </c>
    </row>
    <row r="1360" spans="1:1" x14ac:dyDescent="0.25">
      <c r="A1360">
        <v>177500</v>
      </c>
    </row>
    <row r="1361" spans="1:1" x14ac:dyDescent="0.25">
      <c r="A1361">
        <v>315000</v>
      </c>
    </row>
    <row r="1362" spans="1:1" x14ac:dyDescent="0.25">
      <c r="A1362">
        <v>189000</v>
      </c>
    </row>
    <row r="1363" spans="1:1" x14ac:dyDescent="0.25">
      <c r="A1363">
        <v>260000</v>
      </c>
    </row>
    <row r="1364" spans="1:1" x14ac:dyDescent="0.25">
      <c r="A1364">
        <v>104900</v>
      </c>
    </row>
    <row r="1365" spans="1:1" x14ac:dyDescent="0.25">
      <c r="A1365">
        <v>156932</v>
      </c>
    </row>
    <row r="1366" spans="1:1" x14ac:dyDescent="0.25">
      <c r="A1366">
        <v>144152</v>
      </c>
    </row>
    <row r="1367" spans="1:1" x14ac:dyDescent="0.25">
      <c r="A1367">
        <v>216000</v>
      </c>
    </row>
    <row r="1368" spans="1:1" x14ac:dyDescent="0.25">
      <c r="A1368">
        <v>193000</v>
      </c>
    </row>
    <row r="1369" spans="1:1" x14ac:dyDescent="0.25">
      <c r="A1369">
        <v>127000</v>
      </c>
    </row>
    <row r="1370" spans="1:1" x14ac:dyDescent="0.25">
      <c r="A1370">
        <v>144000</v>
      </c>
    </row>
    <row r="1371" spans="1:1" x14ac:dyDescent="0.25">
      <c r="A1371">
        <v>232000</v>
      </c>
    </row>
    <row r="1372" spans="1:1" x14ac:dyDescent="0.25">
      <c r="A1372">
        <v>105000</v>
      </c>
    </row>
    <row r="1373" spans="1:1" x14ac:dyDescent="0.25">
      <c r="A1373">
        <v>165500</v>
      </c>
    </row>
    <row r="1374" spans="1:1" x14ac:dyDescent="0.25">
      <c r="A1374">
        <v>274300</v>
      </c>
    </row>
    <row r="1375" spans="1:1" x14ac:dyDescent="0.25">
      <c r="A1375">
        <v>466500</v>
      </c>
    </row>
    <row r="1376" spans="1:1" x14ac:dyDescent="0.25">
      <c r="A1376">
        <v>250000</v>
      </c>
    </row>
    <row r="1377" spans="1:1" x14ac:dyDescent="0.25">
      <c r="A1377">
        <v>239000</v>
      </c>
    </row>
    <row r="1378" spans="1:1" x14ac:dyDescent="0.25">
      <c r="A1378">
        <v>91000</v>
      </c>
    </row>
    <row r="1379" spans="1:1" x14ac:dyDescent="0.25">
      <c r="A1379">
        <v>117000</v>
      </c>
    </row>
    <row r="1380" spans="1:1" x14ac:dyDescent="0.25">
      <c r="A1380">
        <v>83000</v>
      </c>
    </row>
    <row r="1381" spans="1:1" x14ac:dyDescent="0.25">
      <c r="A1381">
        <v>167500</v>
      </c>
    </row>
    <row r="1382" spans="1:1" x14ac:dyDescent="0.25">
      <c r="A1382">
        <v>58500</v>
      </c>
    </row>
    <row r="1383" spans="1:1" x14ac:dyDescent="0.25">
      <c r="A1383">
        <v>237500</v>
      </c>
    </row>
    <row r="1384" spans="1:1" x14ac:dyDescent="0.25">
      <c r="A1384">
        <v>157000</v>
      </c>
    </row>
    <row r="1385" spans="1:1" x14ac:dyDescent="0.25">
      <c r="A1385">
        <v>112000</v>
      </c>
    </row>
    <row r="1386" spans="1:1" x14ac:dyDescent="0.25">
      <c r="A1386">
        <v>105000</v>
      </c>
    </row>
    <row r="1387" spans="1:1" x14ac:dyDescent="0.25">
      <c r="A1387">
        <v>125500</v>
      </c>
    </row>
    <row r="1388" spans="1:1" x14ac:dyDescent="0.25">
      <c r="A1388">
        <v>250000</v>
      </c>
    </row>
    <row r="1389" spans="1:1" x14ac:dyDescent="0.25">
      <c r="A1389">
        <v>136000</v>
      </c>
    </row>
    <row r="1390" spans="1:1" x14ac:dyDescent="0.25">
      <c r="A1390">
        <v>377500</v>
      </c>
    </row>
    <row r="1391" spans="1:1" x14ac:dyDescent="0.25">
      <c r="A1391">
        <v>131000</v>
      </c>
    </row>
    <row r="1392" spans="1:1" x14ac:dyDescent="0.25">
      <c r="A1392">
        <v>235000</v>
      </c>
    </row>
    <row r="1393" spans="1:1" x14ac:dyDescent="0.25">
      <c r="A1393">
        <v>124000</v>
      </c>
    </row>
    <row r="1394" spans="1:1" x14ac:dyDescent="0.25">
      <c r="A1394">
        <v>123000</v>
      </c>
    </row>
    <row r="1395" spans="1:1" x14ac:dyDescent="0.25">
      <c r="A1395">
        <v>163000</v>
      </c>
    </row>
    <row r="1396" spans="1:1" x14ac:dyDescent="0.25">
      <c r="A1396">
        <v>246578</v>
      </c>
    </row>
    <row r="1397" spans="1:1" x14ac:dyDescent="0.25">
      <c r="A1397">
        <v>281213</v>
      </c>
    </row>
    <row r="1398" spans="1:1" x14ac:dyDescent="0.25">
      <c r="A1398">
        <v>160000</v>
      </c>
    </row>
    <row r="1399" spans="1:1" x14ac:dyDescent="0.25">
      <c r="A1399">
        <v>137500</v>
      </c>
    </row>
    <row r="1400" spans="1:1" x14ac:dyDescent="0.25">
      <c r="A1400">
        <v>138000</v>
      </c>
    </row>
    <row r="1401" spans="1:1" x14ac:dyDescent="0.25">
      <c r="A1401">
        <v>137450</v>
      </c>
    </row>
    <row r="1402" spans="1:1" x14ac:dyDescent="0.25">
      <c r="A1402">
        <v>120000</v>
      </c>
    </row>
    <row r="1403" spans="1:1" x14ac:dyDescent="0.25">
      <c r="A1403">
        <v>193000</v>
      </c>
    </row>
    <row r="1404" spans="1:1" x14ac:dyDescent="0.25">
      <c r="A1404">
        <v>193879</v>
      </c>
    </row>
    <row r="1405" spans="1:1" x14ac:dyDescent="0.25">
      <c r="A1405">
        <v>282922</v>
      </c>
    </row>
    <row r="1406" spans="1:1" x14ac:dyDescent="0.25">
      <c r="A1406">
        <v>105000</v>
      </c>
    </row>
    <row r="1407" spans="1:1" x14ac:dyDescent="0.25">
      <c r="A1407">
        <v>275000</v>
      </c>
    </row>
    <row r="1408" spans="1:1" x14ac:dyDescent="0.25">
      <c r="A1408">
        <v>133000</v>
      </c>
    </row>
    <row r="1409" spans="1:1" x14ac:dyDescent="0.25">
      <c r="A1409">
        <v>112000</v>
      </c>
    </row>
    <row r="1410" spans="1:1" x14ac:dyDescent="0.25">
      <c r="A1410">
        <v>125500</v>
      </c>
    </row>
    <row r="1411" spans="1:1" x14ac:dyDescent="0.25">
      <c r="A1411">
        <v>215000</v>
      </c>
    </row>
    <row r="1412" spans="1:1" x14ac:dyDescent="0.25">
      <c r="A1412">
        <v>230000</v>
      </c>
    </row>
    <row r="1413" spans="1:1" x14ac:dyDescent="0.25">
      <c r="A1413">
        <v>140000</v>
      </c>
    </row>
    <row r="1414" spans="1:1" x14ac:dyDescent="0.25">
      <c r="A1414">
        <v>90000</v>
      </c>
    </row>
    <row r="1415" spans="1:1" x14ac:dyDescent="0.25">
      <c r="A1415">
        <v>257000</v>
      </c>
    </row>
    <row r="1416" spans="1:1" x14ac:dyDescent="0.25">
      <c r="A1416">
        <v>207000</v>
      </c>
    </row>
    <row r="1417" spans="1:1" x14ac:dyDescent="0.25">
      <c r="A1417">
        <v>175900</v>
      </c>
    </row>
    <row r="1418" spans="1:1" x14ac:dyDescent="0.25">
      <c r="A1418">
        <v>122500</v>
      </c>
    </row>
    <row r="1419" spans="1:1" x14ac:dyDescent="0.25">
      <c r="A1419">
        <v>340000</v>
      </c>
    </row>
    <row r="1420" spans="1:1" x14ac:dyDescent="0.25">
      <c r="A1420">
        <v>124000</v>
      </c>
    </row>
    <row r="1421" spans="1:1" x14ac:dyDescent="0.25">
      <c r="A1421">
        <v>223000</v>
      </c>
    </row>
    <row r="1422" spans="1:1" x14ac:dyDescent="0.25">
      <c r="A1422">
        <v>179900</v>
      </c>
    </row>
    <row r="1423" spans="1:1" x14ac:dyDescent="0.25">
      <c r="A1423">
        <v>127500</v>
      </c>
    </row>
    <row r="1424" spans="1:1" x14ac:dyDescent="0.25">
      <c r="A1424">
        <v>136500</v>
      </c>
    </row>
    <row r="1425" spans="1:1" x14ac:dyDescent="0.25">
      <c r="A1425">
        <v>274970</v>
      </c>
    </row>
    <row r="1426" spans="1:1" x14ac:dyDescent="0.25">
      <c r="A1426">
        <v>144000</v>
      </c>
    </row>
    <row r="1427" spans="1:1" x14ac:dyDescent="0.25">
      <c r="A1427">
        <v>142000</v>
      </c>
    </row>
    <row r="1428" spans="1:1" x14ac:dyDescent="0.25">
      <c r="A1428">
        <v>271000</v>
      </c>
    </row>
    <row r="1429" spans="1:1" x14ac:dyDescent="0.25">
      <c r="A1429">
        <v>140000</v>
      </c>
    </row>
    <row r="1430" spans="1:1" x14ac:dyDescent="0.25">
      <c r="A1430">
        <v>119000</v>
      </c>
    </row>
    <row r="1431" spans="1:1" x14ac:dyDescent="0.25">
      <c r="A1431">
        <v>182900</v>
      </c>
    </row>
    <row r="1432" spans="1:1" x14ac:dyDescent="0.25">
      <c r="A1432">
        <v>192140</v>
      </c>
    </row>
    <row r="1433" spans="1:1" x14ac:dyDescent="0.25">
      <c r="A1433">
        <v>143750</v>
      </c>
    </row>
    <row r="1434" spans="1:1" x14ac:dyDescent="0.25">
      <c r="A1434">
        <v>64500</v>
      </c>
    </row>
    <row r="1435" spans="1:1" x14ac:dyDescent="0.25">
      <c r="A1435">
        <v>186500</v>
      </c>
    </row>
    <row r="1436" spans="1:1" x14ac:dyDescent="0.25">
      <c r="A1436">
        <v>160000</v>
      </c>
    </row>
    <row r="1437" spans="1:1" x14ac:dyDescent="0.25">
      <c r="A1437">
        <v>174000</v>
      </c>
    </row>
    <row r="1438" spans="1:1" x14ac:dyDescent="0.25">
      <c r="A1438">
        <v>120500</v>
      </c>
    </row>
    <row r="1439" spans="1:1" x14ac:dyDescent="0.25">
      <c r="A1439">
        <v>394617</v>
      </c>
    </row>
    <row r="1440" spans="1:1" x14ac:dyDescent="0.25">
      <c r="A1440">
        <v>149700</v>
      </c>
    </row>
    <row r="1441" spans="1:1" x14ac:dyDescent="0.25">
      <c r="A1441">
        <v>197000</v>
      </c>
    </row>
    <row r="1442" spans="1:1" x14ac:dyDescent="0.25">
      <c r="A1442">
        <v>191000</v>
      </c>
    </row>
    <row r="1443" spans="1:1" x14ac:dyDescent="0.25">
      <c r="A1443">
        <v>149300</v>
      </c>
    </row>
    <row r="1444" spans="1:1" x14ac:dyDescent="0.25">
      <c r="A1444">
        <v>310000</v>
      </c>
    </row>
    <row r="1445" spans="1:1" x14ac:dyDescent="0.25">
      <c r="A1445">
        <v>121000</v>
      </c>
    </row>
    <row r="1446" spans="1:1" x14ac:dyDescent="0.25">
      <c r="A1446">
        <v>179600</v>
      </c>
    </row>
    <row r="1447" spans="1:1" x14ac:dyDescent="0.25">
      <c r="A1447">
        <v>129000</v>
      </c>
    </row>
    <row r="1448" spans="1:1" x14ac:dyDescent="0.25">
      <c r="A1448">
        <v>157900</v>
      </c>
    </row>
    <row r="1449" spans="1:1" x14ac:dyDescent="0.25">
      <c r="A1449">
        <v>240000</v>
      </c>
    </row>
    <row r="1450" spans="1:1" x14ac:dyDescent="0.25">
      <c r="A1450">
        <v>112000</v>
      </c>
    </row>
    <row r="1451" spans="1:1" x14ac:dyDescent="0.25">
      <c r="A1451">
        <v>92000</v>
      </c>
    </row>
    <row r="1452" spans="1:1" x14ac:dyDescent="0.25">
      <c r="A1452">
        <v>136000</v>
      </c>
    </row>
    <row r="1453" spans="1:1" x14ac:dyDescent="0.25">
      <c r="A1453">
        <v>287090</v>
      </c>
    </row>
    <row r="1454" spans="1:1" x14ac:dyDescent="0.25">
      <c r="A1454">
        <v>145000</v>
      </c>
    </row>
    <row r="1455" spans="1:1" x14ac:dyDescent="0.25">
      <c r="A1455">
        <v>84500</v>
      </c>
    </row>
    <row r="1456" spans="1:1" x14ac:dyDescent="0.25">
      <c r="A1456">
        <v>185000</v>
      </c>
    </row>
    <row r="1457" spans="1:1" x14ac:dyDescent="0.25">
      <c r="A1457">
        <v>175000</v>
      </c>
    </row>
    <row r="1458" spans="1:1" x14ac:dyDescent="0.25">
      <c r="A1458">
        <v>210000</v>
      </c>
    </row>
    <row r="1459" spans="1:1" x14ac:dyDescent="0.25">
      <c r="A1459">
        <v>266500</v>
      </c>
    </row>
    <row r="1460" spans="1:1" x14ac:dyDescent="0.25">
      <c r="A1460">
        <v>142125</v>
      </c>
    </row>
    <row r="1461" spans="1:1" x14ac:dyDescent="0.25">
      <c r="A1461">
        <v>147500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906B-77EA-4ED7-8492-A59075F99215}">
  <dimension ref="A1:B1461"/>
  <sheetViews>
    <sheetView topLeftCell="A16" workbookViewId="0">
      <selection activeCell="G35" sqref="G35"/>
    </sheetView>
  </sheetViews>
  <sheetFormatPr defaultRowHeight="15" x14ac:dyDescent="0.25"/>
  <sheetData>
    <row r="1" spans="1:2" x14ac:dyDescent="0.25">
      <c r="A1" t="s">
        <v>16</v>
      </c>
      <c r="B1" t="s">
        <v>80</v>
      </c>
    </row>
    <row r="2" spans="1:2" x14ac:dyDescent="0.25">
      <c r="A2" t="s">
        <v>92</v>
      </c>
      <c r="B2">
        <v>208500</v>
      </c>
    </row>
    <row r="3" spans="1:2" x14ac:dyDescent="0.25">
      <c r="A3" t="s">
        <v>115</v>
      </c>
      <c r="B3">
        <v>181500</v>
      </c>
    </row>
    <row r="4" spans="1:2" x14ac:dyDescent="0.25">
      <c r="A4" t="s">
        <v>92</v>
      </c>
      <c r="B4">
        <v>223500</v>
      </c>
    </row>
    <row r="5" spans="1:2" x14ac:dyDescent="0.25">
      <c r="A5" t="s">
        <v>92</v>
      </c>
      <c r="B5">
        <v>140000</v>
      </c>
    </row>
    <row r="6" spans="1:2" x14ac:dyDescent="0.25">
      <c r="A6" t="s">
        <v>92</v>
      </c>
      <c r="B6">
        <v>250000</v>
      </c>
    </row>
    <row r="7" spans="1:2" x14ac:dyDescent="0.25">
      <c r="A7" t="s">
        <v>132</v>
      </c>
      <c r="B7">
        <v>143000</v>
      </c>
    </row>
    <row r="8" spans="1:2" x14ac:dyDescent="0.25">
      <c r="A8" t="s">
        <v>115</v>
      </c>
      <c r="B8">
        <v>307000</v>
      </c>
    </row>
    <row r="9" spans="1:2" x14ac:dyDescent="0.25">
      <c r="A9" t="s">
        <v>92</v>
      </c>
      <c r="B9">
        <v>200000</v>
      </c>
    </row>
    <row r="10" spans="1:2" x14ac:dyDescent="0.25">
      <c r="A10" t="s">
        <v>132</v>
      </c>
      <c r="B10">
        <v>129900</v>
      </c>
    </row>
    <row r="11" spans="1:2" x14ac:dyDescent="0.25">
      <c r="A11" t="s">
        <v>150</v>
      </c>
      <c r="B11">
        <v>118000</v>
      </c>
    </row>
    <row r="12" spans="1:2" x14ac:dyDescent="0.25">
      <c r="A12" t="s">
        <v>115</v>
      </c>
      <c r="B12">
        <v>129500</v>
      </c>
    </row>
    <row r="13" spans="1:2" x14ac:dyDescent="0.25">
      <c r="A13" t="s">
        <v>92</v>
      </c>
      <c r="B13">
        <v>345000</v>
      </c>
    </row>
    <row r="14" spans="1:2" x14ac:dyDescent="0.25">
      <c r="A14" t="s">
        <v>115</v>
      </c>
      <c r="B14">
        <v>144000</v>
      </c>
    </row>
    <row r="15" spans="1:2" x14ac:dyDescent="0.25">
      <c r="A15" t="s">
        <v>115</v>
      </c>
      <c r="B15">
        <v>279500</v>
      </c>
    </row>
    <row r="16" spans="1:2" x14ac:dyDescent="0.25">
      <c r="A16" t="s">
        <v>115</v>
      </c>
      <c r="B16">
        <v>157000</v>
      </c>
    </row>
    <row r="17" spans="1:2" x14ac:dyDescent="0.25">
      <c r="A17" t="s">
        <v>150</v>
      </c>
      <c r="B17">
        <v>132000</v>
      </c>
    </row>
    <row r="18" spans="1:2" x14ac:dyDescent="0.25">
      <c r="A18" t="s">
        <v>115</v>
      </c>
      <c r="B18">
        <v>149000</v>
      </c>
    </row>
    <row r="19" spans="1:2" x14ac:dyDescent="0.25">
      <c r="A19" t="s">
        <v>115</v>
      </c>
      <c r="B19">
        <v>90000</v>
      </c>
    </row>
    <row r="20" spans="1:2" x14ac:dyDescent="0.25">
      <c r="A20" t="s">
        <v>115</v>
      </c>
      <c r="B20">
        <v>159000</v>
      </c>
    </row>
    <row r="21" spans="1:2" x14ac:dyDescent="0.25">
      <c r="A21" t="s">
        <v>115</v>
      </c>
      <c r="B21">
        <v>139000</v>
      </c>
    </row>
    <row r="22" spans="1:2" x14ac:dyDescent="0.25">
      <c r="A22" t="s">
        <v>92</v>
      </c>
      <c r="B22">
        <v>325300</v>
      </c>
    </row>
    <row r="23" spans="1:2" x14ac:dyDescent="0.25">
      <c r="A23" t="s">
        <v>150</v>
      </c>
      <c r="B23">
        <v>139400</v>
      </c>
    </row>
    <row r="24" spans="1:2" x14ac:dyDescent="0.25">
      <c r="A24" t="s">
        <v>115</v>
      </c>
      <c r="B24">
        <v>230000</v>
      </c>
    </row>
    <row r="25" spans="1:2" x14ac:dyDescent="0.25">
      <c r="A25" t="s">
        <v>115</v>
      </c>
      <c r="B25">
        <v>129900</v>
      </c>
    </row>
    <row r="26" spans="1:2" x14ac:dyDescent="0.25">
      <c r="A26" t="s">
        <v>115</v>
      </c>
      <c r="B26">
        <v>154000</v>
      </c>
    </row>
    <row r="27" spans="1:2" x14ac:dyDescent="0.25">
      <c r="A27" t="s">
        <v>115</v>
      </c>
      <c r="B27">
        <v>256300</v>
      </c>
    </row>
    <row r="28" spans="1:2" x14ac:dyDescent="0.25">
      <c r="A28" t="s">
        <v>115</v>
      </c>
      <c r="B28">
        <v>134800</v>
      </c>
    </row>
    <row r="29" spans="1:2" x14ac:dyDescent="0.25">
      <c r="A29" t="s">
        <v>115</v>
      </c>
      <c r="B29">
        <v>306000</v>
      </c>
    </row>
    <row r="30" spans="1:2" x14ac:dyDescent="0.25">
      <c r="A30" t="s">
        <v>115</v>
      </c>
      <c r="B30">
        <v>207500</v>
      </c>
    </row>
    <row r="31" spans="1:2" x14ac:dyDescent="0.25">
      <c r="A31" t="s">
        <v>115</v>
      </c>
      <c r="B31">
        <v>68500</v>
      </c>
    </row>
    <row r="32" spans="1:2" x14ac:dyDescent="0.25">
      <c r="A32" t="s">
        <v>92</v>
      </c>
      <c r="B32">
        <v>40000</v>
      </c>
    </row>
    <row r="33" spans="1:2" x14ac:dyDescent="0.25">
      <c r="A33" t="s">
        <v>115</v>
      </c>
      <c r="B33">
        <v>149350</v>
      </c>
    </row>
    <row r="34" spans="1:2" x14ac:dyDescent="0.25">
      <c r="A34" t="s">
        <v>115</v>
      </c>
      <c r="B34">
        <v>179900</v>
      </c>
    </row>
    <row r="35" spans="1:2" x14ac:dyDescent="0.25">
      <c r="A35" t="s">
        <v>115</v>
      </c>
      <c r="B35">
        <v>165500</v>
      </c>
    </row>
    <row r="36" spans="1:2" x14ac:dyDescent="0.25">
      <c r="A36" t="s">
        <v>115</v>
      </c>
      <c r="B36">
        <v>277500</v>
      </c>
    </row>
    <row r="37" spans="1:2" x14ac:dyDescent="0.25">
      <c r="A37" t="s">
        <v>92</v>
      </c>
      <c r="B37">
        <v>309000</v>
      </c>
    </row>
    <row r="38" spans="1:2" x14ac:dyDescent="0.25">
      <c r="A38" t="s">
        <v>115</v>
      </c>
      <c r="B38">
        <v>145000</v>
      </c>
    </row>
    <row r="39" spans="1:2" x14ac:dyDescent="0.25">
      <c r="A39" t="s">
        <v>115</v>
      </c>
      <c r="B39">
        <v>153000</v>
      </c>
    </row>
    <row r="40" spans="1:2" x14ac:dyDescent="0.25">
      <c r="A40" t="s">
        <v>115</v>
      </c>
      <c r="B40">
        <v>109000</v>
      </c>
    </row>
    <row r="41" spans="1:2" x14ac:dyDescent="0.25">
      <c r="A41" t="s">
        <v>115</v>
      </c>
      <c r="B41">
        <v>82000</v>
      </c>
    </row>
    <row r="42" spans="1:2" x14ac:dyDescent="0.25">
      <c r="A42" t="s">
        <v>115</v>
      </c>
      <c r="B42">
        <v>160000</v>
      </c>
    </row>
    <row r="43" spans="1:2" x14ac:dyDescent="0.25">
      <c r="A43" t="s">
        <v>115</v>
      </c>
      <c r="B43">
        <v>170000</v>
      </c>
    </row>
    <row r="44" spans="1:2" x14ac:dyDescent="0.25">
      <c r="A44" t="s">
        <v>191</v>
      </c>
      <c r="B44">
        <v>144000</v>
      </c>
    </row>
    <row r="45" spans="1:2" x14ac:dyDescent="0.25">
      <c r="A45" t="s">
        <v>115</v>
      </c>
      <c r="B45">
        <v>130250</v>
      </c>
    </row>
    <row r="46" spans="1:2" x14ac:dyDescent="0.25">
      <c r="A46" t="s">
        <v>115</v>
      </c>
      <c r="B46">
        <v>141000</v>
      </c>
    </row>
    <row r="47" spans="1:2" x14ac:dyDescent="0.25">
      <c r="A47" t="s">
        <v>115</v>
      </c>
      <c r="B47">
        <v>319900</v>
      </c>
    </row>
    <row r="48" spans="1:2" x14ac:dyDescent="0.25">
      <c r="A48" t="s">
        <v>132</v>
      </c>
      <c r="B48">
        <v>239686</v>
      </c>
    </row>
    <row r="49" spans="1:2" x14ac:dyDescent="0.25">
      <c r="A49" t="s">
        <v>115</v>
      </c>
      <c r="B49">
        <v>249700</v>
      </c>
    </row>
    <row r="50" spans="1:2" x14ac:dyDescent="0.25">
      <c r="A50" t="s">
        <v>92</v>
      </c>
      <c r="B50">
        <v>113000</v>
      </c>
    </row>
    <row r="51" spans="1:2" x14ac:dyDescent="0.25">
      <c r="A51" t="s">
        <v>115</v>
      </c>
      <c r="B51">
        <v>127000</v>
      </c>
    </row>
    <row r="52" spans="1:2" x14ac:dyDescent="0.25">
      <c r="A52" t="s">
        <v>92</v>
      </c>
      <c r="B52">
        <v>177000</v>
      </c>
    </row>
    <row r="53" spans="1:2" x14ac:dyDescent="0.25">
      <c r="A53" t="s">
        <v>132</v>
      </c>
      <c r="B53">
        <v>114500</v>
      </c>
    </row>
    <row r="54" spans="1:2" x14ac:dyDescent="0.25">
      <c r="A54" t="s">
        <v>115</v>
      </c>
      <c r="B54">
        <v>110000</v>
      </c>
    </row>
    <row r="55" spans="1:2" x14ac:dyDescent="0.25">
      <c r="A55" t="s">
        <v>115</v>
      </c>
      <c r="B55">
        <v>385000</v>
      </c>
    </row>
    <row r="56" spans="1:2" x14ac:dyDescent="0.25">
      <c r="A56" t="s">
        <v>197</v>
      </c>
      <c r="B56">
        <v>130000</v>
      </c>
    </row>
    <row r="57" spans="1:2" x14ac:dyDescent="0.25">
      <c r="A57" t="s">
        <v>115</v>
      </c>
      <c r="B57">
        <v>180500</v>
      </c>
    </row>
    <row r="58" spans="1:2" x14ac:dyDescent="0.25">
      <c r="A58" t="s">
        <v>92</v>
      </c>
      <c r="B58">
        <v>172500</v>
      </c>
    </row>
    <row r="59" spans="1:2" x14ac:dyDescent="0.25">
      <c r="A59" t="s">
        <v>92</v>
      </c>
      <c r="B59">
        <v>196500</v>
      </c>
    </row>
    <row r="60" spans="1:2" x14ac:dyDescent="0.25">
      <c r="A60" t="s">
        <v>92</v>
      </c>
      <c r="B60">
        <v>438780</v>
      </c>
    </row>
    <row r="61" spans="1:2" x14ac:dyDescent="0.25">
      <c r="A61" t="s">
        <v>115</v>
      </c>
      <c r="B61">
        <v>124900</v>
      </c>
    </row>
    <row r="62" spans="1:2" x14ac:dyDescent="0.25">
      <c r="A62" t="s">
        <v>115</v>
      </c>
      <c r="B62">
        <v>158000</v>
      </c>
    </row>
    <row r="63" spans="1:2" x14ac:dyDescent="0.25">
      <c r="A63" t="s">
        <v>201</v>
      </c>
      <c r="B63">
        <v>101000</v>
      </c>
    </row>
    <row r="64" spans="1:2" x14ac:dyDescent="0.25">
      <c r="A64" t="s">
        <v>115</v>
      </c>
      <c r="B64">
        <v>202500</v>
      </c>
    </row>
    <row r="65" spans="1:2" x14ac:dyDescent="0.25">
      <c r="A65" t="s">
        <v>92</v>
      </c>
      <c r="B65">
        <v>140000</v>
      </c>
    </row>
    <row r="66" spans="1:2" x14ac:dyDescent="0.25">
      <c r="A66" t="s">
        <v>92</v>
      </c>
      <c r="B66">
        <v>219500</v>
      </c>
    </row>
    <row r="67" spans="1:2" x14ac:dyDescent="0.25">
      <c r="A67" t="s">
        <v>92</v>
      </c>
      <c r="B67">
        <v>317000</v>
      </c>
    </row>
    <row r="68" spans="1:2" x14ac:dyDescent="0.25">
      <c r="A68" t="s">
        <v>115</v>
      </c>
      <c r="B68">
        <v>180000</v>
      </c>
    </row>
    <row r="69" spans="1:2" x14ac:dyDescent="0.25">
      <c r="A69" t="s">
        <v>115</v>
      </c>
      <c r="B69">
        <v>226000</v>
      </c>
    </row>
    <row r="70" spans="1:2" x14ac:dyDescent="0.25">
      <c r="A70" t="s">
        <v>115</v>
      </c>
      <c r="B70">
        <v>80000</v>
      </c>
    </row>
    <row r="71" spans="1:2" x14ac:dyDescent="0.25">
      <c r="A71" t="s">
        <v>132</v>
      </c>
      <c r="B71">
        <v>225000</v>
      </c>
    </row>
    <row r="72" spans="1:2" x14ac:dyDescent="0.25">
      <c r="A72" t="s">
        <v>115</v>
      </c>
      <c r="B72">
        <v>244000</v>
      </c>
    </row>
    <row r="73" spans="1:2" x14ac:dyDescent="0.25">
      <c r="A73" t="s">
        <v>115</v>
      </c>
      <c r="B73">
        <v>129500</v>
      </c>
    </row>
    <row r="74" spans="1:2" x14ac:dyDescent="0.25">
      <c r="A74" t="s">
        <v>92</v>
      </c>
      <c r="B74">
        <v>185000</v>
      </c>
    </row>
    <row r="75" spans="1:2" x14ac:dyDescent="0.25">
      <c r="A75" t="s">
        <v>115</v>
      </c>
      <c r="B75">
        <v>144900</v>
      </c>
    </row>
    <row r="76" spans="1:2" x14ac:dyDescent="0.25">
      <c r="A76" t="s">
        <v>92</v>
      </c>
      <c r="B76">
        <v>107400</v>
      </c>
    </row>
    <row r="77" spans="1:2" x14ac:dyDescent="0.25">
      <c r="A77" t="s">
        <v>197</v>
      </c>
      <c r="B77">
        <v>91000</v>
      </c>
    </row>
    <row r="78" spans="1:2" x14ac:dyDescent="0.25">
      <c r="A78" t="s">
        <v>115</v>
      </c>
      <c r="B78">
        <v>135750</v>
      </c>
    </row>
    <row r="79" spans="1:2" x14ac:dyDescent="0.25">
      <c r="A79" t="s">
        <v>132</v>
      </c>
      <c r="B79">
        <v>127000</v>
      </c>
    </row>
    <row r="80" spans="1:2" x14ac:dyDescent="0.25">
      <c r="A80" t="s">
        <v>115</v>
      </c>
      <c r="B80">
        <v>136500</v>
      </c>
    </row>
    <row r="81" spans="1:2" x14ac:dyDescent="0.25">
      <c r="A81" t="s">
        <v>92</v>
      </c>
      <c r="B81">
        <v>110000</v>
      </c>
    </row>
    <row r="82" spans="1:2" x14ac:dyDescent="0.25">
      <c r="A82" t="s">
        <v>92</v>
      </c>
      <c r="B82">
        <v>193500</v>
      </c>
    </row>
    <row r="83" spans="1:2" x14ac:dyDescent="0.25">
      <c r="A83" t="s">
        <v>115</v>
      </c>
      <c r="B83">
        <v>153500</v>
      </c>
    </row>
    <row r="84" spans="1:2" x14ac:dyDescent="0.25">
      <c r="A84" t="s">
        <v>115</v>
      </c>
      <c r="B84">
        <v>245000</v>
      </c>
    </row>
    <row r="85" spans="1:2" x14ac:dyDescent="0.25">
      <c r="A85" t="s">
        <v>115</v>
      </c>
      <c r="B85">
        <v>126500</v>
      </c>
    </row>
    <row r="86" spans="1:2" x14ac:dyDescent="0.25">
      <c r="A86" t="s">
        <v>197</v>
      </c>
      <c r="B86">
        <v>168500</v>
      </c>
    </row>
    <row r="87" spans="1:2" x14ac:dyDescent="0.25">
      <c r="A87" t="s">
        <v>92</v>
      </c>
      <c r="B87">
        <v>260000</v>
      </c>
    </row>
    <row r="88" spans="1:2" x14ac:dyDescent="0.25">
      <c r="A88" t="s">
        <v>92</v>
      </c>
      <c r="B88">
        <v>174000</v>
      </c>
    </row>
    <row r="89" spans="1:2" x14ac:dyDescent="0.25">
      <c r="A89" t="s">
        <v>92</v>
      </c>
      <c r="B89">
        <v>164500</v>
      </c>
    </row>
    <row r="90" spans="1:2" x14ac:dyDescent="0.25">
      <c r="A90" t="s">
        <v>132</v>
      </c>
      <c r="B90">
        <v>85000</v>
      </c>
    </row>
    <row r="91" spans="1:2" x14ac:dyDescent="0.25">
      <c r="A91" t="s">
        <v>115</v>
      </c>
      <c r="B91">
        <v>123600</v>
      </c>
    </row>
    <row r="92" spans="1:2" x14ac:dyDescent="0.25">
      <c r="A92" t="s">
        <v>115</v>
      </c>
      <c r="B92">
        <v>109900</v>
      </c>
    </row>
    <row r="93" spans="1:2" x14ac:dyDescent="0.25">
      <c r="A93" t="s">
        <v>115</v>
      </c>
      <c r="B93">
        <v>98600</v>
      </c>
    </row>
    <row r="94" spans="1:2" x14ac:dyDescent="0.25">
      <c r="A94" t="s">
        <v>115</v>
      </c>
      <c r="B94">
        <v>163500</v>
      </c>
    </row>
    <row r="95" spans="1:2" x14ac:dyDescent="0.25">
      <c r="A95" t="s">
        <v>201</v>
      </c>
      <c r="B95">
        <v>133900</v>
      </c>
    </row>
    <row r="96" spans="1:2" x14ac:dyDescent="0.25">
      <c r="A96" t="s">
        <v>92</v>
      </c>
      <c r="B96">
        <v>204750</v>
      </c>
    </row>
    <row r="97" spans="1:2" x14ac:dyDescent="0.25">
      <c r="A97" t="s">
        <v>92</v>
      </c>
      <c r="B97">
        <v>185000</v>
      </c>
    </row>
    <row r="98" spans="1:2" x14ac:dyDescent="0.25">
      <c r="A98" t="s">
        <v>115</v>
      </c>
      <c r="B98">
        <v>214000</v>
      </c>
    </row>
    <row r="99" spans="1:2" x14ac:dyDescent="0.25">
      <c r="A99" t="s">
        <v>115</v>
      </c>
      <c r="B99">
        <v>94750</v>
      </c>
    </row>
    <row r="100" spans="1:2" x14ac:dyDescent="0.25">
      <c r="A100" t="s">
        <v>115</v>
      </c>
      <c r="B100">
        <v>83000</v>
      </c>
    </row>
    <row r="101" spans="1:2" x14ac:dyDescent="0.25">
      <c r="A101" t="s">
        <v>115</v>
      </c>
      <c r="B101">
        <v>128950</v>
      </c>
    </row>
    <row r="102" spans="1:2" x14ac:dyDescent="0.25">
      <c r="A102" t="s">
        <v>115</v>
      </c>
      <c r="B102">
        <v>205000</v>
      </c>
    </row>
    <row r="103" spans="1:2" x14ac:dyDescent="0.25">
      <c r="A103" t="s">
        <v>92</v>
      </c>
      <c r="B103">
        <v>178000</v>
      </c>
    </row>
    <row r="104" spans="1:2" x14ac:dyDescent="0.25">
      <c r="A104" t="s">
        <v>115</v>
      </c>
      <c r="B104">
        <v>118964</v>
      </c>
    </row>
    <row r="105" spans="1:2" x14ac:dyDescent="0.25">
      <c r="A105" t="s">
        <v>115</v>
      </c>
      <c r="B105">
        <v>198900</v>
      </c>
    </row>
    <row r="106" spans="1:2" x14ac:dyDescent="0.25">
      <c r="A106" t="s">
        <v>132</v>
      </c>
      <c r="B106">
        <v>169500</v>
      </c>
    </row>
    <row r="107" spans="1:2" x14ac:dyDescent="0.25">
      <c r="A107" t="s">
        <v>92</v>
      </c>
      <c r="B107">
        <v>250000</v>
      </c>
    </row>
    <row r="108" spans="1:2" x14ac:dyDescent="0.25">
      <c r="A108" t="s">
        <v>115</v>
      </c>
      <c r="B108">
        <v>100000</v>
      </c>
    </row>
    <row r="109" spans="1:2" x14ac:dyDescent="0.25">
      <c r="A109" t="s">
        <v>115</v>
      </c>
      <c r="B109">
        <v>115000</v>
      </c>
    </row>
    <row r="110" spans="1:2" x14ac:dyDescent="0.25">
      <c r="A110" t="s">
        <v>132</v>
      </c>
      <c r="B110">
        <v>115000</v>
      </c>
    </row>
    <row r="111" spans="1:2" x14ac:dyDescent="0.25">
      <c r="A111" t="s">
        <v>115</v>
      </c>
      <c r="B111">
        <v>190000</v>
      </c>
    </row>
    <row r="112" spans="1:2" x14ac:dyDescent="0.25">
      <c r="A112" t="s">
        <v>132</v>
      </c>
      <c r="B112">
        <v>136900</v>
      </c>
    </row>
    <row r="113" spans="1:2" x14ac:dyDescent="0.25">
      <c r="A113" t="s">
        <v>197</v>
      </c>
      <c r="B113">
        <v>180000</v>
      </c>
    </row>
    <row r="114" spans="1:2" x14ac:dyDescent="0.25">
      <c r="A114" t="s">
        <v>92</v>
      </c>
      <c r="B114">
        <v>383970</v>
      </c>
    </row>
    <row r="115" spans="1:2" x14ac:dyDescent="0.25">
      <c r="A115" t="s">
        <v>115</v>
      </c>
      <c r="B115">
        <v>217000</v>
      </c>
    </row>
    <row r="116" spans="1:2" x14ac:dyDescent="0.25">
      <c r="A116" t="s">
        <v>92</v>
      </c>
      <c r="B116">
        <v>259500</v>
      </c>
    </row>
    <row r="117" spans="1:2" x14ac:dyDescent="0.25">
      <c r="A117" t="s">
        <v>92</v>
      </c>
      <c r="B117">
        <v>176000</v>
      </c>
    </row>
    <row r="118" spans="1:2" x14ac:dyDescent="0.25">
      <c r="A118" t="s">
        <v>115</v>
      </c>
      <c r="B118">
        <v>139000</v>
      </c>
    </row>
    <row r="119" spans="1:2" x14ac:dyDescent="0.25">
      <c r="A119" t="s">
        <v>115</v>
      </c>
      <c r="B119">
        <v>155000</v>
      </c>
    </row>
    <row r="120" spans="1:2" x14ac:dyDescent="0.25">
      <c r="A120" t="s">
        <v>92</v>
      </c>
      <c r="B120">
        <v>320000</v>
      </c>
    </row>
    <row r="121" spans="1:2" x14ac:dyDescent="0.25">
      <c r="A121" t="s">
        <v>92</v>
      </c>
      <c r="B121">
        <v>163990</v>
      </c>
    </row>
    <row r="122" spans="1:2" x14ac:dyDescent="0.25">
      <c r="A122" t="s">
        <v>197</v>
      </c>
      <c r="B122">
        <v>180000</v>
      </c>
    </row>
    <row r="123" spans="1:2" x14ac:dyDescent="0.25">
      <c r="A123" t="s">
        <v>132</v>
      </c>
      <c r="B123">
        <v>100000</v>
      </c>
    </row>
    <row r="124" spans="1:2" x14ac:dyDescent="0.25">
      <c r="A124" t="s">
        <v>115</v>
      </c>
      <c r="B124">
        <v>136000</v>
      </c>
    </row>
    <row r="125" spans="1:2" x14ac:dyDescent="0.25">
      <c r="A125" t="s">
        <v>115</v>
      </c>
      <c r="B125">
        <v>153900</v>
      </c>
    </row>
    <row r="126" spans="1:2" x14ac:dyDescent="0.25">
      <c r="A126" t="s">
        <v>115</v>
      </c>
      <c r="B126">
        <v>181000</v>
      </c>
    </row>
    <row r="127" spans="1:2" x14ac:dyDescent="0.25">
      <c r="A127" t="s">
        <v>132</v>
      </c>
      <c r="B127">
        <v>84500</v>
      </c>
    </row>
    <row r="128" spans="1:2" x14ac:dyDescent="0.25">
      <c r="A128" t="s">
        <v>115</v>
      </c>
      <c r="B128">
        <v>128000</v>
      </c>
    </row>
    <row r="129" spans="1:2" x14ac:dyDescent="0.25">
      <c r="A129" t="s">
        <v>150</v>
      </c>
      <c r="B129">
        <v>87000</v>
      </c>
    </row>
    <row r="130" spans="1:2" x14ac:dyDescent="0.25">
      <c r="A130" t="s">
        <v>92</v>
      </c>
      <c r="B130">
        <v>155000</v>
      </c>
    </row>
    <row r="131" spans="1:2" x14ac:dyDescent="0.25">
      <c r="A131" t="s">
        <v>115</v>
      </c>
      <c r="B131">
        <v>150000</v>
      </c>
    </row>
    <row r="132" spans="1:2" x14ac:dyDescent="0.25">
      <c r="A132" t="s">
        <v>92</v>
      </c>
      <c r="B132">
        <v>226000</v>
      </c>
    </row>
    <row r="133" spans="1:2" x14ac:dyDescent="0.25">
      <c r="A133" t="s">
        <v>92</v>
      </c>
      <c r="B133">
        <v>244000</v>
      </c>
    </row>
    <row r="134" spans="1:2" x14ac:dyDescent="0.25">
      <c r="A134" t="s">
        <v>115</v>
      </c>
      <c r="B134">
        <v>150750</v>
      </c>
    </row>
    <row r="135" spans="1:2" x14ac:dyDescent="0.25">
      <c r="A135" t="s">
        <v>115</v>
      </c>
      <c r="B135">
        <v>220000</v>
      </c>
    </row>
    <row r="136" spans="1:2" x14ac:dyDescent="0.25">
      <c r="A136" t="s">
        <v>115</v>
      </c>
      <c r="B136">
        <v>180000</v>
      </c>
    </row>
    <row r="137" spans="1:2" x14ac:dyDescent="0.25">
      <c r="A137" t="s">
        <v>115</v>
      </c>
      <c r="B137">
        <v>174000</v>
      </c>
    </row>
    <row r="138" spans="1:2" x14ac:dyDescent="0.25">
      <c r="A138" t="s">
        <v>115</v>
      </c>
      <c r="B138">
        <v>143000</v>
      </c>
    </row>
    <row r="139" spans="1:2" x14ac:dyDescent="0.25">
      <c r="A139" t="s">
        <v>115</v>
      </c>
      <c r="B139">
        <v>171000</v>
      </c>
    </row>
    <row r="140" spans="1:2" x14ac:dyDescent="0.25">
      <c r="A140" t="s">
        <v>92</v>
      </c>
      <c r="B140">
        <v>230000</v>
      </c>
    </row>
    <row r="141" spans="1:2" x14ac:dyDescent="0.25">
      <c r="A141" t="s">
        <v>92</v>
      </c>
      <c r="B141">
        <v>231500</v>
      </c>
    </row>
    <row r="142" spans="1:2" x14ac:dyDescent="0.25">
      <c r="A142" t="s">
        <v>115</v>
      </c>
      <c r="B142">
        <v>115000</v>
      </c>
    </row>
    <row r="143" spans="1:2" x14ac:dyDescent="0.25">
      <c r="A143" t="s">
        <v>115</v>
      </c>
      <c r="B143">
        <v>260000</v>
      </c>
    </row>
    <row r="144" spans="1:2" x14ac:dyDescent="0.25">
      <c r="A144" t="s">
        <v>132</v>
      </c>
      <c r="B144">
        <v>166000</v>
      </c>
    </row>
    <row r="145" spans="1:2" x14ac:dyDescent="0.25">
      <c r="A145" t="s">
        <v>115</v>
      </c>
      <c r="B145">
        <v>204000</v>
      </c>
    </row>
    <row r="146" spans="1:2" x14ac:dyDescent="0.25">
      <c r="A146" t="s">
        <v>115</v>
      </c>
      <c r="B146">
        <v>125000</v>
      </c>
    </row>
    <row r="147" spans="1:2" x14ac:dyDescent="0.25">
      <c r="A147" t="s">
        <v>92</v>
      </c>
      <c r="B147">
        <v>130000</v>
      </c>
    </row>
    <row r="148" spans="1:2" x14ac:dyDescent="0.25">
      <c r="A148" t="s">
        <v>115</v>
      </c>
      <c r="B148">
        <v>105000</v>
      </c>
    </row>
    <row r="149" spans="1:2" x14ac:dyDescent="0.25">
      <c r="A149" t="s">
        <v>92</v>
      </c>
      <c r="B149">
        <v>222500</v>
      </c>
    </row>
    <row r="150" spans="1:2" x14ac:dyDescent="0.25">
      <c r="A150" t="s">
        <v>115</v>
      </c>
      <c r="B150">
        <v>141000</v>
      </c>
    </row>
    <row r="151" spans="1:2" x14ac:dyDescent="0.25">
      <c r="A151" t="s">
        <v>132</v>
      </c>
      <c r="B151">
        <v>115000</v>
      </c>
    </row>
    <row r="152" spans="1:2" x14ac:dyDescent="0.25">
      <c r="A152" t="s">
        <v>115</v>
      </c>
      <c r="B152">
        <v>122000</v>
      </c>
    </row>
    <row r="153" spans="1:2" x14ac:dyDescent="0.25">
      <c r="A153" t="s">
        <v>115</v>
      </c>
      <c r="B153">
        <v>372402</v>
      </c>
    </row>
    <row r="154" spans="1:2" x14ac:dyDescent="0.25">
      <c r="A154" t="s">
        <v>92</v>
      </c>
      <c r="B154">
        <v>190000</v>
      </c>
    </row>
    <row r="155" spans="1:2" x14ac:dyDescent="0.25">
      <c r="A155" t="s">
        <v>115</v>
      </c>
      <c r="B155">
        <v>235000</v>
      </c>
    </row>
    <row r="156" spans="1:2" x14ac:dyDescent="0.25">
      <c r="A156" t="s">
        <v>115</v>
      </c>
      <c r="B156">
        <v>125000</v>
      </c>
    </row>
    <row r="157" spans="1:2" x14ac:dyDescent="0.25">
      <c r="A157" t="s">
        <v>132</v>
      </c>
      <c r="B157">
        <v>79000</v>
      </c>
    </row>
    <row r="158" spans="1:2" x14ac:dyDescent="0.25">
      <c r="A158" t="s">
        <v>115</v>
      </c>
      <c r="B158">
        <v>109500</v>
      </c>
    </row>
    <row r="159" spans="1:2" x14ac:dyDescent="0.25">
      <c r="A159" t="s">
        <v>92</v>
      </c>
      <c r="B159">
        <v>269500</v>
      </c>
    </row>
    <row r="160" spans="1:2" x14ac:dyDescent="0.25">
      <c r="A160" t="s">
        <v>92</v>
      </c>
      <c r="B160">
        <v>254900</v>
      </c>
    </row>
    <row r="161" spans="1:2" x14ac:dyDescent="0.25">
      <c r="A161" t="s">
        <v>92</v>
      </c>
      <c r="B161">
        <v>320000</v>
      </c>
    </row>
    <row r="162" spans="1:2" x14ac:dyDescent="0.25">
      <c r="A162" t="s">
        <v>115</v>
      </c>
      <c r="B162">
        <v>162500</v>
      </c>
    </row>
    <row r="163" spans="1:2" x14ac:dyDescent="0.25">
      <c r="A163" t="s">
        <v>92</v>
      </c>
      <c r="B163">
        <v>412500</v>
      </c>
    </row>
    <row r="164" spans="1:2" x14ac:dyDescent="0.25">
      <c r="A164" t="s">
        <v>115</v>
      </c>
      <c r="B164">
        <v>220000</v>
      </c>
    </row>
    <row r="165" spans="1:2" x14ac:dyDescent="0.25">
      <c r="A165" t="s">
        <v>150</v>
      </c>
      <c r="B165">
        <v>103200</v>
      </c>
    </row>
    <row r="166" spans="1:2" x14ac:dyDescent="0.25">
      <c r="A166" t="s">
        <v>115</v>
      </c>
      <c r="B166">
        <v>152000</v>
      </c>
    </row>
    <row r="167" spans="1:2" x14ac:dyDescent="0.25">
      <c r="A167" t="s">
        <v>132</v>
      </c>
      <c r="B167">
        <v>127500</v>
      </c>
    </row>
    <row r="168" spans="1:2" x14ac:dyDescent="0.25">
      <c r="A168" t="s">
        <v>115</v>
      </c>
      <c r="B168">
        <v>190000</v>
      </c>
    </row>
    <row r="169" spans="1:2" x14ac:dyDescent="0.25">
      <c r="A169" t="s">
        <v>92</v>
      </c>
      <c r="B169">
        <v>325624</v>
      </c>
    </row>
    <row r="170" spans="1:2" x14ac:dyDescent="0.25">
      <c r="A170" t="s">
        <v>92</v>
      </c>
      <c r="B170">
        <v>183500</v>
      </c>
    </row>
    <row r="171" spans="1:2" x14ac:dyDescent="0.25">
      <c r="A171" t="s">
        <v>115</v>
      </c>
      <c r="B171">
        <v>228000</v>
      </c>
    </row>
    <row r="172" spans="1:2" x14ac:dyDescent="0.25">
      <c r="A172" t="s">
        <v>132</v>
      </c>
      <c r="B172">
        <v>128500</v>
      </c>
    </row>
    <row r="173" spans="1:2" x14ac:dyDescent="0.25">
      <c r="A173" t="s">
        <v>115</v>
      </c>
      <c r="B173">
        <v>215000</v>
      </c>
    </row>
    <row r="174" spans="1:2" x14ac:dyDescent="0.25">
      <c r="A174" t="s">
        <v>92</v>
      </c>
      <c r="B174">
        <v>239000</v>
      </c>
    </row>
    <row r="175" spans="1:2" x14ac:dyDescent="0.25">
      <c r="A175" t="s">
        <v>115</v>
      </c>
      <c r="B175">
        <v>163000</v>
      </c>
    </row>
    <row r="176" spans="1:2" x14ac:dyDescent="0.25">
      <c r="A176" t="s">
        <v>115</v>
      </c>
      <c r="B176">
        <v>184000</v>
      </c>
    </row>
    <row r="177" spans="1:2" x14ac:dyDescent="0.25">
      <c r="A177" t="s">
        <v>115</v>
      </c>
      <c r="B177">
        <v>243000</v>
      </c>
    </row>
    <row r="178" spans="1:2" x14ac:dyDescent="0.25">
      <c r="A178" t="s">
        <v>92</v>
      </c>
      <c r="B178">
        <v>211000</v>
      </c>
    </row>
    <row r="179" spans="1:2" x14ac:dyDescent="0.25">
      <c r="A179" t="s">
        <v>132</v>
      </c>
      <c r="B179">
        <v>172500</v>
      </c>
    </row>
    <row r="180" spans="1:2" x14ac:dyDescent="0.25">
      <c r="A180" t="s">
        <v>115</v>
      </c>
      <c r="B180">
        <v>501837</v>
      </c>
    </row>
    <row r="181" spans="1:2" x14ac:dyDescent="0.25">
      <c r="A181" t="s">
        <v>115</v>
      </c>
      <c r="B181">
        <v>100000</v>
      </c>
    </row>
    <row r="182" spans="1:2" x14ac:dyDescent="0.25">
      <c r="A182" t="s">
        <v>92</v>
      </c>
      <c r="B182">
        <v>177000</v>
      </c>
    </row>
    <row r="183" spans="1:2" x14ac:dyDescent="0.25">
      <c r="A183" t="s">
        <v>92</v>
      </c>
      <c r="B183">
        <v>200100</v>
      </c>
    </row>
    <row r="184" spans="1:2" x14ac:dyDescent="0.25">
      <c r="A184" t="s">
        <v>115</v>
      </c>
      <c r="B184">
        <v>120000</v>
      </c>
    </row>
    <row r="185" spans="1:2" x14ac:dyDescent="0.25">
      <c r="A185" t="s">
        <v>132</v>
      </c>
      <c r="B185">
        <v>200000</v>
      </c>
    </row>
    <row r="186" spans="1:2" x14ac:dyDescent="0.25">
      <c r="A186" t="s">
        <v>132</v>
      </c>
      <c r="B186">
        <v>127000</v>
      </c>
    </row>
    <row r="187" spans="1:2" x14ac:dyDescent="0.25">
      <c r="A187" t="s">
        <v>225</v>
      </c>
      <c r="B187">
        <v>475000</v>
      </c>
    </row>
    <row r="188" spans="1:2" x14ac:dyDescent="0.25">
      <c r="A188" t="s">
        <v>197</v>
      </c>
      <c r="B188">
        <v>173000</v>
      </c>
    </row>
    <row r="189" spans="1:2" x14ac:dyDescent="0.25">
      <c r="A189" t="s">
        <v>132</v>
      </c>
      <c r="B189">
        <v>135000</v>
      </c>
    </row>
    <row r="190" spans="1:2" x14ac:dyDescent="0.25">
      <c r="A190" t="s">
        <v>191</v>
      </c>
      <c r="B190">
        <v>153337</v>
      </c>
    </row>
    <row r="191" spans="1:2" x14ac:dyDescent="0.25">
      <c r="A191" t="s">
        <v>115</v>
      </c>
      <c r="B191">
        <v>286000</v>
      </c>
    </row>
    <row r="192" spans="1:2" x14ac:dyDescent="0.25">
      <c r="A192" t="s">
        <v>92</v>
      </c>
      <c r="B192">
        <v>315000</v>
      </c>
    </row>
    <row r="193" spans="1:2" x14ac:dyDescent="0.25">
      <c r="A193" t="s">
        <v>92</v>
      </c>
      <c r="B193">
        <v>184000</v>
      </c>
    </row>
    <row r="194" spans="1:2" x14ac:dyDescent="0.25">
      <c r="A194" t="s">
        <v>115</v>
      </c>
      <c r="B194">
        <v>192000</v>
      </c>
    </row>
    <row r="195" spans="1:2" x14ac:dyDescent="0.25">
      <c r="A195" t="s">
        <v>92</v>
      </c>
      <c r="B195">
        <v>130000</v>
      </c>
    </row>
    <row r="196" spans="1:2" x14ac:dyDescent="0.25">
      <c r="A196" t="s">
        <v>115</v>
      </c>
      <c r="B196">
        <v>127000</v>
      </c>
    </row>
    <row r="197" spans="1:2" x14ac:dyDescent="0.25">
      <c r="A197" t="s">
        <v>92</v>
      </c>
      <c r="B197">
        <v>148500</v>
      </c>
    </row>
    <row r="198" spans="1:2" x14ac:dyDescent="0.25">
      <c r="A198" t="s">
        <v>115</v>
      </c>
      <c r="B198">
        <v>311872</v>
      </c>
    </row>
    <row r="199" spans="1:2" x14ac:dyDescent="0.25">
      <c r="A199" t="s">
        <v>92</v>
      </c>
      <c r="B199">
        <v>235000</v>
      </c>
    </row>
    <row r="200" spans="1:2" x14ac:dyDescent="0.25">
      <c r="A200" t="s">
        <v>225</v>
      </c>
      <c r="B200">
        <v>104000</v>
      </c>
    </row>
    <row r="201" spans="1:2" x14ac:dyDescent="0.25">
      <c r="A201" t="s">
        <v>115</v>
      </c>
      <c r="B201">
        <v>274900</v>
      </c>
    </row>
    <row r="202" spans="1:2" x14ac:dyDescent="0.25">
      <c r="A202" t="s">
        <v>115</v>
      </c>
      <c r="B202">
        <v>140000</v>
      </c>
    </row>
    <row r="203" spans="1:2" x14ac:dyDescent="0.25">
      <c r="A203" t="s">
        <v>115</v>
      </c>
      <c r="B203">
        <v>171500</v>
      </c>
    </row>
    <row r="204" spans="1:2" x14ac:dyDescent="0.25">
      <c r="A204" t="s">
        <v>132</v>
      </c>
      <c r="B204">
        <v>112000</v>
      </c>
    </row>
    <row r="205" spans="1:2" x14ac:dyDescent="0.25">
      <c r="A205" t="s">
        <v>115</v>
      </c>
      <c r="B205">
        <v>149000</v>
      </c>
    </row>
    <row r="206" spans="1:2" x14ac:dyDescent="0.25">
      <c r="A206" t="s">
        <v>132</v>
      </c>
      <c r="B206">
        <v>110000</v>
      </c>
    </row>
    <row r="207" spans="1:2" x14ac:dyDescent="0.25">
      <c r="A207" t="s">
        <v>115</v>
      </c>
      <c r="B207">
        <v>180500</v>
      </c>
    </row>
    <row r="208" spans="1:2" x14ac:dyDescent="0.25">
      <c r="A208" t="s">
        <v>115</v>
      </c>
      <c r="B208">
        <v>143900</v>
      </c>
    </row>
    <row r="209" spans="1:2" x14ac:dyDescent="0.25">
      <c r="A209" t="s">
        <v>115</v>
      </c>
      <c r="B209">
        <v>141000</v>
      </c>
    </row>
    <row r="210" spans="1:2" x14ac:dyDescent="0.25">
      <c r="A210" t="s">
        <v>92</v>
      </c>
      <c r="B210">
        <v>277000</v>
      </c>
    </row>
    <row r="211" spans="1:2" x14ac:dyDescent="0.25">
      <c r="A211" t="s">
        <v>115</v>
      </c>
      <c r="B211">
        <v>145000</v>
      </c>
    </row>
    <row r="212" spans="1:2" x14ac:dyDescent="0.25">
      <c r="A212" t="s">
        <v>115</v>
      </c>
      <c r="B212">
        <v>98000</v>
      </c>
    </row>
    <row r="213" spans="1:2" x14ac:dyDescent="0.25">
      <c r="A213" t="s">
        <v>115</v>
      </c>
      <c r="B213">
        <v>186000</v>
      </c>
    </row>
    <row r="214" spans="1:2" x14ac:dyDescent="0.25">
      <c r="A214" t="s">
        <v>92</v>
      </c>
      <c r="B214">
        <v>252678</v>
      </c>
    </row>
    <row r="215" spans="1:2" x14ac:dyDescent="0.25">
      <c r="A215" t="s">
        <v>115</v>
      </c>
      <c r="B215">
        <v>156000</v>
      </c>
    </row>
    <row r="216" spans="1:2" x14ac:dyDescent="0.25">
      <c r="A216" t="s">
        <v>92</v>
      </c>
      <c r="B216">
        <v>161750</v>
      </c>
    </row>
    <row r="217" spans="1:2" x14ac:dyDescent="0.25">
      <c r="A217" t="s">
        <v>115</v>
      </c>
      <c r="B217">
        <v>134450</v>
      </c>
    </row>
    <row r="218" spans="1:2" x14ac:dyDescent="0.25">
      <c r="A218" t="s">
        <v>115</v>
      </c>
      <c r="B218">
        <v>210000</v>
      </c>
    </row>
    <row r="219" spans="1:2" x14ac:dyDescent="0.25">
      <c r="A219" t="s">
        <v>92</v>
      </c>
      <c r="B219">
        <v>107000</v>
      </c>
    </row>
    <row r="220" spans="1:2" x14ac:dyDescent="0.25">
      <c r="A220" t="s">
        <v>132</v>
      </c>
      <c r="B220">
        <v>311500</v>
      </c>
    </row>
    <row r="221" spans="1:2" x14ac:dyDescent="0.25">
      <c r="A221" t="s">
        <v>115</v>
      </c>
      <c r="B221">
        <v>167240</v>
      </c>
    </row>
    <row r="222" spans="1:2" x14ac:dyDescent="0.25">
      <c r="A222" t="s">
        <v>115</v>
      </c>
      <c r="B222">
        <v>204900</v>
      </c>
    </row>
    <row r="223" spans="1:2" x14ac:dyDescent="0.25">
      <c r="A223" t="s">
        <v>92</v>
      </c>
      <c r="B223">
        <v>200000</v>
      </c>
    </row>
    <row r="224" spans="1:2" x14ac:dyDescent="0.25">
      <c r="A224" t="s">
        <v>92</v>
      </c>
      <c r="B224">
        <v>179900</v>
      </c>
    </row>
    <row r="225" spans="1:2" x14ac:dyDescent="0.25">
      <c r="A225" t="s">
        <v>115</v>
      </c>
      <c r="B225">
        <v>97000</v>
      </c>
    </row>
    <row r="226" spans="1:2" x14ac:dyDescent="0.25">
      <c r="A226" t="s">
        <v>115</v>
      </c>
      <c r="B226">
        <v>386250</v>
      </c>
    </row>
    <row r="227" spans="1:2" x14ac:dyDescent="0.25">
      <c r="A227" t="s">
        <v>92</v>
      </c>
      <c r="B227">
        <v>112000</v>
      </c>
    </row>
    <row r="228" spans="1:2" x14ac:dyDescent="0.25">
      <c r="A228" t="s">
        <v>92</v>
      </c>
      <c r="B228">
        <v>290000</v>
      </c>
    </row>
    <row r="229" spans="1:2" x14ac:dyDescent="0.25">
      <c r="A229" t="s">
        <v>92</v>
      </c>
      <c r="B229">
        <v>106000</v>
      </c>
    </row>
    <row r="230" spans="1:2" x14ac:dyDescent="0.25">
      <c r="A230" t="s">
        <v>115</v>
      </c>
      <c r="B230">
        <v>125000</v>
      </c>
    </row>
    <row r="231" spans="1:2" x14ac:dyDescent="0.25">
      <c r="A231" t="s">
        <v>115</v>
      </c>
      <c r="B231">
        <v>192500</v>
      </c>
    </row>
    <row r="232" spans="1:2" x14ac:dyDescent="0.25">
      <c r="A232" t="s">
        <v>115</v>
      </c>
      <c r="B232">
        <v>148000</v>
      </c>
    </row>
    <row r="233" spans="1:2" x14ac:dyDescent="0.25">
      <c r="A233" t="s">
        <v>92</v>
      </c>
      <c r="B233">
        <v>403000</v>
      </c>
    </row>
    <row r="234" spans="1:2" x14ac:dyDescent="0.25">
      <c r="A234" t="s">
        <v>92</v>
      </c>
      <c r="B234">
        <v>94500</v>
      </c>
    </row>
    <row r="235" spans="1:2" x14ac:dyDescent="0.25">
      <c r="A235" t="s">
        <v>115</v>
      </c>
      <c r="B235">
        <v>128200</v>
      </c>
    </row>
    <row r="236" spans="1:2" x14ac:dyDescent="0.25">
      <c r="A236" t="s">
        <v>92</v>
      </c>
      <c r="B236">
        <v>216500</v>
      </c>
    </row>
    <row r="237" spans="1:2" x14ac:dyDescent="0.25">
      <c r="A237" t="s">
        <v>92</v>
      </c>
      <c r="B237">
        <v>89500</v>
      </c>
    </row>
    <row r="238" spans="1:2" x14ac:dyDescent="0.25">
      <c r="A238" t="s">
        <v>115</v>
      </c>
      <c r="B238">
        <v>185500</v>
      </c>
    </row>
    <row r="239" spans="1:2" x14ac:dyDescent="0.25">
      <c r="A239" t="s">
        <v>92</v>
      </c>
      <c r="B239">
        <v>194500</v>
      </c>
    </row>
    <row r="240" spans="1:2" x14ac:dyDescent="0.25">
      <c r="A240" t="s">
        <v>115</v>
      </c>
      <c r="B240">
        <v>318000</v>
      </c>
    </row>
    <row r="241" spans="1:2" x14ac:dyDescent="0.25">
      <c r="A241" t="s">
        <v>132</v>
      </c>
      <c r="B241">
        <v>113000</v>
      </c>
    </row>
    <row r="242" spans="1:2" x14ac:dyDescent="0.25">
      <c r="A242" t="s">
        <v>115</v>
      </c>
      <c r="B242">
        <v>262500</v>
      </c>
    </row>
    <row r="243" spans="1:2" x14ac:dyDescent="0.25">
      <c r="A243" t="s">
        <v>115</v>
      </c>
      <c r="B243">
        <v>110500</v>
      </c>
    </row>
    <row r="244" spans="1:2" x14ac:dyDescent="0.25">
      <c r="A244" t="s">
        <v>132</v>
      </c>
      <c r="B244">
        <v>79000</v>
      </c>
    </row>
    <row r="245" spans="1:2" x14ac:dyDescent="0.25">
      <c r="A245" t="s">
        <v>92</v>
      </c>
      <c r="B245">
        <v>120000</v>
      </c>
    </row>
    <row r="246" spans="1:2" x14ac:dyDescent="0.25">
      <c r="A246" t="s">
        <v>92</v>
      </c>
      <c r="B246">
        <v>205000</v>
      </c>
    </row>
    <row r="247" spans="1:2" x14ac:dyDescent="0.25">
      <c r="A247" t="s">
        <v>115</v>
      </c>
      <c r="B247">
        <v>241500</v>
      </c>
    </row>
    <row r="248" spans="1:2" x14ac:dyDescent="0.25">
      <c r="A248" t="s">
        <v>92</v>
      </c>
      <c r="B248">
        <v>137000</v>
      </c>
    </row>
    <row r="249" spans="1:2" x14ac:dyDescent="0.25">
      <c r="A249" t="s">
        <v>115</v>
      </c>
      <c r="B249">
        <v>140000</v>
      </c>
    </row>
    <row r="250" spans="1:2" x14ac:dyDescent="0.25">
      <c r="A250" t="s">
        <v>92</v>
      </c>
      <c r="B250">
        <v>180000</v>
      </c>
    </row>
    <row r="251" spans="1:2" x14ac:dyDescent="0.25">
      <c r="A251" t="s">
        <v>132</v>
      </c>
      <c r="B251">
        <v>277000</v>
      </c>
    </row>
    <row r="252" spans="1:2" x14ac:dyDescent="0.25">
      <c r="A252" t="s">
        <v>115</v>
      </c>
      <c r="B252">
        <v>76500</v>
      </c>
    </row>
    <row r="253" spans="1:2" x14ac:dyDescent="0.25">
      <c r="A253" t="s">
        <v>115</v>
      </c>
      <c r="B253">
        <v>235000</v>
      </c>
    </row>
    <row r="254" spans="1:2" x14ac:dyDescent="0.25">
      <c r="A254" t="s">
        <v>92</v>
      </c>
      <c r="B254">
        <v>173000</v>
      </c>
    </row>
    <row r="255" spans="1:2" x14ac:dyDescent="0.25">
      <c r="A255" t="s">
        <v>197</v>
      </c>
      <c r="B255">
        <v>158000</v>
      </c>
    </row>
    <row r="256" spans="1:2" x14ac:dyDescent="0.25">
      <c r="A256" t="s">
        <v>115</v>
      </c>
      <c r="B256">
        <v>145000</v>
      </c>
    </row>
    <row r="257" spans="1:2" x14ac:dyDescent="0.25">
      <c r="A257" t="s">
        <v>92</v>
      </c>
      <c r="B257">
        <v>230000</v>
      </c>
    </row>
    <row r="258" spans="1:2" x14ac:dyDescent="0.25">
      <c r="A258" t="s">
        <v>92</v>
      </c>
      <c r="B258">
        <v>207500</v>
      </c>
    </row>
    <row r="259" spans="1:2" x14ac:dyDescent="0.25">
      <c r="A259" t="s">
        <v>115</v>
      </c>
      <c r="B259">
        <v>220000</v>
      </c>
    </row>
    <row r="260" spans="1:2" x14ac:dyDescent="0.25">
      <c r="A260" t="s">
        <v>92</v>
      </c>
      <c r="B260">
        <v>231500</v>
      </c>
    </row>
    <row r="261" spans="1:2" x14ac:dyDescent="0.25">
      <c r="A261" t="s">
        <v>115</v>
      </c>
      <c r="B261">
        <v>97000</v>
      </c>
    </row>
    <row r="262" spans="1:2" x14ac:dyDescent="0.25">
      <c r="A262" t="s">
        <v>197</v>
      </c>
      <c r="B262">
        <v>176000</v>
      </c>
    </row>
    <row r="263" spans="1:2" x14ac:dyDescent="0.25">
      <c r="A263" t="s">
        <v>92</v>
      </c>
      <c r="B263">
        <v>276000</v>
      </c>
    </row>
    <row r="264" spans="1:2" x14ac:dyDescent="0.25">
      <c r="A264" t="s">
        <v>197</v>
      </c>
      <c r="B264">
        <v>151000</v>
      </c>
    </row>
    <row r="265" spans="1:2" x14ac:dyDescent="0.25">
      <c r="A265" t="s">
        <v>132</v>
      </c>
      <c r="B265">
        <v>130000</v>
      </c>
    </row>
    <row r="266" spans="1:2" x14ac:dyDescent="0.25">
      <c r="A266" t="s">
        <v>115</v>
      </c>
      <c r="B266">
        <v>73000</v>
      </c>
    </row>
    <row r="267" spans="1:2" x14ac:dyDescent="0.25">
      <c r="A267" t="s">
        <v>115</v>
      </c>
      <c r="B267">
        <v>175500</v>
      </c>
    </row>
    <row r="268" spans="1:2" x14ac:dyDescent="0.25">
      <c r="A268" t="s">
        <v>92</v>
      </c>
      <c r="B268">
        <v>185000</v>
      </c>
    </row>
    <row r="269" spans="1:2" x14ac:dyDescent="0.25">
      <c r="A269" t="s">
        <v>225</v>
      </c>
      <c r="B269">
        <v>179500</v>
      </c>
    </row>
    <row r="270" spans="1:2" x14ac:dyDescent="0.25">
      <c r="A270" t="s">
        <v>115</v>
      </c>
      <c r="B270">
        <v>120500</v>
      </c>
    </row>
    <row r="271" spans="1:2" x14ac:dyDescent="0.25">
      <c r="A271" t="s">
        <v>115</v>
      </c>
      <c r="B271">
        <v>148000</v>
      </c>
    </row>
    <row r="272" spans="1:2" x14ac:dyDescent="0.25">
      <c r="A272" t="s">
        <v>92</v>
      </c>
      <c r="B272">
        <v>266000</v>
      </c>
    </row>
    <row r="273" spans="1:2" x14ac:dyDescent="0.25">
      <c r="A273" t="s">
        <v>115</v>
      </c>
      <c r="B273">
        <v>241500</v>
      </c>
    </row>
    <row r="274" spans="1:2" x14ac:dyDescent="0.25">
      <c r="A274" t="s">
        <v>92</v>
      </c>
      <c r="B274">
        <v>290000</v>
      </c>
    </row>
    <row r="275" spans="1:2" x14ac:dyDescent="0.25">
      <c r="A275" t="s">
        <v>115</v>
      </c>
      <c r="B275">
        <v>139000</v>
      </c>
    </row>
    <row r="276" spans="1:2" x14ac:dyDescent="0.25">
      <c r="A276" t="s">
        <v>115</v>
      </c>
      <c r="B276">
        <v>124500</v>
      </c>
    </row>
    <row r="277" spans="1:2" x14ac:dyDescent="0.25">
      <c r="A277" t="s">
        <v>132</v>
      </c>
      <c r="B277">
        <v>205000</v>
      </c>
    </row>
    <row r="278" spans="1:2" x14ac:dyDescent="0.25">
      <c r="A278" t="s">
        <v>115</v>
      </c>
      <c r="B278">
        <v>201000</v>
      </c>
    </row>
    <row r="279" spans="1:2" x14ac:dyDescent="0.25">
      <c r="A279" t="s">
        <v>115</v>
      </c>
      <c r="B279">
        <v>141000</v>
      </c>
    </row>
    <row r="280" spans="1:2" x14ac:dyDescent="0.25">
      <c r="A280" t="s">
        <v>115</v>
      </c>
      <c r="B280">
        <v>415298</v>
      </c>
    </row>
    <row r="281" spans="1:2" x14ac:dyDescent="0.25">
      <c r="A281" t="s">
        <v>92</v>
      </c>
      <c r="B281">
        <v>192000</v>
      </c>
    </row>
    <row r="282" spans="1:2" x14ac:dyDescent="0.25">
      <c r="A282" t="s">
        <v>92</v>
      </c>
      <c r="B282">
        <v>228500</v>
      </c>
    </row>
    <row r="283" spans="1:2" x14ac:dyDescent="0.25">
      <c r="A283" t="s">
        <v>115</v>
      </c>
      <c r="B283">
        <v>185000</v>
      </c>
    </row>
    <row r="284" spans="1:2" x14ac:dyDescent="0.25">
      <c r="A284" t="s">
        <v>115</v>
      </c>
      <c r="B284">
        <v>207500</v>
      </c>
    </row>
    <row r="285" spans="1:2" x14ac:dyDescent="0.25">
      <c r="A285" t="s">
        <v>115</v>
      </c>
      <c r="B285">
        <v>244600</v>
      </c>
    </row>
    <row r="286" spans="1:2" x14ac:dyDescent="0.25">
      <c r="A286" t="s">
        <v>115</v>
      </c>
      <c r="B286">
        <v>179200</v>
      </c>
    </row>
    <row r="287" spans="1:2" x14ac:dyDescent="0.25">
      <c r="A287" t="s">
        <v>92</v>
      </c>
      <c r="B287">
        <v>164700</v>
      </c>
    </row>
    <row r="288" spans="1:2" x14ac:dyDescent="0.25">
      <c r="A288" t="s">
        <v>132</v>
      </c>
      <c r="B288">
        <v>159000</v>
      </c>
    </row>
    <row r="289" spans="1:2" x14ac:dyDescent="0.25">
      <c r="A289" t="s">
        <v>115</v>
      </c>
      <c r="B289">
        <v>88000</v>
      </c>
    </row>
    <row r="290" spans="1:2" x14ac:dyDescent="0.25">
      <c r="A290" t="s">
        <v>115</v>
      </c>
      <c r="B290">
        <v>122000</v>
      </c>
    </row>
    <row r="291" spans="1:2" x14ac:dyDescent="0.25">
      <c r="A291" t="s">
        <v>92</v>
      </c>
      <c r="B291">
        <v>153575</v>
      </c>
    </row>
    <row r="292" spans="1:2" x14ac:dyDescent="0.25">
      <c r="A292" t="s">
        <v>92</v>
      </c>
      <c r="B292">
        <v>233230</v>
      </c>
    </row>
    <row r="293" spans="1:2" x14ac:dyDescent="0.25">
      <c r="A293" t="s">
        <v>92</v>
      </c>
      <c r="B293">
        <v>135900</v>
      </c>
    </row>
    <row r="294" spans="1:2" x14ac:dyDescent="0.25">
      <c r="A294" t="s">
        <v>132</v>
      </c>
      <c r="B294">
        <v>131000</v>
      </c>
    </row>
    <row r="295" spans="1:2" x14ac:dyDescent="0.25">
      <c r="A295" t="s">
        <v>92</v>
      </c>
      <c r="B295">
        <v>235000</v>
      </c>
    </row>
    <row r="296" spans="1:2" x14ac:dyDescent="0.25">
      <c r="A296" t="s">
        <v>115</v>
      </c>
      <c r="B296">
        <v>167000</v>
      </c>
    </row>
    <row r="297" spans="1:2" x14ac:dyDescent="0.25">
      <c r="A297" t="s">
        <v>197</v>
      </c>
      <c r="B297">
        <v>142500</v>
      </c>
    </row>
    <row r="298" spans="1:2" x14ac:dyDescent="0.25">
      <c r="A298" t="s">
        <v>132</v>
      </c>
      <c r="B298">
        <v>152000</v>
      </c>
    </row>
    <row r="299" spans="1:2" x14ac:dyDescent="0.25">
      <c r="A299" t="s">
        <v>92</v>
      </c>
      <c r="B299">
        <v>239000</v>
      </c>
    </row>
    <row r="300" spans="1:2" x14ac:dyDescent="0.25">
      <c r="A300" t="s">
        <v>92</v>
      </c>
      <c r="B300">
        <v>175000</v>
      </c>
    </row>
    <row r="301" spans="1:2" x14ac:dyDescent="0.25">
      <c r="A301" t="s">
        <v>115</v>
      </c>
      <c r="B301">
        <v>158500</v>
      </c>
    </row>
    <row r="302" spans="1:2" x14ac:dyDescent="0.25">
      <c r="A302" t="s">
        <v>115</v>
      </c>
      <c r="B302">
        <v>157000</v>
      </c>
    </row>
    <row r="303" spans="1:2" x14ac:dyDescent="0.25">
      <c r="A303" t="s">
        <v>92</v>
      </c>
      <c r="B303">
        <v>267000</v>
      </c>
    </row>
    <row r="304" spans="1:2" x14ac:dyDescent="0.25">
      <c r="A304" t="s">
        <v>115</v>
      </c>
      <c r="B304">
        <v>205000</v>
      </c>
    </row>
    <row r="305" spans="1:2" x14ac:dyDescent="0.25">
      <c r="A305" t="s">
        <v>115</v>
      </c>
      <c r="B305">
        <v>149900</v>
      </c>
    </row>
    <row r="306" spans="1:2" x14ac:dyDescent="0.25">
      <c r="A306" t="s">
        <v>225</v>
      </c>
      <c r="B306">
        <v>295000</v>
      </c>
    </row>
    <row r="307" spans="1:2" x14ac:dyDescent="0.25">
      <c r="A307" t="s">
        <v>115</v>
      </c>
      <c r="B307">
        <v>305900</v>
      </c>
    </row>
    <row r="308" spans="1:2" x14ac:dyDescent="0.25">
      <c r="A308" t="s">
        <v>92</v>
      </c>
      <c r="B308">
        <v>225000</v>
      </c>
    </row>
    <row r="309" spans="1:2" x14ac:dyDescent="0.25">
      <c r="A309" t="s">
        <v>132</v>
      </c>
      <c r="B309">
        <v>89500</v>
      </c>
    </row>
    <row r="310" spans="1:2" x14ac:dyDescent="0.25">
      <c r="A310" t="s">
        <v>115</v>
      </c>
      <c r="B310">
        <v>82500</v>
      </c>
    </row>
    <row r="311" spans="1:2" x14ac:dyDescent="0.25">
      <c r="A311" t="s">
        <v>115</v>
      </c>
      <c r="B311">
        <v>360000</v>
      </c>
    </row>
    <row r="312" spans="1:2" x14ac:dyDescent="0.25">
      <c r="A312" t="s">
        <v>92</v>
      </c>
      <c r="B312">
        <v>165600</v>
      </c>
    </row>
    <row r="313" spans="1:2" x14ac:dyDescent="0.25">
      <c r="A313" t="s">
        <v>115</v>
      </c>
      <c r="B313">
        <v>132000</v>
      </c>
    </row>
    <row r="314" spans="1:2" x14ac:dyDescent="0.25">
      <c r="A314" t="s">
        <v>132</v>
      </c>
      <c r="B314">
        <v>119900</v>
      </c>
    </row>
    <row r="315" spans="1:2" x14ac:dyDescent="0.25">
      <c r="A315" t="s">
        <v>115</v>
      </c>
      <c r="B315">
        <v>375000</v>
      </c>
    </row>
    <row r="316" spans="1:2" x14ac:dyDescent="0.25">
      <c r="A316" t="s">
        <v>92</v>
      </c>
      <c r="B316">
        <v>178000</v>
      </c>
    </row>
    <row r="317" spans="1:2" x14ac:dyDescent="0.25">
      <c r="A317" t="s">
        <v>92</v>
      </c>
      <c r="B317">
        <v>188500</v>
      </c>
    </row>
    <row r="318" spans="1:2" x14ac:dyDescent="0.25">
      <c r="A318" t="s">
        <v>92</v>
      </c>
      <c r="B318">
        <v>260000</v>
      </c>
    </row>
    <row r="319" spans="1:2" x14ac:dyDescent="0.25">
      <c r="A319" t="s">
        <v>92</v>
      </c>
      <c r="B319">
        <v>270000</v>
      </c>
    </row>
    <row r="320" spans="1:2" x14ac:dyDescent="0.25">
      <c r="A320" t="s">
        <v>92</v>
      </c>
      <c r="B320">
        <v>260000</v>
      </c>
    </row>
    <row r="321" spans="1:2" x14ac:dyDescent="0.25">
      <c r="A321" t="s">
        <v>197</v>
      </c>
      <c r="B321">
        <v>187500</v>
      </c>
    </row>
    <row r="322" spans="1:2" x14ac:dyDescent="0.25">
      <c r="A322" t="s">
        <v>92</v>
      </c>
      <c r="B322">
        <v>342643</v>
      </c>
    </row>
    <row r="323" spans="1:2" x14ac:dyDescent="0.25">
      <c r="A323" t="s">
        <v>92</v>
      </c>
      <c r="B323">
        <v>354000</v>
      </c>
    </row>
    <row r="324" spans="1:2" x14ac:dyDescent="0.25">
      <c r="A324" t="s">
        <v>92</v>
      </c>
      <c r="B324">
        <v>301000</v>
      </c>
    </row>
    <row r="325" spans="1:2" x14ac:dyDescent="0.25">
      <c r="A325" t="s">
        <v>115</v>
      </c>
      <c r="B325">
        <v>126175</v>
      </c>
    </row>
    <row r="326" spans="1:2" x14ac:dyDescent="0.25">
      <c r="A326" t="s">
        <v>197</v>
      </c>
      <c r="B326">
        <v>242000</v>
      </c>
    </row>
    <row r="327" spans="1:2" x14ac:dyDescent="0.25">
      <c r="A327" t="s">
        <v>150</v>
      </c>
      <c r="B327">
        <v>87000</v>
      </c>
    </row>
    <row r="328" spans="1:2" x14ac:dyDescent="0.25">
      <c r="A328" t="s">
        <v>115</v>
      </c>
      <c r="B328">
        <v>324000</v>
      </c>
    </row>
    <row r="329" spans="1:2" x14ac:dyDescent="0.25">
      <c r="A329" t="s">
        <v>115</v>
      </c>
      <c r="B329">
        <v>145250</v>
      </c>
    </row>
    <row r="330" spans="1:2" x14ac:dyDescent="0.25">
      <c r="A330" t="s">
        <v>201</v>
      </c>
      <c r="B330">
        <v>214500</v>
      </c>
    </row>
    <row r="331" spans="1:2" x14ac:dyDescent="0.25">
      <c r="A331" t="s">
        <v>92</v>
      </c>
      <c r="B331">
        <v>78000</v>
      </c>
    </row>
    <row r="332" spans="1:2" x14ac:dyDescent="0.25">
      <c r="A332" t="s">
        <v>115</v>
      </c>
      <c r="B332">
        <v>119000</v>
      </c>
    </row>
    <row r="333" spans="1:2" x14ac:dyDescent="0.25">
      <c r="A333" t="s">
        <v>115</v>
      </c>
      <c r="B333">
        <v>139000</v>
      </c>
    </row>
    <row r="334" spans="1:2" x14ac:dyDescent="0.25">
      <c r="A334" t="s">
        <v>115</v>
      </c>
      <c r="B334">
        <v>284000</v>
      </c>
    </row>
    <row r="335" spans="1:2" x14ac:dyDescent="0.25">
      <c r="A335" t="s">
        <v>115</v>
      </c>
      <c r="B335">
        <v>207000</v>
      </c>
    </row>
    <row r="336" spans="1:2" x14ac:dyDescent="0.25">
      <c r="A336" t="s">
        <v>92</v>
      </c>
      <c r="B336">
        <v>192000</v>
      </c>
    </row>
    <row r="337" spans="1:2" x14ac:dyDescent="0.25">
      <c r="A337" t="s">
        <v>132</v>
      </c>
      <c r="B337">
        <v>228950</v>
      </c>
    </row>
    <row r="338" spans="1:2" x14ac:dyDescent="0.25">
      <c r="A338" t="s">
        <v>115</v>
      </c>
      <c r="B338">
        <v>377426</v>
      </c>
    </row>
    <row r="339" spans="1:2" x14ac:dyDescent="0.25">
      <c r="A339" t="s">
        <v>115</v>
      </c>
      <c r="B339">
        <v>214000</v>
      </c>
    </row>
    <row r="340" spans="1:2" x14ac:dyDescent="0.25">
      <c r="A340" t="s">
        <v>115</v>
      </c>
      <c r="B340">
        <v>202500</v>
      </c>
    </row>
    <row r="341" spans="1:2" x14ac:dyDescent="0.25">
      <c r="A341" t="s">
        <v>115</v>
      </c>
      <c r="B341">
        <v>155000</v>
      </c>
    </row>
    <row r="342" spans="1:2" x14ac:dyDescent="0.25">
      <c r="A342" t="s">
        <v>92</v>
      </c>
      <c r="B342">
        <v>202900</v>
      </c>
    </row>
    <row r="343" spans="1:2" x14ac:dyDescent="0.25">
      <c r="A343" t="s">
        <v>115</v>
      </c>
      <c r="B343">
        <v>82000</v>
      </c>
    </row>
    <row r="344" spans="1:2" x14ac:dyDescent="0.25">
      <c r="A344" t="s">
        <v>115</v>
      </c>
      <c r="B344">
        <v>87500</v>
      </c>
    </row>
    <row r="345" spans="1:2" x14ac:dyDescent="0.25">
      <c r="A345" t="s">
        <v>115</v>
      </c>
      <c r="B345">
        <v>266000</v>
      </c>
    </row>
    <row r="346" spans="1:2" x14ac:dyDescent="0.25">
      <c r="A346" t="s">
        <v>92</v>
      </c>
      <c r="B346">
        <v>85000</v>
      </c>
    </row>
    <row r="347" spans="1:2" x14ac:dyDescent="0.25">
      <c r="A347" t="s">
        <v>132</v>
      </c>
      <c r="B347">
        <v>140200</v>
      </c>
    </row>
    <row r="348" spans="1:2" x14ac:dyDescent="0.25">
      <c r="A348" t="s">
        <v>115</v>
      </c>
      <c r="B348">
        <v>151500</v>
      </c>
    </row>
    <row r="349" spans="1:2" x14ac:dyDescent="0.25">
      <c r="A349" t="s">
        <v>115</v>
      </c>
      <c r="B349">
        <v>157500</v>
      </c>
    </row>
    <row r="350" spans="1:2" x14ac:dyDescent="0.25">
      <c r="A350" t="s">
        <v>92</v>
      </c>
      <c r="B350">
        <v>154000</v>
      </c>
    </row>
    <row r="351" spans="1:2" x14ac:dyDescent="0.25">
      <c r="A351" t="s">
        <v>92</v>
      </c>
      <c r="B351">
        <v>437154</v>
      </c>
    </row>
    <row r="352" spans="1:2" x14ac:dyDescent="0.25">
      <c r="A352" t="s">
        <v>115</v>
      </c>
      <c r="B352">
        <v>318061</v>
      </c>
    </row>
    <row r="353" spans="1:2" x14ac:dyDescent="0.25">
      <c r="A353" t="s">
        <v>115</v>
      </c>
      <c r="B353">
        <v>190000</v>
      </c>
    </row>
    <row r="354" spans="1:2" x14ac:dyDescent="0.25">
      <c r="A354" t="s">
        <v>132</v>
      </c>
      <c r="B354">
        <v>95000</v>
      </c>
    </row>
    <row r="355" spans="1:2" x14ac:dyDescent="0.25">
      <c r="A355" t="s">
        <v>115</v>
      </c>
      <c r="B355">
        <v>105900</v>
      </c>
    </row>
    <row r="356" spans="1:2" x14ac:dyDescent="0.25">
      <c r="A356" t="s">
        <v>132</v>
      </c>
      <c r="B356">
        <v>140000</v>
      </c>
    </row>
    <row r="357" spans="1:2" x14ac:dyDescent="0.25">
      <c r="A357" t="s">
        <v>115</v>
      </c>
      <c r="B357">
        <v>177500</v>
      </c>
    </row>
    <row r="358" spans="1:2" x14ac:dyDescent="0.25">
      <c r="A358" t="s">
        <v>115</v>
      </c>
      <c r="B358">
        <v>173000</v>
      </c>
    </row>
    <row r="359" spans="1:2" x14ac:dyDescent="0.25">
      <c r="A359" t="s">
        <v>115</v>
      </c>
      <c r="B359">
        <v>134000</v>
      </c>
    </row>
    <row r="360" spans="1:2" x14ac:dyDescent="0.25">
      <c r="A360" t="s">
        <v>197</v>
      </c>
      <c r="B360">
        <v>130000</v>
      </c>
    </row>
    <row r="361" spans="1:2" x14ac:dyDescent="0.25">
      <c r="A361" t="s">
        <v>92</v>
      </c>
      <c r="B361">
        <v>280000</v>
      </c>
    </row>
    <row r="362" spans="1:2" x14ac:dyDescent="0.25">
      <c r="A362" t="s">
        <v>191</v>
      </c>
      <c r="B362">
        <v>156000</v>
      </c>
    </row>
    <row r="363" spans="1:2" x14ac:dyDescent="0.25">
      <c r="A363" t="s">
        <v>132</v>
      </c>
      <c r="B363">
        <v>145000</v>
      </c>
    </row>
    <row r="364" spans="1:2" x14ac:dyDescent="0.25">
      <c r="A364" t="s">
        <v>191</v>
      </c>
      <c r="B364">
        <v>198500</v>
      </c>
    </row>
    <row r="365" spans="1:2" x14ac:dyDescent="0.25">
      <c r="A365" t="s">
        <v>92</v>
      </c>
      <c r="B365">
        <v>118000</v>
      </c>
    </row>
    <row r="366" spans="1:2" x14ac:dyDescent="0.25">
      <c r="A366" t="s">
        <v>92</v>
      </c>
      <c r="B366">
        <v>190000</v>
      </c>
    </row>
    <row r="367" spans="1:2" x14ac:dyDescent="0.25">
      <c r="A367" t="s">
        <v>92</v>
      </c>
      <c r="B367">
        <v>147000</v>
      </c>
    </row>
    <row r="368" spans="1:2" x14ac:dyDescent="0.25">
      <c r="A368" t="s">
        <v>115</v>
      </c>
      <c r="B368">
        <v>159000</v>
      </c>
    </row>
    <row r="369" spans="1:2" x14ac:dyDescent="0.25">
      <c r="A369" t="s">
        <v>197</v>
      </c>
      <c r="B369">
        <v>165000</v>
      </c>
    </row>
    <row r="370" spans="1:2" x14ac:dyDescent="0.25">
      <c r="A370" t="s">
        <v>115</v>
      </c>
      <c r="B370">
        <v>132000</v>
      </c>
    </row>
    <row r="371" spans="1:2" x14ac:dyDescent="0.25">
      <c r="A371" t="s">
        <v>115</v>
      </c>
      <c r="B371">
        <v>162000</v>
      </c>
    </row>
    <row r="372" spans="1:2" x14ac:dyDescent="0.25">
      <c r="A372" t="s">
        <v>92</v>
      </c>
      <c r="B372">
        <v>172400</v>
      </c>
    </row>
    <row r="373" spans="1:2" x14ac:dyDescent="0.25">
      <c r="A373" t="s">
        <v>132</v>
      </c>
      <c r="B373">
        <v>134432</v>
      </c>
    </row>
    <row r="374" spans="1:2" x14ac:dyDescent="0.25">
      <c r="A374" t="s">
        <v>115</v>
      </c>
      <c r="B374">
        <v>125000</v>
      </c>
    </row>
    <row r="375" spans="1:2" x14ac:dyDescent="0.25">
      <c r="A375" t="s">
        <v>115</v>
      </c>
      <c r="B375">
        <v>123000</v>
      </c>
    </row>
    <row r="376" spans="1:2" x14ac:dyDescent="0.25">
      <c r="A376" t="s">
        <v>92</v>
      </c>
      <c r="B376">
        <v>219500</v>
      </c>
    </row>
    <row r="377" spans="1:2" x14ac:dyDescent="0.25">
      <c r="A377" t="s">
        <v>115</v>
      </c>
      <c r="B377">
        <v>61000</v>
      </c>
    </row>
    <row r="378" spans="1:2" x14ac:dyDescent="0.25">
      <c r="A378" t="s">
        <v>191</v>
      </c>
      <c r="B378">
        <v>148000</v>
      </c>
    </row>
    <row r="379" spans="1:2" x14ac:dyDescent="0.25">
      <c r="A379" t="s">
        <v>92</v>
      </c>
      <c r="B379">
        <v>340000</v>
      </c>
    </row>
    <row r="380" spans="1:2" x14ac:dyDescent="0.25">
      <c r="A380" t="s">
        <v>115</v>
      </c>
      <c r="B380">
        <v>394432</v>
      </c>
    </row>
    <row r="381" spans="1:2" x14ac:dyDescent="0.25">
      <c r="A381" t="s">
        <v>92</v>
      </c>
      <c r="B381">
        <v>179000</v>
      </c>
    </row>
    <row r="382" spans="1:2" x14ac:dyDescent="0.25">
      <c r="A382" t="s">
        <v>132</v>
      </c>
      <c r="B382">
        <v>127000</v>
      </c>
    </row>
    <row r="383" spans="1:2" x14ac:dyDescent="0.25">
      <c r="A383" t="s">
        <v>115</v>
      </c>
      <c r="B383">
        <v>187750</v>
      </c>
    </row>
    <row r="384" spans="1:2" x14ac:dyDescent="0.25">
      <c r="A384" t="s">
        <v>92</v>
      </c>
      <c r="B384">
        <v>213500</v>
      </c>
    </row>
    <row r="385" spans="1:2" x14ac:dyDescent="0.25">
      <c r="A385" t="s">
        <v>150</v>
      </c>
      <c r="B385">
        <v>76000</v>
      </c>
    </row>
    <row r="386" spans="1:2" x14ac:dyDescent="0.25">
      <c r="A386" t="s">
        <v>92</v>
      </c>
      <c r="B386">
        <v>240000</v>
      </c>
    </row>
    <row r="387" spans="1:2" x14ac:dyDescent="0.25">
      <c r="A387" t="s">
        <v>115</v>
      </c>
      <c r="B387">
        <v>192000</v>
      </c>
    </row>
    <row r="388" spans="1:2" x14ac:dyDescent="0.25">
      <c r="A388" t="s">
        <v>132</v>
      </c>
      <c r="B388">
        <v>81000</v>
      </c>
    </row>
    <row r="389" spans="1:2" x14ac:dyDescent="0.25">
      <c r="A389" t="s">
        <v>197</v>
      </c>
      <c r="B389">
        <v>125000</v>
      </c>
    </row>
    <row r="390" spans="1:2" x14ac:dyDescent="0.25">
      <c r="A390" t="s">
        <v>115</v>
      </c>
      <c r="B390">
        <v>191000</v>
      </c>
    </row>
    <row r="391" spans="1:2" x14ac:dyDescent="0.25">
      <c r="A391" t="s">
        <v>92</v>
      </c>
      <c r="B391">
        <v>426000</v>
      </c>
    </row>
    <row r="392" spans="1:2" x14ac:dyDescent="0.25">
      <c r="A392" t="s">
        <v>132</v>
      </c>
      <c r="B392">
        <v>119000</v>
      </c>
    </row>
    <row r="393" spans="1:2" x14ac:dyDescent="0.25">
      <c r="A393" t="s">
        <v>92</v>
      </c>
      <c r="B393">
        <v>215000</v>
      </c>
    </row>
    <row r="394" spans="1:2" x14ac:dyDescent="0.25">
      <c r="A394" t="s">
        <v>115</v>
      </c>
      <c r="B394">
        <v>106500</v>
      </c>
    </row>
    <row r="395" spans="1:2" x14ac:dyDescent="0.25">
      <c r="A395" t="s">
        <v>115</v>
      </c>
      <c r="B395">
        <v>100000</v>
      </c>
    </row>
    <row r="396" spans="1:2" x14ac:dyDescent="0.25">
      <c r="A396" t="s">
        <v>132</v>
      </c>
      <c r="B396">
        <v>109000</v>
      </c>
    </row>
    <row r="397" spans="1:2" x14ac:dyDescent="0.25">
      <c r="A397" t="s">
        <v>115</v>
      </c>
      <c r="B397">
        <v>129000</v>
      </c>
    </row>
    <row r="398" spans="1:2" x14ac:dyDescent="0.25">
      <c r="A398" t="s">
        <v>115</v>
      </c>
      <c r="B398">
        <v>123000</v>
      </c>
    </row>
    <row r="399" spans="1:2" x14ac:dyDescent="0.25">
      <c r="A399" t="s">
        <v>92</v>
      </c>
      <c r="B399">
        <v>169500</v>
      </c>
    </row>
    <row r="400" spans="1:2" x14ac:dyDescent="0.25">
      <c r="A400" t="s">
        <v>115</v>
      </c>
      <c r="B400">
        <v>67000</v>
      </c>
    </row>
    <row r="401" spans="1:2" x14ac:dyDescent="0.25">
      <c r="A401" t="s">
        <v>92</v>
      </c>
      <c r="B401">
        <v>241000</v>
      </c>
    </row>
    <row r="402" spans="1:2" x14ac:dyDescent="0.25">
      <c r="A402" t="s">
        <v>115</v>
      </c>
      <c r="B402">
        <v>245500</v>
      </c>
    </row>
    <row r="403" spans="1:2" x14ac:dyDescent="0.25">
      <c r="A403" t="s">
        <v>115</v>
      </c>
      <c r="B403">
        <v>164990</v>
      </c>
    </row>
    <row r="404" spans="1:2" x14ac:dyDescent="0.25">
      <c r="A404" t="s">
        <v>115</v>
      </c>
      <c r="B404">
        <v>108000</v>
      </c>
    </row>
    <row r="405" spans="1:2" x14ac:dyDescent="0.25">
      <c r="A405" t="s">
        <v>92</v>
      </c>
      <c r="B405">
        <v>258000</v>
      </c>
    </row>
    <row r="406" spans="1:2" x14ac:dyDescent="0.25">
      <c r="A406" t="s">
        <v>92</v>
      </c>
      <c r="B406">
        <v>168000</v>
      </c>
    </row>
    <row r="407" spans="1:2" x14ac:dyDescent="0.25">
      <c r="A407" t="s">
        <v>115</v>
      </c>
      <c r="B407">
        <v>150000</v>
      </c>
    </row>
    <row r="408" spans="1:2" x14ac:dyDescent="0.25">
      <c r="A408" t="s">
        <v>132</v>
      </c>
      <c r="B408">
        <v>115000</v>
      </c>
    </row>
    <row r="409" spans="1:2" x14ac:dyDescent="0.25">
      <c r="A409" t="s">
        <v>92</v>
      </c>
      <c r="B409">
        <v>177000</v>
      </c>
    </row>
    <row r="410" spans="1:2" x14ac:dyDescent="0.25">
      <c r="A410" t="s">
        <v>92</v>
      </c>
      <c r="B410">
        <v>280000</v>
      </c>
    </row>
    <row r="411" spans="1:2" x14ac:dyDescent="0.25">
      <c r="A411" t="s">
        <v>92</v>
      </c>
      <c r="B411">
        <v>339750</v>
      </c>
    </row>
    <row r="412" spans="1:2" x14ac:dyDescent="0.25">
      <c r="A412" t="s">
        <v>115</v>
      </c>
      <c r="B412">
        <v>60000</v>
      </c>
    </row>
    <row r="413" spans="1:2" x14ac:dyDescent="0.25">
      <c r="A413" t="s">
        <v>115</v>
      </c>
      <c r="B413">
        <v>145000</v>
      </c>
    </row>
    <row r="414" spans="1:2" x14ac:dyDescent="0.25">
      <c r="A414" t="s">
        <v>115</v>
      </c>
      <c r="B414">
        <v>222000</v>
      </c>
    </row>
    <row r="415" spans="1:2" x14ac:dyDescent="0.25">
      <c r="A415" t="s">
        <v>115</v>
      </c>
      <c r="B415">
        <v>115000</v>
      </c>
    </row>
    <row r="416" spans="1:2" x14ac:dyDescent="0.25">
      <c r="A416" t="s">
        <v>92</v>
      </c>
      <c r="B416">
        <v>228000</v>
      </c>
    </row>
    <row r="417" spans="1:2" x14ac:dyDescent="0.25">
      <c r="A417" t="s">
        <v>115</v>
      </c>
      <c r="B417">
        <v>181134</v>
      </c>
    </row>
    <row r="418" spans="1:2" x14ac:dyDescent="0.25">
      <c r="A418" t="s">
        <v>92</v>
      </c>
      <c r="B418">
        <v>149500</v>
      </c>
    </row>
    <row r="419" spans="1:2" x14ac:dyDescent="0.25">
      <c r="A419" t="s">
        <v>92</v>
      </c>
      <c r="B419">
        <v>239000</v>
      </c>
    </row>
    <row r="420" spans="1:2" x14ac:dyDescent="0.25">
      <c r="A420" t="s">
        <v>132</v>
      </c>
      <c r="B420">
        <v>126000</v>
      </c>
    </row>
    <row r="421" spans="1:2" x14ac:dyDescent="0.25">
      <c r="A421" t="s">
        <v>115</v>
      </c>
      <c r="B421">
        <v>142000</v>
      </c>
    </row>
    <row r="422" spans="1:2" x14ac:dyDescent="0.25">
      <c r="A422" t="s">
        <v>191</v>
      </c>
      <c r="B422">
        <v>206300</v>
      </c>
    </row>
    <row r="423" spans="1:2" x14ac:dyDescent="0.25">
      <c r="A423" t="s">
        <v>115</v>
      </c>
      <c r="B423">
        <v>215000</v>
      </c>
    </row>
    <row r="424" spans="1:2" x14ac:dyDescent="0.25">
      <c r="A424" t="s">
        <v>115</v>
      </c>
      <c r="B424">
        <v>113000</v>
      </c>
    </row>
    <row r="425" spans="1:2" x14ac:dyDescent="0.25">
      <c r="A425" t="s">
        <v>92</v>
      </c>
      <c r="B425">
        <v>315000</v>
      </c>
    </row>
    <row r="426" spans="1:2" x14ac:dyDescent="0.25">
      <c r="A426" t="s">
        <v>115</v>
      </c>
      <c r="B426">
        <v>139000</v>
      </c>
    </row>
    <row r="427" spans="1:2" x14ac:dyDescent="0.25">
      <c r="A427" t="s">
        <v>92</v>
      </c>
      <c r="B427">
        <v>135000</v>
      </c>
    </row>
    <row r="428" spans="1:2" x14ac:dyDescent="0.25">
      <c r="A428" t="s">
        <v>197</v>
      </c>
      <c r="B428">
        <v>275000</v>
      </c>
    </row>
    <row r="429" spans="1:2" x14ac:dyDescent="0.25">
      <c r="A429" t="s">
        <v>115</v>
      </c>
      <c r="B429">
        <v>109008</v>
      </c>
    </row>
    <row r="430" spans="1:2" x14ac:dyDescent="0.25">
      <c r="A430" t="s">
        <v>115</v>
      </c>
      <c r="B430">
        <v>195400</v>
      </c>
    </row>
    <row r="431" spans="1:2" x14ac:dyDescent="0.25">
      <c r="A431" t="s">
        <v>115</v>
      </c>
      <c r="B431">
        <v>175000</v>
      </c>
    </row>
    <row r="432" spans="1:2" x14ac:dyDescent="0.25">
      <c r="A432" t="s">
        <v>92</v>
      </c>
      <c r="B432">
        <v>85400</v>
      </c>
    </row>
    <row r="433" spans="1:2" x14ac:dyDescent="0.25">
      <c r="A433" t="s">
        <v>132</v>
      </c>
      <c r="B433">
        <v>79900</v>
      </c>
    </row>
    <row r="434" spans="1:2" x14ac:dyDescent="0.25">
      <c r="A434" t="s">
        <v>92</v>
      </c>
      <c r="B434">
        <v>122500</v>
      </c>
    </row>
    <row r="435" spans="1:2" x14ac:dyDescent="0.25">
      <c r="A435" t="s">
        <v>92</v>
      </c>
      <c r="B435">
        <v>181000</v>
      </c>
    </row>
    <row r="436" spans="1:2" x14ac:dyDescent="0.25">
      <c r="A436" t="s">
        <v>191</v>
      </c>
      <c r="B436">
        <v>81000</v>
      </c>
    </row>
    <row r="437" spans="1:2" x14ac:dyDescent="0.25">
      <c r="A437" t="s">
        <v>92</v>
      </c>
      <c r="B437">
        <v>212000</v>
      </c>
    </row>
    <row r="438" spans="1:2" x14ac:dyDescent="0.25">
      <c r="A438" t="s">
        <v>132</v>
      </c>
      <c r="B438">
        <v>116000</v>
      </c>
    </row>
    <row r="439" spans="1:2" x14ac:dyDescent="0.25">
      <c r="A439" t="s">
        <v>150</v>
      </c>
      <c r="B439">
        <v>119000</v>
      </c>
    </row>
    <row r="440" spans="1:2" x14ac:dyDescent="0.25">
      <c r="A440" t="s">
        <v>115</v>
      </c>
      <c r="B440">
        <v>90350</v>
      </c>
    </row>
    <row r="441" spans="1:2" x14ac:dyDescent="0.25">
      <c r="A441" t="s">
        <v>132</v>
      </c>
      <c r="B441">
        <v>110000</v>
      </c>
    </row>
    <row r="442" spans="1:2" x14ac:dyDescent="0.25">
      <c r="A442" t="s">
        <v>115</v>
      </c>
      <c r="B442">
        <v>555000</v>
      </c>
    </row>
    <row r="443" spans="1:2" x14ac:dyDescent="0.25">
      <c r="A443" t="s">
        <v>115</v>
      </c>
      <c r="B443">
        <v>118000</v>
      </c>
    </row>
    <row r="444" spans="1:2" x14ac:dyDescent="0.25">
      <c r="A444" t="s">
        <v>132</v>
      </c>
      <c r="B444">
        <v>162900</v>
      </c>
    </row>
    <row r="445" spans="1:2" x14ac:dyDescent="0.25">
      <c r="A445" t="s">
        <v>115</v>
      </c>
      <c r="B445">
        <v>172500</v>
      </c>
    </row>
    <row r="446" spans="1:2" x14ac:dyDescent="0.25">
      <c r="A446" t="s">
        <v>92</v>
      </c>
      <c r="B446">
        <v>210000</v>
      </c>
    </row>
    <row r="447" spans="1:2" x14ac:dyDescent="0.25">
      <c r="A447" t="s">
        <v>115</v>
      </c>
      <c r="B447">
        <v>127500</v>
      </c>
    </row>
    <row r="448" spans="1:2" x14ac:dyDescent="0.25">
      <c r="A448" t="s">
        <v>115</v>
      </c>
      <c r="B448">
        <v>190000</v>
      </c>
    </row>
    <row r="449" spans="1:2" x14ac:dyDescent="0.25">
      <c r="A449" t="s">
        <v>92</v>
      </c>
      <c r="B449">
        <v>199900</v>
      </c>
    </row>
    <row r="450" spans="1:2" x14ac:dyDescent="0.25">
      <c r="A450" t="s">
        <v>132</v>
      </c>
      <c r="B450">
        <v>119500</v>
      </c>
    </row>
    <row r="451" spans="1:2" x14ac:dyDescent="0.25">
      <c r="A451" t="s">
        <v>132</v>
      </c>
      <c r="B451">
        <v>120000</v>
      </c>
    </row>
    <row r="452" spans="1:2" x14ac:dyDescent="0.25">
      <c r="A452" t="s">
        <v>115</v>
      </c>
      <c r="B452">
        <v>110000</v>
      </c>
    </row>
    <row r="453" spans="1:2" x14ac:dyDescent="0.25">
      <c r="A453" t="s">
        <v>115</v>
      </c>
      <c r="B453">
        <v>280000</v>
      </c>
    </row>
    <row r="454" spans="1:2" x14ac:dyDescent="0.25">
      <c r="A454" t="s">
        <v>92</v>
      </c>
      <c r="B454">
        <v>204000</v>
      </c>
    </row>
    <row r="455" spans="1:2" x14ac:dyDescent="0.25">
      <c r="A455" t="s">
        <v>92</v>
      </c>
      <c r="B455">
        <v>210000</v>
      </c>
    </row>
    <row r="456" spans="1:2" x14ac:dyDescent="0.25">
      <c r="A456" t="s">
        <v>115</v>
      </c>
      <c r="B456">
        <v>188000</v>
      </c>
    </row>
    <row r="457" spans="1:2" x14ac:dyDescent="0.25">
      <c r="A457" t="s">
        <v>115</v>
      </c>
      <c r="B457">
        <v>175500</v>
      </c>
    </row>
    <row r="458" spans="1:2" x14ac:dyDescent="0.25">
      <c r="A458" t="s">
        <v>92</v>
      </c>
      <c r="B458">
        <v>98000</v>
      </c>
    </row>
    <row r="459" spans="1:2" x14ac:dyDescent="0.25">
      <c r="A459" t="s">
        <v>115</v>
      </c>
      <c r="B459">
        <v>256000</v>
      </c>
    </row>
    <row r="460" spans="1:2" x14ac:dyDescent="0.25">
      <c r="A460" t="s">
        <v>92</v>
      </c>
      <c r="B460">
        <v>161000</v>
      </c>
    </row>
    <row r="461" spans="1:2" x14ac:dyDescent="0.25">
      <c r="A461" t="s">
        <v>132</v>
      </c>
      <c r="B461">
        <v>110000</v>
      </c>
    </row>
    <row r="462" spans="1:2" x14ac:dyDescent="0.25">
      <c r="A462" t="s">
        <v>92</v>
      </c>
      <c r="B462">
        <v>263435</v>
      </c>
    </row>
    <row r="463" spans="1:2" x14ac:dyDescent="0.25">
      <c r="A463" t="s">
        <v>92</v>
      </c>
      <c r="B463">
        <v>155000</v>
      </c>
    </row>
    <row r="464" spans="1:2" x14ac:dyDescent="0.25">
      <c r="A464" t="s">
        <v>115</v>
      </c>
      <c r="B464">
        <v>62383</v>
      </c>
    </row>
    <row r="465" spans="1:2" x14ac:dyDescent="0.25">
      <c r="A465" t="s">
        <v>92</v>
      </c>
      <c r="B465">
        <v>188700</v>
      </c>
    </row>
    <row r="466" spans="1:2" x14ac:dyDescent="0.25">
      <c r="A466" t="s">
        <v>115</v>
      </c>
      <c r="B466">
        <v>124000</v>
      </c>
    </row>
    <row r="467" spans="1:2" x14ac:dyDescent="0.25">
      <c r="A467" t="s">
        <v>115</v>
      </c>
      <c r="B467">
        <v>178740</v>
      </c>
    </row>
    <row r="468" spans="1:2" x14ac:dyDescent="0.25">
      <c r="A468" t="s">
        <v>115</v>
      </c>
      <c r="B468">
        <v>167000</v>
      </c>
    </row>
    <row r="469" spans="1:2" x14ac:dyDescent="0.25">
      <c r="A469" t="s">
        <v>92</v>
      </c>
      <c r="B469">
        <v>146500</v>
      </c>
    </row>
    <row r="470" spans="1:2" x14ac:dyDescent="0.25">
      <c r="A470" t="s">
        <v>115</v>
      </c>
      <c r="B470">
        <v>250000</v>
      </c>
    </row>
    <row r="471" spans="1:2" x14ac:dyDescent="0.25">
      <c r="A471" t="s">
        <v>92</v>
      </c>
      <c r="B471">
        <v>187000</v>
      </c>
    </row>
    <row r="472" spans="1:2" x14ac:dyDescent="0.25">
      <c r="A472" t="s">
        <v>115</v>
      </c>
      <c r="B472">
        <v>212000</v>
      </c>
    </row>
    <row r="473" spans="1:2" x14ac:dyDescent="0.25">
      <c r="A473" t="s">
        <v>92</v>
      </c>
      <c r="B473">
        <v>190000</v>
      </c>
    </row>
    <row r="474" spans="1:2" x14ac:dyDescent="0.25">
      <c r="A474" t="s">
        <v>197</v>
      </c>
      <c r="B474">
        <v>148000</v>
      </c>
    </row>
    <row r="475" spans="1:2" x14ac:dyDescent="0.25">
      <c r="A475" t="s">
        <v>115</v>
      </c>
      <c r="B475">
        <v>440000</v>
      </c>
    </row>
    <row r="476" spans="1:2" x14ac:dyDescent="0.25">
      <c r="A476" t="s">
        <v>115</v>
      </c>
      <c r="B476">
        <v>251000</v>
      </c>
    </row>
    <row r="477" spans="1:2" x14ac:dyDescent="0.25">
      <c r="A477" t="s">
        <v>115</v>
      </c>
      <c r="B477">
        <v>132500</v>
      </c>
    </row>
    <row r="478" spans="1:2" x14ac:dyDescent="0.25">
      <c r="A478" t="s">
        <v>115</v>
      </c>
      <c r="B478">
        <v>208900</v>
      </c>
    </row>
    <row r="479" spans="1:2" x14ac:dyDescent="0.25">
      <c r="A479" t="s">
        <v>92</v>
      </c>
      <c r="B479">
        <v>380000</v>
      </c>
    </row>
    <row r="480" spans="1:2" x14ac:dyDescent="0.25">
      <c r="A480" t="s">
        <v>115</v>
      </c>
      <c r="B480">
        <v>297000</v>
      </c>
    </row>
    <row r="481" spans="1:2" x14ac:dyDescent="0.25">
      <c r="A481" t="s">
        <v>115</v>
      </c>
      <c r="B481">
        <v>89471</v>
      </c>
    </row>
    <row r="482" spans="1:2" x14ac:dyDescent="0.25">
      <c r="A482" t="s">
        <v>115</v>
      </c>
      <c r="B482">
        <v>326000</v>
      </c>
    </row>
    <row r="483" spans="1:2" x14ac:dyDescent="0.25">
      <c r="A483" t="s">
        <v>115</v>
      </c>
      <c r="B483">
        <v>374000</v>
      </c>
    </row>
    <row r="484" spans="1:2" x14ac:dyDescent="0.25">
      <c r="A484" t="s">
        <v>92</v>
      </c>
      <c r="B484">
        <v>155000</v>
      </c>
    </row>
    <row r="485" spans="1:2" x14ac:dyDescent="0.25">
      <c r="A485" t="s">
        <v>115</v>
      </c>
      <c r="B485">
        <v>164000</v>
      </c>
    </row>
    <row r="486" spans="1:2" x14ac:dyDescent="0.25">
      <c r="A486" t="s">
        <v>115</v>
      </c>
      <c r="B486">
        <v>132500</v>
      </c>
    </row>
    <row r="487" spans="1:2" x14ac:dyDescent="0.25">
      <c r="A487" t="s">
        <v>115</v>
      </c>
      <c r="B487">
        <v>147000</v>
      </c>
    </row>
    <row r="488" spans="1:2" x14ac:dyDescent="0.25">
      <c r="A488" t="s">
        <v>115</v>
      </c>
      <c r="B488">
        <v>156000</v>
      </c>
    </row>
    <row r="489" spans="1:2" x14ac:dyDescent="0.25">
      <c r="A489" t="s">
        <v>115</v>
      </c>
      <c r="B489">
        <v>175000</v>
      </c>
    </row>
    <row r="490" spans="1:2" x14ac:dyDescent="0.25">
      <c r="A490" t="s">
        <v>132</v>
      </c>
      <c r="B490">
        <v>160000</v>
      </c>
    </row>
    <row r="491" spans="1:2" x14ac:dyDescent="0.25">
      <c r="A491" t="s">
        <v>191</v>
      </c>
      <c r="B491">
        <v>86000</v>
      </c>
    </row>
    <row r="492" spans="1:2" x14ac:dyDescent="0.25">
      <c r="A492" t="s">
        <v>92</v>
      </c>
      <c r="B492">
        <v>115000</v>
      </c>
    </row>
    <row r="493" spans="1:2" x14ac:dyDescent="0.25">
      <c r="A493" t="s">
        <v>132</v>
      </c>
      <c r="B493">
        <v>133000</v>
      </c>
    </row>
    <row r="494" spans="1:2" x14ac:dyDescent="0.25">
      <c r="A494" t="s">
        <v>92</v>
      </c>
      <c r="B494">
        <v>172785</v>
      </c>
    </row>
    <row r="495" spans="1:2" x14ac:dyDescent="0.25">
      <c r="A495" t="s">
        <v>115</v>
      </c>
      <c r="B495">
        <v>155000</v>
      </c>
    </row>
    <row r="496" spans="1:2" x14ac:dyDescent="0.25">
      <c r="A496" t="s">
        <v>115</v>
      </c>
      <c r="B496">
        <v>91300</v>
      </c>
    </row>
    <row r="497" spans="1:2" x14ac:dyDescent="0.25">
      <c r="A497" t="s">
        <v>115</v>
      </c>
      <c r="B497">
        <v>34900</v>
      </c>
    </row>
    <row r="498" spans="1:2" x14ac:dyDescent="0.25">
      <c r="A498" t="s">
        <v>115</v>
      </c>
      <c r="B498">
        <v>430000</v>
      </c>
    </row>
    <row r="499" spans="1:2" x14ac:dyDescent="0.25">
      <c r="A499" t="s">
        <v>132</v>
      </c>
      <c r="B499">
        <v>184000</v>
      </c>
    </row>
    <row r="500" spans="1:2" x14ac:dyDescent="0.25">
      <c r="A500" t="s">
        <v>115</v>
      </c>
      <c r="B500">
        <v>130000</v>
      </c>
    </row>
    <row r="501" spans="1:2" x14ac:dyDescent="0.25">
      <c r="A501" t="s">
        <v>115</v>
      </c>
      <c r="B501">
        <v>120000</v>
      </c>
    </row>
    <row r="502" spans="1:2" x14ac:dyDescent="0.25">
      <c r="A502" t="s">
        <v>92</v>
      </c>
      <c r="B502">
        <v>113000</v>
      </c>
    </row>
    <row r="503" spans="1:2" x14ac:dyDescent="0.25">
      <c r="A503" t="s">
        <v>92</v>
      </c>
      <c r="B503">
        <v>226700</v>
      </c>
    </row>
    <row r="504" spans="1:2" x14ac:dyDescent="0.25">
      <c r="A504" t="s">
        <v>115</v>
      </c>
      <c r="B504">
        <v>140000</v>
      </c>
    </row>
    <row r="505" spans="1:2" x14ac:dyDescent="0.25">
      <c r="A505" t="s">
        <v>115</v>
      </c>
      <c r="B505">
        <v>289000</v>
      </c>
    </row>
    <row r="506" spans="1:2" x14ac:dyDescent="0.25">
      <c r="A506" t="s">
        <v>92</v>
      </c>
      <c r="B506">
        <v>147000</v>
      </c>
    </row>
    <row r="507" spans="1:2" x14ac:dyDescent="0.25">
      <c r="A507" t="s">
        <v>92</v>
      </c>
      <c r="B507">
        <v>124500</v>
      </c>
    </row>
    <row r="508" spans="1:2" x14ac:dyDescent="0.25">
      <c r="A508" t="s">
        <v>92</v>
      </c>
      <c r="B508">
        <v>215000</v>
      </c>
    </row>
    <row r="509" spans="1:2" x14ac:dyDescent="0.25">
      <c r="A509" t="s">
        <v>115</v>
      </c>
      <c r="B509">
        <v>208300</v>
      </c>
    </row>
    <row r="510" spans="1:2" x14ac:dyDescent="0.25">
      <c r="A510" t="s">
        <v>92</v>
      </c>
      <c r="B510">
        <v>161000</v>
      </c>
    </row>
    <row r="511" spans="1:2" x14ac:dyDescent="0.25">
      <c r="A511" t="s">
        <v>115</v>
      </c>
      <c r="B511">
        <v>124500</v>
      </c>
    </row>
    <row r="512" spans="1:2" x14ac:dyDescent="0.25">
      <c r="A512" t="s">
        <v>115</v>
      </c>
      <c r="B512">
        <v>164900</v>
      </c>
    </row>
    <row r="513" spans="1:2" x14ac:dyDescent="0.25">
      <c r="A513" t="s">
        <v>115</v>
      </c>
      <c r="B513">
        <v>202665</v>
      </c>
    </row>
    <row r="514" spans="1:2" x14ac:dyDescent="0.25">
      <c r="A514" t="s">
        <v>115</v>
      </c>
      <c r="B514">
        <v>129900</v>
      </c>
    </row>
    <row r="515" spans="1:2" x14ac:dyDescent="0.25">
      <c r="A515" t="s">
        <v>115</v>
      </c>
      <c r="B515">
        <v>134000</v>
      </c>
    </row>
    <row r="516" spans="1:2" x14ac:dyDescent="0.25">
      <c r="A516" t="s">
        <v>150</v>
      </c>
      <c r="B516">
        <v>96500</v>
      </c>
    </row>
    <row r="517" spans="1:2" x14ac:dyDescent="0.25">
      <c r="A517" t="s">
        <v>115</v>
      </c>
      <c r="B517">
        <v>402861</v>
      </c>
    </row>
    <row r="518" spans="1:2" x14ac:dyDescent="0.25">
      <c r="A518" t="s">
        <v>197</v>
      </c>
      <c r="B518">
        <v>158000</v>
      </c>
    </row>
    <row r="519" spans="1:2" x14ac:dyDescent="0.25">
      <c r="A519" t="s">
        <v>92</v>
      </c>
      <c r="B519">
        <v>265000</v>
      </c>
    </row>
    <row r="520" spans="1:2" x14ac:dyDescent="0.25">
      <c r="A520" t="s">
        <v>92</v>
      </c>
      <c r="B520">
        <v>211000</v>
      </c>
    </row>
    <row r="521" spans="1:2" x14ac:dyDescent="0.25">
      <c r="A521" t="s">
        <v>92</v>
      </c>
      <c r="B521">
        <v>234000</v>
      </c>
    </row>
    <row r="522" spans="1:2" x14ac:dyDescent="0.25">
      <c r="A522" t="s">
        <v>92</v>
      </c>
      <c r="B522">
        <v>106250</v>
      </c>
    </row>
    <row r="523" spans="1:2" x14ac:dyDescent="0.25">
      <c r="A523" t="s">
        <v>115</v>
      </c>
      <c r="B523">
        <v>150000</v>
      </c>
    </row>
    <row r="524" spans="1:2" x14ac:dyDescent="0.25">
      <c r="A524" t="s">
        <v>132</v>
      </c>
      <c r="B524">
        <v>159000</v>
      </c>
    </row>
    <row r="525" spans="1:2" x14ac:dyDescent="0.25">
      <c r="A525" t="s">
        <v>92</v>
      </c>
      <c r="B525">
        <v>184750</v>
      </c>
    </row>
    <row r="526" spans="1:2" x14ac:dyDescent="0.25">
      <c r="A526" t="s">
        <v>92</v>
      </c>
      <c r="B526">
        <v>315750</v>
      </c>
    </row>
    <row r="527" spans="1:2" x14ac:dyDescent="0.25">
      <c r="A527" t="s">
        <v>115</v>
      </c>
      <c r="B527">
        <v>176000</v>
      </c>
    </row>
    <row r="528" spans="1:2" x14ac:dyDescent="0.25">
      <c r="A528" t="s">
        <v>115</v>
      </c>
      <c r="B528">
        <v>132000</v>
      </c>
    </row>
    <row r="529" spans="1:2" x14ac:dyDescent="0.25">
      <c r="A529" t="s">
        <v>92</v>
      </c>
      <c r="B529">
        <v>446261</v>
      </c>
    </row>
    <row r="530" spans="1:2" x14ac:dyDescent="0.25">
      <c r="A530" t="s">
        <v>115</v>
      </c>
      <c r="B530">
        <v>86000</v>
      </c>
    </row>
    <row r="531" spans="1:2" x14ac:dyDescent="0.25">
      <c r="A531" t="s">
        <v>115</v>
      </c>
      <c r="B531">
        <v>200624</v>
      </c>
    </row>
    <row r="532" spans="1:2" x14ac:dyDescent="0.25">
      <c r="A532" t="s">
        <v>197</v>
      </c>
      <c r="B532">
        <v>175000</v>
      </c>
    </row>
    <row r="533" spans="1:2" x14ac:dyDescent="0.25">
      <c r="A533" t="s">
        <v>92</v>
      </c>
      <c r="B533">
        <v>128000</v>
      </c>
    </row>
    <row r="534" spans="1:2" x14ac:dyDescent="0.25">
      <c r="A534" t="s">
        <v>115</v>
      </c>
      <c r="B534">
        <v>107500</v>
      </c>
    </row>
    <row r="535" spans="1:2" x14ac:dyDescent="0.25">
      <c r="A535" t="s">
        <v>115</v>
      </c>
      <c r="B535">
        <v>39300</v>
      </c>
    </row>
    <row r="536" spans="1:2" x14ac:dyDescent="0.25">
      <c r="A536" t="s">
        <v>92</v>
      </c>
      <c r="B536">
        <v>178000</v>
      </c>
    </row>
    <row r="537" spans="1:2" x14ac:dyDescent="0.25">
      <c r="A537" t="s">
        <v>92</v>
      </c>
      <c r="B537">
        <v>107500</v>
      </c>
    </row>
    <row r="538" spans="1:2" x14ac:dyDescent="0.25">
      <c r="A538" t="s">
        <v>92</v>
      </c>
      <c r="B538">
        <v>188000</v>
      </c>
    </row>
    <row r="539" spans="1:2" x14ac:dyDescent="0.25">
      <c r="A539" t="s">
        <v>115</v>
      </c>
      <c r="B539">
        <v>111250</v>
      </c>
    </row>
    <row r="540" spans="1:2" x14ac:dyDescent="0.25">
      <c r="A540" t="s">
        <v>115</v>
      </c>
      <c r="B540">
        <v>158000</v>
      </c>
    </row>
    <row r="541" spans="1:2" x14ac:dyDescent="0.25">
      <c r="A541" t="s">
        <v>115</v>
      </c>
      <c r="B541">
        <v>272000</v>
      </c>
    </row>
    <row r="542" spans="1:2" x14ac:dyDescent="0.25">
      <c r="A542" t="s">
        <v>115</v>
      </c>
      <c r="B542">
        <v>315000</v>
      </c>
    </row>
    <row r="543" spans="1:2" x14ac:dyDescent="0.25">
      <c r="A543" t="s">
        <v>92</v>
      </c>
      <c r="B543">
        <v>248000</v>
      </c>
    </row>
    <row r="544" spans="1:2" x14ac:dyDescent="0.25">
      <c r="A544" t="s">
        <v>115</v>
      </c>
      <c r="B544">
        <v>213250</v>
      </c>
    </row>
    <row r="545" spans="1:2" x14ac:dyDescent="0.25">
      <c r="A545" t="s">
        <v>191</v>
      </c>
      <c r="B545">
        <v>133000</v>
      </c>
    </row>
    <row r="546" spans="1:2" x14ac:dyDescent="0.25">
      <c r="A546" t="s">
        <v>92</v>
      </c>
      <c r="B546">
        <v>179665</v>
      </c>
    </row>
    <row r="547" spans="1:2" x14ac:dyDescent="0.25">
      <c r="A547" t="s">
        <v>132</v>
      </c>
      <c r="B547">
        <v>229000</v>
      </c>
    </row>
    <row r="548" spans="1:2" x14ac:dyDescent="0.25">
      <c r="A548" t="s">
        <v>132</v>
      </c>
      <c r="B548">
        <v>210000</v>
      </c>
    </row>
    <row r="549" spans="1:2" x14ac:dyDescent="0.25">
      <c r="A549" t="s">
        <v>191</v>
      </c>
      <c r="B549">
        <v>129500</v>
      </c>
    </row>
    <row r="550" spans="1:2" x14ac:dyDescent="0.25">
      <c r="A550" t="s">
        <v>115</v>
      </c>
      <c r="B550">
        <v>125000</v>
      </c>
    </row>
    <row r="551" spans="1:2" x14ac:dyDescent="0.25">
      <c r="A551" t="s">
        <v>92</v>
      </c>
      <c r="B551">
        <v>263000</v>
      </c>
    </row>
    <row r="552" spans="1:2" x14ac:dyDescent="0.25">
      <c r="A552" t="s">
        <v>115</v>
      </c>
      <c r="B552">
        <v>140000</v>
      </c>
    </row>
    <row r="553" spans="1:2" x14ac:dyDescent="0.25">
      <c r="A553" t="s">
        <v>115</v>
      </c>
      <c r="B553">
        <v>112500</v>
      </c>
    </row>
    <row r="554" spans="1:2" x14ac:dyDescent="0.25">
      <c r="A554" t="s">
        <v>115</v>
      </c>
      <c r="B554">
        <v>255500</v>
      </c>
    </row>
    <row r="555" spans="1:2" x14ac:dyDescent="0.25">
      <c r="A555" t="s">
        <v>115</v>
      </c>
      <c r="B555">
        <v>108000</v>
      </c>
    </row>
    <row r="556" spans="1:2" x14ac:dyDescent="0.25">
      <c r="A556" t="s">
        <v>92</v>
      </c>
      <c r="B556">
        <v>284000</v>
      </c>
    </row>
    <row r="557" spans="1:2" x14ac:dyDescent="0.25">
      <c r="A557" t="s">
        <v>150</v>
      </c>
      <c r="B557">
        <v>113000</v>
      </c>
    </row>
    <row r="558" spans="1:2" x14ac:dyDescent="0.25">
      <c r="A558" t="s">
        <v>115</v>
      </c>
      <c r="B558">
        <v>141000</v>
      </c>
    </row>
    <row r="559" spans="1:2" x14ac:dyDescent="0.25">
      <c r="A559" t="s">
        <v>132</v>
      </c>
      <c r="B559">
        <v>108000</v>
      </c>
    </row>
    <row r="560" spans="1:2" x14ac:dyDescent="0.25">
      <c r="A560" t="s">
        <v>92</v>
      </c>
      <c r="B560">
        <v>175000</v>
      </c>
    </row>
    <row r="561" spans="1:2" x14ac:dyDescent="0.25">
      <c r="A561" t="s">
        <v>115</v>
      </c>
      <c r="B561">
        <v>234000</v>
      </c>
    </row>
    <row r="562" spans="1:2" x14ac:dyDescent="0.25">
      <c r="A562" t="s">
        <v>115</v>
      </c>
      <c r="B562">
        <v>121500</v>
      </c>
    </row>
    <row r="563" spans="1:2" x14ac:dyDescent="0.25">
      <c r="A563" t="s">
        <v>115</v>
      </c>
      <c r="B563">
        <v>170000</v>
      </c>
    </row>
    <row r="564" spans="1:2" x14ac:dyDescent="0.25">
      <c r="A564" t="s">
        <v>115</v>
      </c>
      <c r="B564">
        <v>108000</v>
      </c>
    </row>
    <row r="565" spans="1:2" x14ac:dyDescent="0.25">
      <c r="A565" t="s">
        <v>132</v>
      </c>
      <c r="B565">
        <v>185000</v>
      </c>
    </row>
    <row r="566" spans="1:2" x14ac:dyDescent="0.25">
      <c r="A566" t="s">
        <v>92</v>
      </c>
      <c r="B566">
        <v>268000</v>
      </c>
    </row>
    <row r="567" spans="1:2" x14ac:dyDescent="0.25">
      <c r="A567" t="s">
        <v>92</v>
      </c>
      <c r="B567">
        <v>128000</v>
      </c>
    </row>
    <row r="568" spans="1:2" x14ac:dyDescent="0.25">
      <c r="A568" t="s">
        <v>92</v>
      </c>
      <c r="B568">
        <v>325000</v>
      </c>
    </row>
    <row r="569" spans="1:2" x14ac:dyDescent="0.25">
      <c r="A569" t="s">
        <v>115</v>
      </c>
      <c r="B569">
        <v>214000</v>
      </c>
    </row>
    <row r="570" spans="1:2" x14ac:dyDescent="0.25">
      <c r="A570" t="s">
        <v>132</v>
      </c>
      <c r="B570">
        <v>316600</v>
      </c>
    </row>
    <row r="571" spans="1:2" x14ac:dyDescent="0.25">
      <c r="A571" t="s">
        <v>191</v>
      </c>
      <c r="B571">
        <v>135960</v>
      </c>
    </row>
    <row r="572" spans="1:2" x14ac:dyDescent="0.25">
      <c r="A572" t="s">
        <v>115</v>
      </c>
      <c r="B572">
        <v>142600</v>
      </c>
    </row>
    <row r="573" spans="1:2" x14ac:dyDescent="0.25">
      <c r="A573" t="s">
        <v>115</v>
      </c>
      <c r="B573">
        <v>120000</v>
      </c>
    </row>
    <row r="574" spans="1:2" x14ac:dyDescent="0.25">
      <c r="A574" t="s">
        <v>92</v>
      </c>
      <c r="B574">
        <v>224500</v>
      </c>
    </row>
    <row r="575" spans="1:2" x14ac:dyDescent="0.25">
      <c r="A575" t="s">
        <v>197</v>
      </c>
      <c r="B575">
        <v>170000</v>
      </c>
    </row>
    <row r="576" spans="1:2" x14ac:dyDescent="0.25">
      <c r="A576" t="s">
        <v>197</v>
      </c>
      <c r="B576">
        <v>139000</v>
      </c>
    </row>
    <row r="577" spans="1:2" x14ac:dyDescent="0.25">
      <c r="A577" t="s">
        <v>132</v>
      </c>
      <c r="B577">
        <v>118500</v>
      </c>
    </row>
    <row r="578" spans="1:2" x14ac:dyDescent="0.25">
      <c r="A578" t="s">
        <v>132</v>
      </c>
      <c r="B578">
        <v>145000</v>
      </c>
    </row>
    <row r="579" spans="1:2" x14ac:dyDescent="0.25">
      <c r="A579" t="s">
        <v>197</v>
      </c>
      <c r="B579">
        <v>164500</v>
      </c>
    </row>
    <row r="580" spans="1:2" x14ac:dyDescent="0.25">
      <c r="A580" t="s">
        <v>92</v>
      </c>
      <c r="B580">
        <v>146000</v>
      </c>
    </row>
    <row r="581" spans="1:2" x14ac:dyDescent="0.25">
      <c r="A581" t="s">
        <v>132</v>
      </c>
      <c r="B581">
        <v>131500</v>
      </c>
    </row>
    <row r="582" spans="1:2" x14ac:dyDescent="0.25">
      <c r="A582" t="s">
        <v>115</v>
      </c>
      <c r="B582">
        <v>181900</v>
      </c>
    </row>
    <row r="583" spans="1:2" x14ac:dyDescent="0.25">
      <c r="A583" t="s">
        <v>115</v>
      </c>
      <c r="B583">
        <v>253293</v>
      </c>
    </row>
    <row r="584" spans="1:2" x14ac:dyDescent="0.25">
      <c r="A584" t="s">
        <v>191</v>
      </c>
      <c r="B584">
        <v>118500</v>
      </c>
    </row>
    <row r="585" spans="1:2" x14ac:dyDescent="0.25">
      <c r="A585" t="s">
        <v>201</v>
      </c>
      <c r="B585">
        <v>325000</v>
      </c>
    </row>
    <row r="586" spans="1:2" x14ac:dyDescent="0.25">
      <c r="A586" t="s">
        <v>132</v>
      </c>
      <c r="B586">
        <v>133000</v>
      </c>
    </row>
    <row r="587" spans="1:2" x14ac:dyDescent="0.25">
      <c r="A587" t="s">
        <v>115</v>
      </c>
      <c r="B587">
        <v>369900</v>
      </c>
    </row>
    <row r="588" spans="1:2" x14ac:dyDescent="0.25">
      <c r="A588" t="s">
        <v>115</v>
      </c>
      <c r="B588">
        <v>130000</v>
      </c>
    </row>
    <row r="589" spans="1:2" x14ac:dyDescent="0.25">
      <c r="A589" t="s">
        <v>191</v>
      </c>
      <c r="B589">
        <v>137000</v>
      </c>
    </row>
    <row r="590" spans="1:2" x14ac:dyDescent="0.25">
      <c r="A590" t="s">
        <v>115</v>
      </c>
      <c r="B590">
        <v>143000</v>
      </c>
    </row>
    <row r="591" spans="1:2" x14ac:dyDescent="0.25">
      <c r="A591" t="s">
        <v>115</v>
      </c>
      <c r="B591">
        <v>79500</v>
      </c>
    </row>
    <row r="592" spans="1:2" x14ac:dyDescent="0.25">
      <c r="A592" t="s">
        <v>92</v>
      </c>
      <c r="B592">
        <v>185900</v>
      </c>
    </row>
    <row r="593" spans="1:2" x14ac:dyDescent="0.25">
      <c r="A593" t="s">
        <v>92</v>
      </c>
      <c r="B593">
        <v>451950</v>
      </c>
    </row>
    <row r="594" spans="1:2" x14ac:dyDescent="0.25">
      <c r="A594" t="s">
        <v>115</v>
      </c>
      <c r="B594">
        <v>138000</v>
      </c>
    </row>
    <row r="595" spans="1:2" x14ac:dyDescent="0.25">
      <c r="A595" t="s">
        <v>115</v>
      </c>
      <c r="B595">
        <v>140000</v>
      </c>
    </row>
    <row r="596" spans="1:2" x14ac:dyDescent="0.25">
      <c r="A596" t="s">
        <v>115</v>
      </c>
      <c r="B596">
        <v>110000</v>
      </c>
    </row>
    <row r="597" spans="1:2" x14ac:dyDescent="0.25">
      <c r="A597" t="s">
        <v>115</v>
      </c>
      <c r="B597">
        <v>319000</v>
      </c>
    </row>
    <row r="598" spans="1:2" x14ac:dyDescent="0.25">
      <c r="A598" t="s">
        <v>92</v>
      </c>
      <c r="B598">
        <v>114504</v>
      </c>
    </row>
    <row r="599" spans="1:2" x14ac:dyDescent="0.25">
      <c r="A599" t="s">
        <v>115</v>
      </c>
      <c r="B599">
        <v>194201</v>
      </c>
    </row>
    <row r="600" spans="1:2" x14ac:dyDescent="0.25">
      <c r="A600" t="s">
        <v>115</v>
      </c>
      <c r="B600">
        <v>217500</v>
      </c>
    </row>
    <row r="601" spans="1:2" x14ac:dyDescent="0.25">
      <c r="A601" t="s">
        <v>92</v>
      </c>
      <c r="B601">
        <v>151000</v>
      </c>
    </row>
    <row r="602" spans="1:2" x14ac:dyDescent="0.25">
      <c r="A602" t="s">
        <v>92</v>
      </c>
      <c r="B602">
        <v>275000</v>
      </c>
    </row>
    <row r="603" spans="1:2" x14ac:dyDescent="0.25">
      <c r="A603" t="s">
        <v>132</v>
      </c>
      <c r="B603">
        <v>141000</v>
      </c>
    </row>
    <row r="604" spans="1:2" x14ac:dyDescent="0.25">
      <c r="A604" t="s">
        <v>92</v>
      </c>
      <c r="B604">
        <v>220000</v>
      </c>
    </row>
    <row r="605" spans="1:2" x14ac:dyDescent="0.25">
      <c r="A605" t="s">
        <v>92</v>
      </c>
      <c r="B605">
        <v>151000</v>
      </c>
    </row>
    <row r="606" spans="1:2" x14ac:dyDescent="0.25">
      <c r="A606" t="s">
        <v>115</v>
      </c>
      <c r="B606">
        <v>221000</v>
      </c>
    </row>
    <row r="607" spans="1:2" x14ac:dyDescent="0.25">
      <c r="A607" t="s">
        <v>92</v>
      </c>
      <c r="B607">
        <v>205000</v>
      </c>
    </row>
    <row r="608" spans="1:2" x14ac:dyDescent="0.25">
      <c r="A608" t="s">
        <v>115</v>
      </c>
      <c r="B608">
        <v>152000</v>
      </c>
    </row>
    <row r="609" spans="1:2" x14ac:dyDescent="0.25">
      <c r="A609" t="s">
        <v>92</v>
      </c>
      <c r="B609">
        <v>225000</v>
      </c>
    </row>
    <row r="610" spans="1:2" x14ac:dyDescent="0.25">
      <c r="A610" t="s">
        <v>92</v>
      </c>
      <c r="B610">
        <v>359100</v>
      </c>
    </row>
    <row r="611" spans="1:2" x14ac:dyDescent="0.25">
      <c r="A611" t="s">
        <v>115</v>
      </c>
      <c r="B611">
        <v>118500</v>
      </c>
    </row>
    <row r="612" spans="1:2" x14ac:dyDescent="0.25">
      <c r="A612" t="s">
        <v>92</v>
      </c>
      <c r="B612">
        <v>313000</v>
      </c>
    </row>
    <row r="613" spans="1:2" x14ac:dyDescent="0.25">
      <c r="A613" t="s">
        <v>197</v>
      </c>
      <c r="B613">
        <v>148000</v>
      </c>
    </row>
    <row r="614" spans="1:2" x14ac:dyDescent="0.25">
      <c r="A614" t="s">
        <v>92</v>
      </c>
      <c r="B614">
        <v>261500</v>
      </c>
    </row>
    <row r="615" spans="1:2" x14ac:dyDescent="0.25">
      <c r="A615" t="s">
        <v>115</v>
      </c>
      <c r="B615">
        <v>147000</v>
      </c>
    </row>
    <row r="616" spans="1:2" x14ac:dyDescent="0.25">
      <c r="A616" t="s">
        <v>191</v>
      </c>
      <c r="B616">
        <v>75500</v>
      </c>
    </row>
    <row r="617" spans="1:2" x14ac:dyDescent="0.25">
      <c r="A617" t="s">
        <v>191</v>
      </c>
      <c r="B617">
        <v>137500</v>
      </c>
    </row>
    <row r="618" spans="1:2" x14ac:dyDescent="0.25">
      <c r="A618" t="s">
        <v>92</v>
      </c>
      <c r="B618">
        <v>183200</v>
      </c>
    </row>
    <row r="619" spans="1:2" x14ac:dyDescent="0.25">
      <c r="A619" t="s">
        <v>150</v>
      </c>
      <c r="B619">
        <v>105500</v>
      </c>
    </row>
    <row r="620" spans="1:2" x14ac:dyDescent="0.25">
      <c r="A620" t="s">
        <v>115</v>
      </c>
      <c r="B620">
        <v>314813</v>
      </c>
    </row>
    <row r="621" spans="1:2" x14ac:dyDescent="0.25">
      <c r="A621" t="s">
        <v>92</v>
      </c>
      <c r="B621">
        <v>305000</v>
      </c>
    </row>
    <row r="622" spans="1:2" x14ac:dyDescent="0.25">
      <c r="A622" t="s">
        <v>115</v>
      </c>
      <c r="B622">
        <v>67000</v>
      </c>
    </row>
    <row r="623" spans="1:2" x14ac:dyDescent="0.25">
      <c r="A623" t="s">
        <v>92</v>
      </c>
      <c r="B623">
        <v>240000</v>
      </c>
    </row>
    <row r="624" spans="1:2" x14ac:dyDescent="0.25">
      <c r="A624" t="s">
        <v>115</v>
      </c>
      <c r="B624">
        <v>135000</v>
      </c>
    </row>
    <row r="625" spans="1:2" x14ac:dyDescent="0.25">
      <c r="A625" t="s">
        <v>92</v>
      </c>
      <c r="B625">
        <v>168500</v>
      </c>
    </row>
    <row r="626" spans="1:2" x14ac:dyDescent="0.25">
      <c r="A626" t="s">
        <v>92</v>
      </c>
      <c r="B626">
        <v>165150</v>
      </c>
    </row>
    <row r="627" spans="1:2" x14ac:dyDescent="0.25">
      <c r="A627" t="s">
        <v>115</v>
      </c>
      <c r="B627">
        <v>160000</v>
      </c>
    </row>
    <row r="628" spans="1:2" x14ac:dyDescent="0.25">
      <c r="A628" t="s">
        <v>115</v>
      </c>
      <c r="B628">
        <v>139900</v>
      </c>
    </row>
    <row r="629" spans="1:2" x14ac:dyDescent="0.25">
      <c r="A629" t="s">
        <v>197</v>
      </c>
      <c r="B629">
        <v>153000</v>
      </c>
    </row>
    <row r="630" spans="1:2" x14ac:dyDescent="0.25">
      <c r="A630" t="s">
        <v>92</v>
      </c>
      <c r="B630">
        <v>135000</v>
      </c>
    </row>
    <row r="631" spans="1:2" x14ac:dyDescent="0.25">
      <c r="A631" t="s">
        <v>197</v>
      </c>
      <c r="B631">
        <v>168500</v>
      </c>
    </row>
    <row r="632" spans="1:2" x14ac:dyDescent="0.25">
      <c r="A632" t="s">
        <v>92</v>
      </c>
      <c r="B632">
        <v>124000</v>
      </c>
    </row>
    <row r="633" spans="1:2" x14ac:dyDescent="0.25">
      <c r="A633" t="s">
        <v>115</v>
      </c>
      <c r="B633">
        <v>209500</v>
      </c>
    </row>
    <row r="634" spans="1:2" x14ac:dyDescent="0.25">
      <c r="A634" t="s">
        <v>115</v>
      </c>
      <c r="B634">
        <v>82500</v>
      </c>
    </row>
    <row r="635" spans="1:2" x14ac:dyDescent="0.25">
      <c r="A635" t="s">
        <v>115</v>
      </c>
      <c r="B635">
        <v>139400</v>
      </c>
    </row>
    <row r="636" spans="1:2" x14ac:dyDescent="0.25">
      <c r="A636" t="s">
        <v>191</v>
      </c>
      <c r="B636">
        <v>144000</v>
      </c>
    </row>
    <row r="637" spans="1:2" x14ac:dyDescent="0.25">
      <c r="A637" t="s">
        <v>225</v>
      </c>
      <c r="B637">
        <v>200000</v>
      </c>
    </row>
    <row r="638" spans="1:2" x14ac:dyDescent="0.25">
      <c r="A638" t="s">
        <v>115</v>
      </c>
      <c r="B638">
        <v>60000</v>
      </c>
    </row>
    <row r="639" spans="1:2" x14ac:dyDescent="0.25">
      <c r="A639" t="s">
        <v>132</v>
      </c>
      <c r="B639">
        <v>93000</v>
      </c>
    </row>
    <row r="640" spans="1:2" x14ac:dyDescent="0.25">
      <c r="A640" t="s">
        <v>115</v>
      </c>
      <c r="B640">
        <v>85000</v>
      </c>
    </row>
    <row r="641" spans="1:2" x14ac:dyDescent="0.25">
      <c r="A641" t="s">
        <v>115</v>
      </c>
      <c r="B641">
        <v>264561</v>
      </c>
    </row>
    <row r="642" spans="1:2" x14ac:dyDescent="0.25">
      <c r="A642" t="s">
        <v>115</v>
      </c>
      <c r="B642">
        <v>274000</v>
      </c>
    </row>
    <row r="643" spans="1:2" x14ac:dyDescent="0.25">
      <c r="A643" t="s">
        <v>92</v>
      </c>
      <c r="B643">
        <v>226000</v>
      </c>
    </row>
    <row r="644" spans="1:2" x14ac:dyDescent="0.25">
      <c r="A644" t="s">
        <v>197</v>
      </c>
      <c r="B644">
        <v>345000</v>
      </c>
    </row>
    <row r="645" spans="1:2" x14ac:dyDescent="0.25">
      <c r="A645" t="s">
        <v>92</v>
      </c>
      <c r="B645">
        <v>152000</v>
      </c>
    </row>
    <row r="646" spans="1:2" x14ac:dyDescent="0.25">
      <c r="A646" t="s">
        <v>115</v>
      </c>
      <c r="B646">
        <v>370878</v>
      </c>
    </row>
    <row r="647" spans="1:2" x14ac:dyDescent="0.25">
      <c r="A647" t="s">
        <v>115</v>
      </c>
      <c r="B647">
        <v>143250</v>
      </c>
    </row>
    <row r="648" spans="1:2" x14ac:dyDescent="0.25">
      <c r="A648" t="s">
        <v>115</v>
      </c>
      <c r="B648">
        <v>98300</v>
      </c>
    </row>
    <row r="649" spans="1:2" x14ac:dyDescent="0.25">
      <c r="A649" t="s">
        <v>115</v>
      </c>
      <c r="B649">
        <v>155000</v>
      </c>
    </row>
    <row r="650" spans="1:2" x14ac:dyDescent="0.25">
      <c r="A650" t="s">
        <v>92</v>
      </c>
      <c r="B650">
        <v>155000</v>
      </c>
    </row>
    <row r="651" spans="1:2" x14ac:dyDescent="0.25">
      <c r="A651" t="s">
        <v>191</v>
      </c>
      <c r="B651">
        <v>84500</v>
      </c>
    </row>
    <row r="652" spans="1:2" x14ac:dyDescent="0.25">
      <c r="A652" t="s">
        <v>92</v>
      </c>
      <c r="B652">
        <v>205950</v>
      </c>
    </row>
    <row r="653" spans="1:2" x14ac:dyDescent="0.25">
      <c r="A653" t="s">
        <v>92</v>
      </c>
      <c r="B653">
        <v>108000</v>
      </c>
    </row>
    <row r="654" spans="1:2" x14ac:dyDescent="0.25">
      <c r="A654" t="s">
        <v>92</v>
      </c>
      <c r="B654">
        <v>191000</v>
      </c>
    </row>
    <row r="655" spans="1:2" x14ac:dyDescent="0.25">
      <c r="A655" t="s">
        <v>132</v>
      </c>
      <c r="B655">
        <v>135000</v>
      </c>
    </row>
    <row r="656" spans="1:2" x14ac:dyDescent="0.25">
      <c r="A656" t="s">
        <v>115</v>
      </c>
      <c r="B656">
        <v>350000</v>
      </c>
    </row>
    <row r="657" spans="1:2" x14ac:dyDescent="0.25">
      <c r="A657" t="s">
        <v>92</v>
      </c>
      <c r="B657">
        <v>88000</v>
      </c>
    </row>
    <row r="658" spans="1:2" x14ac:dyDescent="0.25">
      <c r="A658" t="s">
        <v>115</v>
      </c>
      <c r="B658">
        <v>145500</v>
      </c>
    </row>
    <row r="659" spans="1:2" x14ac:dyDescent="0.25">
      <c r="A659" t="s">
        <v>92</v>
      </c>
      <c r="B659">
        <v>149000</v>
      </c>
    </row>
    <row r="660" spans="1:2" x14ac:dyDescent="0.25">
      <c r="A660" t="s">
        <v>132</v>
      </c>
      <c r="B660">
        <v>97500</v>
      </c>
    </row>
    <row r="661" spans="1:2" x14ac:dyDescent="0.25">
      <c r="A661" t="s">
        <v>115</v>
      </c>
      <c r="B661">
        <v>167000</v>
      </c>
    </row>
    <row r="662" spans="1:2" x14ac:dyDescent="0.25">
      <c r="A662" t="s">
        <v>92</v>
      </c>
      <c r="B662">
        <v>197900</v>
      </c>
    </row>
    <row r="663" spans="1:2" x14ac:dyDescent="0.25">
      <c r="A663" t="s">
        <v>92</v>
      </c>
      <c r="B663">
        <v>402000</v>
      </c>
    </row>
    <row r="664" spans="1:2" x14ac:dyDescent="0.25">
      <c r="A664" t="s">
        <v>115</v>
      </c>
      <c r="B664">
        <v>110000</v>
      </c>
    </row>
    <row r="665" spans="1:2" x14ac:dyDescent="0.25">
      <c r="A665" t="s">
        <v>191</v>
      </c>
      <c r="B665">
        <v>137500</v>
      </c>
    </row>
    <row r="666" spans="1:2" x14ac:dyDescent="0.25">
      <c r="A666" t="s">
        <v>115</v>
      </c>
      <c r="B666">
        <v>423000</v>
      </c>
    </row>
    <row r="667" spans="1:2" x14ac:dyDescent="0.25">
      <c r="A667" t="s">
        <v>92</v>
      </c>
      <c r="B667">
        <v>230500</v>
      </c>
    </row>
    <row r="668" spans="1:2" x14ac:dyDescent="0.25">
      <c r="A668" t="s">
        <v>92</v>
      </c>
      <c r="B668">
        <v>129000</v>
      </c>
    </row>
    <row r="669" spans="1:2" x14ac:dyDescent="0.25">
      <c r="A669" t="s">
        <v>115</v>
      </c>
      <c r="B669">
        <v>193500</v>
      </c>
    </row>
    <row r="670" spans="1:2" x14ac:dyDescent="0.25">
      <c r="A670" t="s">
        <v>115</v>
      </c>
      <c r="B670">
        <v>168000</v>
      </c>
    </row>
    <row r="671" spans="1:2" x14ac:dyDescent="0.25">
      <c r="A671" t="s">
        <v>115</v>
      </c>
      <c r="B671">
        <v>137500</v>
      </c>
    </row>
    <row r="672" spans="1:2" x14ac:dyDescent="0.25">
      <c r="A672" t="s">
        <v>92</v>
      </c>
      <c r="B672">
        <v>173500</v>
      </c>
    </row>
    <row r="673" spans="1:2" x14ac:dyDescent="0.25">
      <c r="A673" t="s">
        <v>92</v>
      </c>
      <c r="B673">
        <v>103600</v>
      </c>
    </row>
    <row r="674" spans="1:2" x14ac:dyDescent="0.25">
      <c r="A674" t="s">
        <v>115</v>
      </c>
      <c r="B674">
        <v>165000</v>
      </c>
    </row>
    <row r="675" spans="1:2" x14ac:dyDescent="0.25">
      <c r="A675" t="s">
        <v>115</v>
      </c>
      <c r="B675">
        <v>257500</v>
      </c>
    </row>
    <row r="676" spans="1:2" x14ac:dyDescent="0.25">
      <c r="A676" t="s">
        <v>115</v>
      </c>
      <c r="B676">
        <v>140000</v>
      </c>
    </row>
    <row r="677" spans="1:2" x14ac:dyDescent="0.25">
      <c r="A677" t="s">
        <v>92</v>
      </c>
      <c r="B677">
        <v>148500</v>
      </c>
    </row>
    <row r="678" spans="1:2" x14ac:dyDescent="0.25">
      <c r="A678" t="s">
        <v>92</v>
      </c>
      <c r="B678">
        <v>87000</v>
      </c>
    </row>
    <row r="679" spans="1:2" x14ac:dyDescent="0.25">
      <c r="A679" t="s">
        <v>115</v>
      </c>
      <c r="B679">
        <v>109500</v>
      </c>
    </row>
    <row r="680" spans="1:2" x14ac:dyDescent="0.25">
      <c r="A680" t="s">
        <v>115</v>
      </c>
      <c r="B680">
        <v>372500</v>
      </c>
    </row>
    <row r="681" spans="1:2" x14ac:dyDescent="0.25">
      <c r="A681" t="s">
        <v>115</v>
      </c>
      <c r="B681">
        <v>128500</v>
      </c>
    </row>
    <row r="682" spans="1:2" x14ac:dyDescent="0.25">
      <c r="A682" t="s">
        <v>115</v>
      </c>
      <c r="B682">
        <v>143000</v>
      </c>
    </row>
    <row r="683" spans="1:2" x14ac:dyDescent="0.25">
      <c r="A683" t="s">
        <v>132</v>
      </c>
      <c r="B683">
        <v>159434</v>
      </c>
    </row>
    <row r="684" spans="1:2" x14ac:dyDescent="0.25">
      <c r="A684" t="s">
        <v>115</v>
      </c>
      <c r="B684">
        <v>173000</v>
      </c>
    </row>
    <row r="685" spans="1:2" x14ac:dyDescent="0.25">
      <c r="A685" t="s">
        <v>115</v>
      </c>
      <c r="B685">
        <v>285000</v>
      </c>
    </row>
    <row r="686" spans="1:2" x14ac:dyDescent="0.25">
      <c r="A686" t="s">
        <v>92</v>
      </c>
      <c r="B686">
        <v>221000</v>
      </c>
    </row>
    <row r="687" spans="1:2" x14ac:dyDescent="0.25">
      <c r="A687" t="s">
        <v>92</v>
      </c>
      <c r="B687">
        <v>207500</v>
      </c>
    </row>
    <row r="688" spans="1:2" x14ac:dyDescent="0.25">
      <c r="A688" t="s">
        <v>92</v>
      </c>
      <c r="B688">
        <v>227875</v>
      </c>
    </row>
    <row r="689" spans="1:2" x14ac:dyDescent="0.25">
      <c r="A689" t="s">
        <v>92</v>
      </c>
      <c r="B689">
        <v>148800</v>
      </c>
    </row>
    <row r="690" spans="1:2" x14ac:dyDescent="0.25">
      <c r="A690" t="s">
        <v>115</v>
      </c>
      <c r="B690">
        <v>392000</v>
      </c>
    </row>
    <row r="691" spans="1:2" x14ac:dyDescent="0.25">
      <c r="A691" t="s">
        <v>115</v>
      </c>
      <c r="B691">
        <v>194700</v>
      </c>
    </row>
    <row r="692" spans="1:2" x14ac:dyDescent="0.25">
      <c r="A692" t="s">
        <v>115</v>
      </c>
      <c r="B692">
        <v>141000</v>
      </c>
    </row>
    <row r="693" spans="1:2" x14ac:dyDescent="0.25">
      <c r="A693" t="s">
        <v>92</v>
      </c>
      <c r="B693">
        <v>755000</v>
      </c>
    </row>
    <row r="694" spans="1:2" x14ac:dyDescent="0.25">
      <c r="A694" t="s">
        <v>92</v>
      </c>
      <c r="B694">
        <v>335000</v>
      </c>
    </row>
    <row r="695" spans="1:2" x14ac:dyDescent="0.25">
      <c r="A695" t="s">
        <v>115</v>
      </c>
      <c r="B695">
        <v>108480</v>
      </c>
    </row>
    <row r="696" spans="1:2" x14ac:dyDescent="0.25">
      <c r="A696" t="s">
        <v>132</v>
      </c>
      <c r="B696">
        <v>141500</v>
      </c>
    </row>
    <row r="697" spans="1:2" x14ac:dyDescent="0.25">
      <c r="A697" t="s">
        <v>115</v>
      </c>
      <c r="B697">
        <v>176000</v>
      </c>
    </row>
    <row r="698" spans="1:2" x14ac:dyDescent="0.25">
      <c r="A698" t="s">
        <v>115</v>
      </c>
      <c r="B698">
        <v>89000</v>
      </c>
    </row>
    <row r="699" spans="1:2" x14ac:dyDescent="0.25">
      <c r="A699" t="s">
        <v>115</v>
      </c>
      <c r="B699">
        <v>123500</v>
      </c>
    </row>
    <row r="700" spans="1:2" x14ac:dyDescent="0.25">
      <c r="A700" t="s">
        <v>115</v>
      </c>
      <c r="B700">
        <v>138500</v>
      </c>
    </row>
    <row r="701" spans="1:2" x14ac:dyDescent="0.25">
      <c r="A701" t="s">
        <v>115</v>
      </c>
      <c r="B701">
        <v>196000</v>
      </c>
    </row>
    <row r="702" spans="1:2" x14ac:dyDescent="0.25">
      <c r="A702" t="s">
        <v>115</v>
      </c>
      <c r="B702">
        <v>312500</v>
      </c>
    </row>
    <row r="703" spans="1:2" x14ac:dyDescent="0.25">
      <c r="A703" t="s">
        <v>115</v>
      </c>
      <c r="B703">
        <v>140000</v>
      </c>
    </row>
    <row r="704" spans="1:2" x14ac:dyDescent="0.25">
      <c r="A704" t="s">
        <v>92</v>
      </c>
      <c r="B704">
        <v>361919</v>
      </c>
    </row>
    <row r="705" spans="1:2" x14ac:dyDescent="0.25">
      <c r="A705" t="s">
        <v>92</v>
      </c>
      <c r="B705">
        <v>140000</v>
      </c>
    </row>
    <row r="706" spans="1:2" x14ac:dyDescent="0.25">
      <c r="A706" t="s">
        <v>115</v>
      </c>
      <c r="B706">
        <v>213000</v>
      </c>
    </row>
    <row r="707" spans="1:2" x14ac:dyDescent="0.25">
      <c r="A707" t="s">
        <v>92</v>
      </c>
      <c r="B707">
        <v>55000</v>
      </c>
    </row>
    <row r="708" spans="1:2" x14ac:dyDescent="0.25">
      <c r="A708" t="s">
        <v>115</v>
      </c>
      <c r="B708">
        <v>302000</v>
      </c>
    </row>
    <row r="709" spans="1:2" x14ac:dyDescent="0.25">
      <c r="A709" t="s">
        <v>115</v>
      </c>
      <c r="B709">
        <v>254000</v>
      </c>
    </row>
    <row r="710" spans="1:2" x14ac:dyDescent="0.25">
      <c r="A710" t="s">
        <v>92</v>
      </c>
      <c r="B710">
        <v>179540</v>
      </c>
    </row>
    <row r="711" spans="1:2" x14ac:dyDescent="0.25">
      <c r="A711" t="s">
        <v>115</v>
      </c>
      <c r="B711">
        <v>109900</v>
      </c>
    </row>
    <row r="712" spans="1:2" x14ac:dyDescent="0.25">
      <c r="A712" t="s">
        <v>115</v>
      </c>
      <c r="B712">
        <v>52000</v>
      </c>
    </row>
    <row r="713" spans="1:2" x14ac:dyDescent="0.25">
      <c r="A713" t="s">
        <v>132</v>
      </c>
      <c r="B713">
        <v>102776</v>
      </c>
    </row>
    <row r="714" spans="1:2" x14ac:dyDescent="0.25">
      <c r="A714" t="s">
        <v>115</v>
      </c>
      <c r="B714">
        <v>189000</v>
      </c>
    </row>
    <row r="715" spans="1:2" x14ac:dyDescent="0.25">
      <c r="A715" t="s">
        <v>115</v>
      </c>
      <c r="B715">
        <v>129000</v>
      </c>
    </row>
    <row r="716" spans="1:2" x14ac:dyDescent="0.25">
      <c r="A716" t="s">
        <v>92</v>
      </c>
      <c r="B716">
        <v>130500</v>
      </c>
    </row>
    <row r="717" spans="1:2" x14ac:dyDescent="0.25">
      <c r="A717" t="s">
        <v>115</v>
      </c>
      <c r="B717">
        <v>165000</v>
      </c>
    </row>
    <row r="718" spans="1:2" x14ac:dyDescent="0.25">
      <c r="A718" t="s">
        <v>92</v>
      </c>
      <c r="B718">
        <v>159500</v>
      </c>
    </row>
    <row r="719" spans="1:2" x14ac:dyDescent="0.25">
      <c r="A719" t="s">
        <v>115</v>
      </c>
      <c r="B719">
        <v>157000</v>
      </c>
    </row>
    <row r="720" spans="1:2" x14ac:dyDescent="0.25">
      <c r="A720" t="s">
        <v>92</v>
      </c>
      <c r="B720">
        <v>341000</v>
      </c>
    </row>
    <row r="721" spans="1:2" x14ac:dyDescent="0.25">
      <c r="A721" t="s">
        <v>115</v>
      </c>
      <c r="B721">
        <v>128500</v>
      </c>
    </row>
    <row r="722" spans="1:2" x14ac:dyDescent="0.25">
      <c r="A722" t="s">
        <v>115</v>
      </c>
      <c r="B722">
        <v>275000</v>
      </c>
    </row>
    <row r="723" spans="1:2" x14ac:dyDescent="0.25">
      <c r="A723" t="s">
        <v>115</v>
      </c>
      <c r="B723">
        <v>143000</v>
      </c>
    </row>
    <row r="724" spans="1:2" x14ac:dyDescent="0.25">
      <c r="A724" t="s">
        <v>115</v>
      </c>
      <c r="B724">
        <v>124500</v>
      </c>
    </row>
    <row r="725" spans="1:2" x14ac:dyDescent="0.25">
      <c r="A725" t="s">
        <v>132</v>
      </c>
      <c r="B725">
        <v>135000</v>
      </c>
    </row>
    <row r="726" spans="1:2" x14ac:dyDescent="0.25">
      <c r="A726" t="s">
        <v>115</v>
      </c>
      <c r="B726">
        <v>320000</v>
      </c>
    </row>
    <row r="727" spans="1:2" x14ac:dyDescent="0.25">
      <c r="A727" t="s">
        <v>115</v>
      </c>
      <c r="B727">
        <v>120500</v>
      </c>
    </row>
    <row r="728" spans="1:2" x14ac:dyDescent="0.25">
      <c r="A728" t="s">
        <v>115</v>
      </c>
      <c r="B728">
        <v>222000</v>
      </c>
    </row>
    <row r="729" spans="1:2" x14ac:dyDescent="0.25">
      <c r="A729" t="s">
        <v>115</v>
      </c>
      <c r="B729">
        <v>194500</v>
      </c>
    </row>
    <row r="730" spans="1:2" x14ac:dyDescent="0.25">
      <c r="A730" t="s">
        <v>115</v>
      </c>
      <c r="B730">
        <v>110000</v>
      </c>
    </row>
    <row r="731" spans="1:2" x14ac:dyDescent="0.25">
      <c r="A731" t="s">
        <v>132</v>
      </c>
      <c r="B731">
        <v>103000</v>
      </c>
    </row>
    <row r="732" spans="1:2" x14ac:dyDescent="0.25">
      <c r="A732" t="s">
        <v>115</v>
      </c>
      <c r="B732">
        <v>236500</v>
      </c>
    </row>
    <row r="733" spans="1:2" x14ac:dyDescent="0.25">
      <c r="A733" t="s">
        <v>197</v>
      </c>
      <c r="B733">
        <v>187500</v>
      </c>
    </row>
    <row r="734" spans="1:2" x14ac:dyDescent="0.25">
      <c r="A734" t="s">
        <v>92</v>
      </c>
      <c r="B734">
        <v>222500</v>
      </c>
    </row>
    <row r="735" spans="1:2" x14ac:dyDescent="0.25">
      <c r="A735" t="s">
        <v>115</v>
      </c>
      <c r="B735">
        <v>131400</v>
      </c>
    </row>
    <row r="736" spans="1:2" x14ac:dyDescent="0.25">
      <c r="A736" t="s">
        <v>115</v>
      </c>
      <c r="B736">
        <v>108000</v>
      </c>
    </row>
    <row r="737" spans="1:2" x14ac:dyDescent="0.25">
      <c r="A737" t="s">
        <v>201</v>
      </c>
      <c r="B737">
        <v>163000</v>
      </c>
    </row>
    <row r="738" spans="1:2" x14ac:dyDescent="0.25">
      <c r="A738" t="s">
        <v>115</v>
      </c>
      <c r="B738">
        <v>93500</v>
      </c>
    </row>
    <row r="739" spans="1:2" x14ac:dyDescent="0.25">
      <c r="A739" t="s">
        <v>92</v>
      </c>
      <c r="B739">
        <v>239900</v>
      </c>
    </row>
    <row r="740" spans="1:2" x14ac:dyDescent="0.25">
      <c r="A740" t="s">
        <v>115</v>
      </c>
      <c r="B740">
        <v>179000</v>
      </c>
    </row>
    <row r="741" spans="1:2" x14ac:dyDescent="0.25">
      <c r="A741" t="s">
        <v>92</v>
      </c>
      <c r="B741">
        <v>190000</v>
      </c>
    </row>
    <row r="742" spans="1:2" x14ac:dyDescent="0.25">
      <c r="A742" t="s">
        <v>92</v>
      </c>
      <c r="B742">
        <v>132000</v>
      </c>
    </row>
    <row r="743" spans="1:2" x14ac:dyDescent="0.25">
      <c r="A743" t="s">
        <v>115</v>
      </c>
      <c r="B743">
        <v>142000</v>
      </c>
    </row>
    <row r="744" spans="1:2" x14ac:dyDescent="0.25">
      <c r="A744" t="s">
        <v>115</v>
      </c>
      <c r="B744">
        <v>179000</v>
      </c>
    </row>
    <row r="745" spans="1:2" x14ac:dyDescent="0.25">
      <c r="A745" t="s">
        <v>197</v>
      </c>
      <c r="B745">
        <v>175000</v>
      </c>
    </row>
    <row r="746" spans="1:2" x14ac:dyDescent="0.25">
      <c r="A746" t="s">
        <v>115</v>
      </c>
      <c r="B746">
        <v>180000</v>
      </c>
    </row>
    <row r="747" spans="1:2" x14ac:dyDescent="0.25">
      <c r="A747" t="s">
        <v>92</v>
      </c>
      <c r="B747">
        <v>299800</v>
      </c>
    </row>
    <row r="748" spans="1:2" x14ac:dyDescent="0.25">
      <c r="A748" t="s">
        <v>92</v>
      </c>
      <c r="B748">
        <v>236000</v>
      </c>
    </row>
    <row r="749" spans="1:2" x14ac:dyDescent="0.25">
      <c r="A749" t="s">
        <v>92</v>
      </c>
      <c r="B749">
        <v>265979</v>
      </c>
    </row>
    <row r="750" spans="1:2" x14ac:dyDescent="0.25">
      <c r="A750" t="s">
        <v>115</v>
      </c>
      <c r="B750">
        <v>260400</v>
      </c>
    </row>
    <row r="751" spans="1:2" x14ac:dyDescent="0.25">
      <c r="A751" t="s">
        <v>132</v>
      </c>
      <c r="B751">
        <v>98000</v>
      </c>
    </row>
    <row r="752" spans="1:2" x14ac:dyDescent="0.25">
      <c r="A752" t="s">
        <v>132</v>
      </c>
      <c r="B752">
        <v>96500</v>
      </c>
    </row>
    <row r="753" spans="1:2" x14ac:dyDescent="0.25">
      <c r="A753" t="s">
        <v>92</v>
      </c>
      <c r="B753">
        <v>162000</v>
      </c>
    </row>
    <row r="754" spans="1:2" x14ac:dyDescent="0.25">
      <c r="A754" t="s">
        <v>115</v>
      </c>
      <c r="B754">
        <v>217000</v>
      </c>
    </row>
    <row r="755" spans="1:2" x14ac:dyDescent="0.25">
      <c r="A755" t="s">
        <v>92</v>
      </c>
      <c r="B755">
        <v>275500</v>
      </c>
    </row>
    <row r="756" spans="1:2" x14ac:dyDescent="0.25">
      <c r="A756" t="s">
        <v>115</v>
      </c>
      <c r="B756">
        <v>156000</v>
      </c>
    </row>
    <row r="757" spans="1:2" x14ac:dyDescent="0.25">
      <c r="A757" t="s">
        <v>92</v>
      </c>
      <c r="B757">
        <v>172500</v>
      </c>
    </row>
    <row r="758" spans="1:2" x14ac:dyDescent="0.25">
      <c r="A758" t="s">
        <v>92</v>
      </c>
      <c r="B758">
        <v>212000</v>
      </c>
    </row>
    <row r="759" spans="1:2" x14ac:dyDescent="0.25">
      <c r="A759" t="s">
        <v>92</v>
      </c>
      <c r="B759">
        <v>158900</v>
      </c>
    </row>
    <row r="760" spans="1:2" x14ac:dyDescent="0.25">
      <c r="A760" t="s">
        <v>92</v>
      </c>
      <c r="B760">
        <v>179400</v>
      </c>
    </row>
    <row r="761" spans="1:2" x14ac:dyDescent="0.25">
      <c r="A761" t="s">
        <v>92</v>
      </c>
      <c r="B761">
        <v>290000</v>
      </c>
    </row>
    <row r="762" spans="1:2" x14ac:dyDescent="0.25">
      <c r="A762" t="s">
        <v>115</v>
      </c>
      <c r="B762">
        <v>127500</v>
      </c>
    </row>
    <row r="763" spans="1:2" x14ac:dyDescent="0.25">
      <c r="A763" t="s">
        <v>115</v>
      </c>
      <c r="B763">
        <v>100000</v>
      </c>
    </row>
    <row r="764" spans="1:2" x14ac:dyDescent="0.25">
      <c r="A764" t="s">
        <v>92</v>
      </c>
      <c r="B764">
        <v>215200</v>
      </c>
    </row>
    <row r="765" spans="1:2" x14ac:dyDescent="0.25">
      <c r="A765" t="s">
        <v>92</v>
      </c>
      <c r="B765">
        <v>337000</v>
      </c>
    </row>
    <row r="766" spans="1:2" x14ac:dyDescent="0.25">
      <c r="A766" t="s">
        <v>115</v>
      </c>
      <c r="B766">
        <v>270000</v>
      </c>
    </row>
    <row r="767" spans="1:2" x14ac:dyDescent="0.25">
      <c r="A767" t="s">
        <v>115</v>
      </c>
      <c r="B767">
        <v>264132</v>
      </c>
    </row>
    <row r="768" spans="1:2" x14ac:dyDescent="0.25">
      <c r="A768" t="s">
        <v>92</v>
      </c>
      <c r="B768">
        <v>196500</v>
      </c>
    </row>
    <row r="769" spans="1:2" x14ac:dyDescent="0.25">
      <c r="A769" t="s">
        <v>132</v>
      </c>
      <c r="B769">
        <v>160000</v>
      </c>
    </row>
    <row r="770" spans="1:2" x14ac:dyDescent="0.25">
      <c r="A770" t="s">
        <v>115</v>
      </c>
      <c r="B770">
        <v>216837</v>
      </c>
    </row>
    <row r="771" spans="1:2" x14ac:dyDescent="0.25">
      <c r="A771" t="s">
        <v>92</v>
      </c>
      <c r="B771">
        <v>538000</v>
      </c>
    </row>
    <row r="772" spans="1:2" x14ac:dyDescent="0.25">
      <c r="A772" t="s">
        <v>191</v>
      </c>
      <c r="B772">
        <v>134900</v>
      </c>
    </row>
    <row r="773" spans="1:2" x14ac:dyDescent="0.25">
      <c r="A773" t="s">
        <v>115</v>
      </c>
      <c r="B773">
        <v>102000</v>
      </c>
    </row>
    <row r="774" spans="1:2" x14ac:dyDescent="0.25">
      <c r="A774" t="s">
        <v>197</v>
      </c>
      <c r="B774">
        <v>107000</v>
      </c>
    </row>
    <row r="775" spans="1:2" x14ac:dyDescent="0.25">
      <c r="A775" t="s">
        <v>115</v>
      </c>
      <c r="B775">
        <v>114500</v>
      </c>
    </row>
    <row r="776" spans="1:2" x14ac:dyDescent="0.25">
      <c r="A776" t="s">
        <v>115</v>
      </c>
      <c r="B776">
        <v>395000</v>
      </c>
    </row>
    <row r="777" spans="1:2" x14ac:dyDescent="0.25">
      <c r="A777" t="s">
        <v>115</v>
      </c>
      <c r="B777">
        <v>162000</v>
      </c>
    </row>
    <row r="778" spans="1:2" x14ac:dyDescent="0.25">
      <c r="A778" t="s">
        <v>115</v>
      </c>
      <c r="B778">
        <v>221500</v>
      </c>
    </row>
    <row r="779" spans="1:2" x14ac:dyDescent="0.25">
      <c r="A779" t="s">
        <v>115</v>
      </c>
      <c r="B779">
        <v>142500</v>
      </c>
    </row>
    <row r="780" spans="1:2" x14ac:dyDescent="0.25">
      <c r="A780" t="s">
        <v>115</v>
      </c>
      <c r="B780">
        <v>144000</v>
      </c>
    </row>
    <row r="781" spans="1:2" x14ac:dyDescent="0.25">
      <c r="A781" t="s">
        <v>191</v>
      </c>
      <c r="B781">
        <v>135000</v>
      </c>
    </row>
    <row r="782" spans="1:2" x14ac:dyDescent="0.25">
      <c r="A782" t="s">
        <v>115</v>
      </c>
      <c r="B782">
        <v>176000</v>
      </c>
    </row>
    <row r="783" spans="1:2" x14ac:dyDescent="0.25">
      <c r="A783" t="s">
        <v>92</v>
      </c>
      <c r="B783">
        <v>175900</v>
      </c>
    </row>
    <row r="784" spans="1:2" x14ac:dyDescent="0.25">
      <c r="A784" t="s">
        <v>115</v>
      </c>
      <c r="B784">
        <v>187100</v>
      </c>
    </row>
    <row r="785" spans="1:2" x14ac:dyDescent="0.25">
      <c r="A785" t="s">
        <v>191</v>
      </c>
      <c r="B785">
        <v>165500</v>
      </c>
    </row>
    <row r="786" spans="1:2" x14ac:dyDescent="0.25">
      <c r="A786" t="s">
        <v>201</v>
      </c>
      <c r="B786">
        <v>128000</v>
      </c>
    </row>
    <row r="787" spans="1:2" x14ac:dyDescent="0.25">
      <c r="A787" t="s">
        <v>115</v>
      </c>
      <c r="B787">
        <v>161500</v>
      </c>
    </row>
    <row r="788" spans="1:2" x14ac:dyDescent="0.25">
      <c r="A788" t="s">
        <v>132</v>
      </c>
      <c r="B788">
        <v>139000</v>
      </c>
    </row>
    <row r="789" spans="1:2" x14ac:dyDescent="0.25">
      <c r="A789" t="s">
        <v>92</v>
      </c>
      <c r="B789">
        <v>233000</v>
      </c>
    </row>
    <row r="790" spans="1:2" x14ac:dyDescent="0.25">
      <c r="A790" t="s">
        <v>115</v>
      </c>
      <c r="B790">
        <v>107900</v>
      </c>
    </row>
    <row r="791" spans="1:2" x14ac:dyDescent="0.25">
      <c r="A791" t="s">
        <v>92</v>
      </c>
      <c r="B791">
        <v>187500</v>
      </c>
    </row>
    <row r="792" spans="1:2" x14ac:dyDescent="0.25">
      <c r="A792" t="s">
        <v>115</v>
      </c>
      <c r="B792">
        <v>160200</v>
      </c>
    </row>
    <row r="793" spans="1:2" x14ac:dyDescent="0.25">
      <c r="A793" t="s">
        <v>197</v>
      </c>
      <c r="B793">
        <v>146800</v>
      </c>
    </row>
    <row r="794" spans="1:2" x14ac:dyDescent="0.25">
      <c r="A794" t="s">
        <v>92</v>
      </c>
      <c r="B794">
        <v>269790</v>
      </c>
    </row>
    <row r="795" spans="1:2" x14ac:dyDescent="0.25">
      <c r="A795" t="s">
        <v>115</v>
      </c>
      <c r="B795">
        <v>225000</v>
      </c>
    </row>
    <row r="796" spans="1:2" x14ac:dyDescent="0.25">
      <c r="A796" t="s">
        <v>92</v>
      </c>
      <c r="B796">
        <v>194500</v>
      </c>
    </row>
    <row r="797" spans="1:2" x14ac:dyDescent="0.25">
      <c r="A797" t="s">
        <v>92</v>
      </c>
      <c r="B797">
        <v>171000</v>
      </c>
    </row>
    <row r="798" spans="1:2" x14ac:dyDescent="0.25">
      <c r="A798" t="s">
        <v>115</v>
      </c>
      <c r="B798">
        <v>143500</v>
      </c>
    </row>
    <row r="799" spans="1:2" x14ac:dyDescent="0.25">
      <c r="A799" t="s">
        <v>115</v>
      </c>
      <c r="B799">
        <v>110000</v>
      </c>
    </row>
    <row r="800" spans="1:2" x14ac:dyDescent="0.25">
      <c r="A800" t="s">
        <v>92</v>
      </c>
      <c r="B800">
        <v>485000</v>
      </c>
    </row>
    <row r="801" spans="1:2" x14ac:dyDescent="0.25">
      <c r="A801" t="s">
        <v>132</v>
      </c>
      <c r="B801">
        <v>175000</v>
      </c>
    </row>
    <row r="802" spans="1:2" x14ac:dyDescent="0.25">
      <c r="A802" t="s">
        <v>92</v>
      </c>
      <c r="B802">
        <v>200000</v>
      </c>
    </row>
    <row r="803" spans="1:2" x14ac:dyDescent="0.25">
      <c r="A803" t="s">
        <v>115</v>
      </c>
      <c r="B803">
        <v>109900</v>
      </c>
    </row>
    <row r="804" spans="1:2" x14ac:dyDescent="0.25">
      <c r="A804" t="s">
        <v>92</v>
      </c>
      <c r="B804">
        <v>189000</v>
      </c>
    </row>
    <row r="805" spans="1:2" x14ac:dyDescent="0.25">
      <c r="A805" t="s">
        <v>92</v>
      </c>
      <c r="B805">
        <v>582933</v>
      </c>
    </row>
    <row r="806" spans="1:2" x14ac:dyDescent="0.25">
      <c r="A806" t="s">
        <v>115</v>
      </c>
      <c r="B806">
        <v>118000</v>
      </c>
    </row>
    <row r="807" spans="1:2" x14ac:dyDescent="0.25">
      <c r="A807" t="s">
        <v>115</v>
      </c>
      <c r="B807">
        <v>227680</v>
      </c>
    </row>
    <row r="808" spans="1:2" x14ac:dyDescent="0.25">
      <c r="A808" t="s">
        <v>197</v>
      </c>
      <c r="B808">
        <v>135500</v>
      </c>
    </row>
    <row r="809" spans="1:2" x14ac:dyDescent="0.25">
      <c r="A809" t="s">
        <v>92</v>
      </c>
      <c r="B809">
        <v>223500</v>
      </c>
    </row>
    <row r="810" spans="1:2" x14ac:dyDescent="0.25">
      <c r="A810" t="s">
        <v>197</v>
      </c>
      <c r="B810">
        <v>159950</v>
      </c>
    </row>
    <row r="811" spans="1:2" x14ac:dyDescent="0.25">
      <c r="A811" t="s">
        <v>201</v>
      </c>
      <c r="B811">
        <v>106000</v>
      </c>
    </row>
    <row r="812" spans="1:2" x14ac:dyDescent="0.25">
      <c r="A812" t="s">
        <v>115</v>
      </c>
      <c r="B812">
        <v>181000</v>
      </c>
    </row>
    <row r="813" spans="1:2" x14ac:dyDescent="0.25">
      <c r="A813" t="s">
        <v>115</v>
      </c>
      <c r="B813">
        <v>144500</v>
      </c>
    </row>
    <row r="814" spans="1:2" x14ac:dyDescent="0.25">
      <c r="A814" t="s">
        <v>115</v>
      </c>
      <c r="B814">
        <v>55993</v>
      </c>
    </row>
    <row r="815" spans="1:2" x14ac:dyDescent="0.25">
      <c r="A815" t="s">
        <v>115</v>
      </c>
      <c r="B815">
        <v>157900</v>
      </c>
    </row>
    <row r="816" spans="1:2" x14ac:dyDescent="0.25">
      <c r="A816" t="s">
        <v>132</v>
      </c>
      <c r="B816">
        <v>116000</v>
      </c>
    </row>
    <row r="817" spans="1:2" x14ac:dyDescent="0.25">
      <c r="A817" t="s">
        <v>115</v>
      </c>
      <c r="B817">
        <v>224900</v>
      </c>
    </row>
    <row r="818" spans="1:2" x14ac:dyDescent="0.25">
      <c r="A818" t="s">
        <v>115</v>
      </c>
      <c r="B818">
        <v>137000</v>
      </c>
    </row>
    <row r="819" spans="1:2" x14ac:dyDescent="0.25">
      <c r="A819" t="s">
        <v>115</v>
      </c>
      <c r="B819">
        <v>271000</v>
      </c>
    </row>
    <row r="820" spans="1:2" x14ac:dyDescent="0.25">
      <c r="A820" t="s">
        <v>197</v>
      </c>
      <c r="B820">
        <v>155000</v>
      </c>
    </row>
    <row r="821" spans="1:2" x14ac:dyDescent="0.25">
      <c r="A821" t="s">
        <v>115</v>
      </c>
      <c r="B821">
        <v>224000</v>
      </c>
    </row>
    <row r="822" spans="1:2" x14ac:dyDescent="0.25">
      <c r="A822" t="s">
        <v>92</v>
      </c>
      <c r="B822">
        <v>183000</v>
      </c>
    </row>
    <row r="823" spans="1:2" x14ac:dyDescent="0.25">
      <c r="A823" t="s">
        <v>115</v>
      </c>
      <c r="B823">
        <v>93000</v>
      </c>
    </row>
    <row r="824" spans="1:2" x14ac:dyDescent="0.25">
      <c r="A824" t="s">
        <v>92</v>
      </c>
      <c r="B824">
        <v>225000</v>
      </c>
    </row>
    <row r="825" spans="1:2" x14ac:dyDescent="0.25">
      <c r="A825" t="s">
        <v>132</v>
      </c>
      <c r="B825">
        <v>139500</v>
      </c>
    </row>
    <row r="826" spans="1:2" x14ac:dyDescent="0.25">
      <c r="A826" t="s">
        <v>115</v>
      </c>
      <c r="B826">
        <v>232600</v>
      </c>
    </row>
    <row r="827" spans="1:2" x14ac:dyDescent="0.25">
      <c r="A827" t="s">
        <v>115</v>
      </c>
      <c r="B827">
        <v>385000</v>
      </c>
    </row>
    <row r="828" spans="1:2" x14ac:dyDescent="0.25">
      <c r="A828" t="s">
        <v>150</v>
      </c>
      <c r="B828">
        <v>109500</v>
      </c>
    </row>
    <row r="829" spans="1:2" x14ac:dyDescent="0.25">
      <c r="A829" t="s">
        <v>115</v>
      </c>
      <c r="B829">
        <v>189000</v>
      </c>
    </row>
    <row r="830" spans="1:2" x14ac:dyDescent="0.25">
      <c r="A830" t="s">
        <v>92</v>
      </c>
      <c r="B830">
        <v>185000</v>
      </c>
    </row>
    <row r="831" spans="1:2" x14ac:dyDescent="0.25">
      <c r="A831" t="s">
        <v>92</v>
      </c>
      <c r="B831">
        <v>147400</v>
      </c>
    </row>
    <row r="832" spans="1:2" x14ac:dyDescent="0.25">
      <c r="A832" t="s">
        <v>115</v>
      </c>
      <c r="B832">
        <v>166000</v>
      </c>
    </row>
    <row r="833" spans="1:2" x14ac:dyDescent="0.25">
      <c r="A833" t="s">
        <v>92</v>
      </c>
      <c r="B833">
        <v>151000</v>
      </c>
    </row>
    <row r="834" spans="1:2" x14ac:dyDescent="0.25">
      <c r="A834" t="s">
        <v>92</v>
      </c>
      <c r="B834">
        <v>237000</v>
      </c>
    </row>
    <row r="835" spans="1:2" x14ac:dyDescent="0.25">
      <c r="A835" t="s">
        <v>115</v>
      </c>
      <c r="B835">
        <v>167000</v>
      </c>
    </row>
    <row r="836" spans="1:2" x14ac:dyDescent="0.25">
      <c r="A836" t="s">
        <v>115</v>
      </c>
      <c r="B836">
        <v>139950</v>
      </c>
    </row>
    <row r="837" spans="1:2" x14ac:dyDescent="0.25">
      <c r="A837" t="s">
        <v>115</v>
      </c>
      <c r="B837">
        <v>128000</v>
      </c>
    </row>
    <row r="838" spans="1:2" x14ac:dyDescent="0.25">
      <c r="A838" t="s">
        <v>115</v>
      </c>
      <c r="B838">
        <v>153500</v>
      </c>
    </row>
    <row r="839" spans="1:2" x14ac:dyDescent="0.25">
      <c r="A839" t="s">
        <v>92</v>
      </c>
      <c r="B839">
        <v>100000</v>
      </c>
    </row>
    <row r="840" spans="1:2" x14ac:dyDescent="0.25">
      <c r="A840" t="s">
        <v>115</v>
      </c>
      <c r="B840">
        <v>144000</v>
      </c>
    </row>
    <row r="841" spans="1:2" x14ac:dyDescent="0.25">
      <c r="A841" t="s">
        <v>132</v>
      </c>
      <c r="B841">
        <v>130500</v>
      </c>
    </row>
    <row r="842" spans="1:2" x14ac:dyDescent="0.25">
      <c r="A842" t="s">
        <v>92</v>
      </c>
      <c r="B842">
        <v>140000</v>
      </c>
    </row>
    <row r="843" spans="1:2" x14ac:dyDescent="0.25">
      <c r="A843" t="s">
        <v>92</v>
      </c>
      <c r="B843">
        <v>157500</v>
      </c>
    </row>
    <row r="844" spans="1:2" x14ac:dyDescent="0.25">
      <c r="A844" t="s">
        <v>197</v>
      </c>
      <c r="B844">
        <v>174900</v>
      </c>
    </row>
    <row r="845" spans="1:2" x14ac:dyDescent="0.25">
      <c r="A845" t="s">
        <v>115</v>
      </c>
      <c r="B845">
        <v>141000</v>
      </c>
    </row>
    <row r="846" spans="1:2" x14ac:dyDescent="0.25">
      <c r="A846" t="s">
        <v>132</v>
      </c>
      <c r="B846">
        <v>153900</v>
      </c>
    </row>
    <row r="847" spans="1:2" x14ac:dyDescent="0.25">
      <c r="A847" t="s">
        <v>191</v>
      </c>
      <c r="B847">
        <v>171000</v>
      </c>
    </row>
    <row r="848" spans="1:2" x14ac:dyDescent="0.25">
      <c r="A848" t="s">
        <v>92</v>
      </c>
      <c r="B848">
        <v>213000</v>
      </c>
    </row>
    <row r="849" spans="1:2" x14ac:dyDescent="0.25">
      <c r="A849" t="s">
        <v>115</v>
      </c>
      <c r="B849">
        <v>133500</v>
      </c>
    </row>
    <row r="850" spans="1:2" x14ac:dyDescent="0.25">
      <c r="A850" t="s">
        <v>132</v>
      </c>
      <c r="B850">
        <v>240000</v>
      </c>
    </row>
    <row r="851" spans="1:2" x14ac:dyDescent="0.25">
      <c r="A851" t="s">
        <v>197</v>
      </c>
      <c r="B851">
        <v>187000</v>
      </c>
    </row>
    <row r="852" spans="1:2" x14ac:dyDescent="0.25">
      <c r="A852" t="s">
        <v>115</v>
      </c>
      <c r="B852">
        <v>131500</v>
      </c>
    </row>
    <row r="853" spans="1:2" x14ac:dyDescent="0.25">
      <c r="A853" t="s">
        <v>115</v>
      </c>
      <c r="B853">
        <v>215000</v>
      </c>
    </row>
    <row r="854" spans="1:2" x14ac:dyDescent="0.25">
      <c r="A854" t="s">
        <v>201</v>
      </c>
      <c r="B854">
        <v>164000</v>
      </c>
    </row>
    <row r="855" spans="1:2" x14ac:dyDescent="0.25">
      <c r="A855" t="s">
        <v>197</v>
      </c>
      <c r="B855">
        <v>158000</v>
      </c>
    </row>
    <row r="856" spans="1:2" x14ac:dyDescent="0.25">
      <c r="A856" t="s">
        <v>115</v>
      </c>
      <c r="B856">
        <v>170000</v>
      </c>
    </row>
    <row r="857" spans="1:2" x14ac:dyDescent="0.25">
      <c r="A857" t="s">
        <v>115</v>
      </c>
      <c r="B857">
        <v>127000</v>
      </c>
    </row>
    <row r="858" spans="1:2" x14ac:dyDescent="0.25">
      <c r="A858" t="s">
        <v>197</v>
      </c>
      <c r="B858">
        <v>147000</v>
      </c>
    </row>
    <row r="859" spans="1:2" x14ac:dyDescent="0.25">
      <c r="A859" t="s">
        <v>92</v>
      </c>
      <c r="B859">
        <v>174000</v>
      </c>
    </row>
    <row r="860" spans="1:2" x14ac:dyDescent="0.25">
      <c r="A860" t="s">
        <v>115</v>
      </c>
      <c r="B860">
        <v>152000</v>
      </c>
    </row>
    <row r="861" spans="1:2" x14ac:dyDescent="0.25">
      <c r="A861" t="s">
        <v>92</v>
      </c>
      <c r="B861">
        <v>250000</v>
      </c>
    </row>
    <row r="862" spans="1:2" x14ac:dyDescent="0.25">
      <c r="A862" t="s">
        <v>132</v>
      </c>
      <c r="B862">
        <v>189950</v>
      </c>
    </row>
    <row r="863" spans="1:2" x14ac:dyDescent="0.25">
      <c r="A863" t="s">
        <v>115</v>
      </c>
      <c r="B863">
        <v>131500</v>
      </c>
    </row>
    <row r="864" spans="1:2" x14ac:dyDescent="0.25">
      <c r="A864" t="s">
        <v>115</v>
      </c>
      <c r="B864">
        <v>152000</v>
      </c>
    </row>
    <row r="865" spans="1:2" x14ac:dyDescent="0.25">
      <c r="A865" t="s">
        <v>115</v>
      </c>
      <c r="B865">
        <v>132500</v>
      </c>
    </row>
    <row r="866" spans="1:2" x14ac:dyDescent="0.25">
      <c r="A866" t="s">
        <v>115</v>
      </c>
      <c r="B866">
        <v>250580</v>
      </c>
    </row>
    <row r="867" spans="1:2" x14ac:dyDescent="0.25">
      <c r="A867" t="s">
        <v>115</v>
      </c>
      <c r="B867">
        <v>148500</v>
      </c>
    </row>
    <row r="868" spans="1:2" x14ac:dyDescent="0.25">
      <c r="A868" t="s">
        <v>115</v>
      </c>
      <c r="B868">
        <v>248900</v>
      </c>
    </row>
    <row r="869" spans="1:2" x14ac:dyDescent="0.25">
      <c r="A869" t="s">
        <v>115</v>
      </c>
      <c r="B869">
        <v>129000</v>
      </c>
    </row>
    <row r="870" spans="1:2" x14ac:dyDescent="0.25">
      <c r="A870" t="s">
        <v>92</v>
      </c>
      <c r="B870">
        <v>169000</v>
      </c>
    </row>
    <row r="871" spans="1:2" x14ac:dyDescent="0.25">
      <c r="A871" t="s">
        <v>92</v>
      </c>
      <c r="B871">
        <v>236000</v>
      </c>
    </row>
    <row r="872" spans="1:2" x14ac:dyDescent="0.25">
      <c r="A872" t="s">
        <v>115</v>
      </c>
      <c r="B872">
        <v>109500</v>
      </c>
    </row>
    <row r="873" spans="1:2" x14ac:dyDescent="0.25">
      <c r="A873" t="s">
        <v>92</v>
      </c>
      <c r="B873">
        <v>200500</v>
      </c>
    </row>
    <row r="874" spans="1:2" x14ac:dyDescent="0.25">
      <c r="A874" t="s">
        <v>115</v>
      </c>
      <c r="B874">
        <v>116000</v>
      </c>
    </row>
    <row r="875" spans="1:2" x14ac:dyDescent="0.25">
      <c r="A875" t="s">
        <v>115</v>
      </c>
      <c r="B875">
        <v>133000</v>
      </c>
    </row>
    <row r="876" spans="1:2" x14ac:dyDescent="0.25">
      <c r="A876" t="s">
        <v>132</v>
      </c>
      <c r="B876">
        <v>66500</v>
      </c>
    </row>
    <row r="877" spans="1:2" x14ac:dyDescent="0.25">
      <c r="A877" t="s">
        <v>92</v>
      </c>
      <c r="B877">
        <v>303477</v>
      </c>
    </row>
    <row r="878" spans="1:2" x14ac:dyDescent="0.25">
      <c r="A878" t="s">
        <v>115</v>
      </c>
      <c r="B878">
        <v>132250</v>
      </c>
    </row>
    <row r="879" spans="1:2" x14ac:dyDescent="0.25">
      <c r="A879" t="s">
        <v>92</v>
      </c>
      <c r="B879">
        <v>350000</v>
      </c>
    </row>
    <row r="880" spans="1:2" x14ac:dyDescent="0.25">
      <c r="A880" t="s">
        <v>191</v>
      </c>
      <c r="B880">
        <v>148000</v>
      </c>
    </row>
    <row r="881" spans="1:2" x14ac:dyDescent="0.25">
      <c r="A881" t="s">
        <v>115</v>
      </c>
      <c r="B881">
        <v>136500</v>
      </c>
    </row>
    <row r="882" spans="1:2" x14ac:dyDescent="0.25">
      <c r="A882" t="s">
        <v>115</v>
      </c>
      <c r="B882">
        <v>157000</v>
      </c>
    </row>
    <row r="883" spans="1:2" x14ac:dyDescent="0.25">
      <c r="A883" t="s">
        <v>132</v>
      </c>
      <c r="B883">
        <v>187500</v>
      </c>
    </row>
    <row r="884" spans="1:2" x14ac:dyDescent="0.25">
      <c r="A884" t="s">
        <v>92</v>
      </c>
      <c r="B884">
        <v>178000</v>
      </c>
    </row>
    <row r="885" spans="1:2" x14ac:dyDescent="0.25">
      <c r="A885" t="s">
        <v>225</v>
      </c>
      <c r="B885">
        <v>118500</v>
      </c>
    </row>
    <row r="886" spans="1:2" x14ac:dyDescent="0.25">
      <c r="A886" t="s">
        <v>115</v>
      </c>
      <c r="B886">
        <v>100000</v>
      </c>
    </row>
    <row r="887" spans="1:2" x14ac:dyDescent="0.25">
      <c r="A887" t="s">
        <v>115</v>
      </c>
      <c r="B887">
        <v>328900</v>
      </c>
    </row>
    <row r="888" spans="1:2" x14ac:dyDescent="0.25">
      <c r="A888" t="s">
        <v>115</v>
      </c>
      <c r="B888">
        <v>145000</v>
      </c>
    </row>
    <row r="889" spans="1:2" x14ac:dyDescent="0.25">
      <c r="A889" t="s">
        <v>132</v>
      </c>
      <c r="B889">
        <v>135500</v>
      </c>
    </row>
    <row r="890" spans="1:2" x14ac:dyDescent="0.25">
      <c r="A890" t="s">
        <v>115</v>
      </c>
      <c r="B890">
        <v>268000</v>
      </c>
    </row>
    <row r="891" spans="1:2" x14ac:dyDescent="0.25">
      <c r="A891" t="s">
        <v>115</v>
      </c>
      <c r="B891">
        <v>149500</v>
      </c>
    </row>
    <row r="892" spans="1:2" x14ac:dyDescent="0.25">
      <c r="A892" t="s">
        <v>132</v>
      </c>
      <c r="B892">
        <v>122900</v>
      </c>
    </row>
    <row r="893" spans="1:2" x14ac:dyDescent="0.25">
      <c r="A893" t="s">
        <v>92</v>
      </c>
      <c r="B893">
        <v>172500</v>
      </c>
    </row>
    <row r="894" spans="1:2" x14ac:dyDescent="0.25">
      <c r="A894" t="s">
        <v>115</v>
      </c>
      <c r="B894">
        <v>154500</v>
      </c>
    </row>
    <row r="895" spans="1:2" x14ac:dyDescent="0.25">
      <c r="A895" t="s">
        <v>115</v>
      </c>
      <c r="B895">
        <v>165000</v>
      </c>
    </row>
    <row r="896" spans="1:2" x14ac:dyDescent="0.25">
      <c r="A896" t="s">
        <v>115</v>
      </c>
      <c r="B896">
        <v>118858</v>
      </c>
    </row>
    <row r="897" spans="1:2" x14ac:dyDescent="0.25">
      <c r="A897" t="s">
        <v>92</v>
      </c>
      <c r="B897">
        <v>140000</v>
      </c>
    </row>
    <row r="898" spans="1:2" x14ac:dyDescent="0.25">
      <c r="A898" t="s">
        <v>115</v>
      </c>
      <c r="B898">
        <v>106500</v>
      </c>
    </row>
    <row r="899" spans="1:2" x14ac:dyDescent="0.25">
      <c r="A899" t="s">
        <v>92</v>
      </c>
      <c r="B899">
        <v>142953</v>
      </c>
    </row>
    <row r="900" spans="1:2" x14ac:dyDescent="0.25">
      <c r="A900" t="s">
        <v>115</v>
      </c>
      <c r="B900">
        <v>611657</v>
      </c>
    </row>
    <row r="901" spans="1:2" x14ac:dyDescent="0.25">
      <c r="A901" t="s">
        <v>115</v>
      </c>
      <c r="B901">
        <v>135000</v>
      </c>
    </row>
    <row r="902" spans="1:2" x14ac:dyDescent="0.25">
      <c r="A902" t="s">
        <v>115</v>
      </c>
      <c r="B902">
        <v>110000</v>
      </c>
    </row>
    <row r="903" spans="1:2" x14ac:dyDescent="0.25">
      <c r="A903" t="s">
        <v>115</v>
      </c>
      <c r="B903">
        <v>153000</v>
      </c>
    </row>
    <row r="904" spans="1:2" x14ac:dyDescent="0.25">
      <c r="A904" t="s">
        <v>92</v>
      </c>
      <c r="B904">
        <v>180000</v>
      </c>
    </row>
    <row r="905" spans="1:2" x14ac:dyDescent="0.25">
      <c r="A905" t="s">
        <v>115</v>
      </c>
      <c r="B905">
        <v>240000</v>
      </c>
    </row>
    <row r="906" spans="1:2" x14ac:dyDescent="0.25">
      <c r="A906" t="s">
        <v>115</v>
      </c>
      <c r="B906">
        <v>125500</v>
      </c>
    </row>
    <row r="907" spans="1:2" x14ac:dyDescent="0.25">
      <c r="A907" t="s">
        <v>115</v>
      </c>
      <c r="B907">
        <v>128000</v>
      </c>
    </row>
    <row r="908" spans="1:2" x14ac:dyDescent="0.25">
      <c r="A908" t="s">
        <v>115</v>
      </c>
      <c r="B908">
        <v>255000</v>
      </c>
    </row>
    <row r="909" spans="1:2" x14ac:dyDescent="0.25">
      <c r="A909" t="s">
        <v>132</v>
      </c>
      <c r="B909">
        <v>250000</v>
      </c>
    </row>
    <row r="910" spans="1:2" x14ac:dyDescent="0.25">
      <c r="A910" t="s">
        <v>115</v>
      </c>
      <c r="B910">
        <v>131000</v>
      </c>
    </row>
    <row r="911" spans="1:2" x14ac:dyDescent="0.25">
      <c r="A911" t="s">
        <v>92</v>
      </c>
      <c r="B911">
        <v>174000</v>
      </c>
    </row>
    <row r="912" spans="1:2" x14ac:dyDescent="0.25">
      <c r="A912" t="s">
        <v>92</v>
      </c>
      <c r="B912">
        <v>154300</v>
      </c>
    </row>
    <row r="913" spans="1:2" x14ac:dyDescent="0.25">
      <c r="A913" t="s">
        <v>115</v>
      </c>
      <c r="B913">
        <v>143500</v>
      </c>
    </row>
    <row r="914" spans="1:2" x14ac:dyDescent="0.25">
      <c r="A914" t="s">
        <v>115</v>
      </c>
      <c r="B914">
        <v>88000</v>
      </c>
    </row>
    <row r="915" spans="1:2" x14ac:dyDescent="0.25">
      <c r="A915" t="s">
        <v>92</v>
      </c>
      <c r="B915">
        <v>145000</v>
      </c>
    </row>
    <row r="916" spans="1:2" x14ac:dyDescent="0.25">
      <c r="A916" t="s">
        <v>92</v>
      </c>
      <c r="B916">
        <v>173733</v>
      </c>
    </row>
    <row r="917" spans="1:2" x14ac:dyDescent="0.25">
      <c r="A917" t="s">
        <v>92</v>
      </c>
      <c r="B917">
        <v>75000</v>
      </c>
    </row>
    <row r="918" spans="1:2" x14ac:dyDescent="0.25">
      <c r="A918" t="s">
        <v>115</v>
      </c>
      <c r="B918">
        <v>35311</v>
      </c>
    </row>
    <row r="919" spans="1:2" x14ac:dyDescent="0.25">
      <c r="A919" t="s">
        <v>115</v>
      </c>
      <c r="B919">
        <v>135000</v>
      </c>
    </row>
    <row r="920" spans="1:2" x14ac:dyDescent="0.25">
      <c r="A920" t="s">
        <v>92</v>
      </c>
      <c r="B920">
        <v>238000</v>
      </c>
    </row>
    <row r="921" spans="1:2" x14ac:dyDescent="0.25">
      <c r="A921" t="s">
        <v>115</v>
      </c>
      <c r="B921">
        <v>176500</v>
      </c>
    </row>
    <row r="922" spans="1:2" x14ac:dyDescent="0.25">
      <c r="A922" t="s">
        <v>92</v>
      </c>
      <c r="B922">
        <v>201000</v>
      </c>
    </row>
    <row r="923" spans="1:2" x14ac:dyDescent="0.25">
      <c r="A923" t="s">
        <v>132</v>
      </c>
      <c r="B923">
        <v>145900</v>
      </c>
    </row>
    <row r="924" spans="1:2" x14ac:dyDescent="0.25">
      <c r="A924" t="s">
        <v>115</v>
      </c>
      <c r="B924">
        <v>169990</v>
      </c>
    </row>
    <row r="925" spans="1:2" x14ac:dyDescent="0.25">
      <c r="A925" t="s">
        <v>115</v>
      </c>
      <c r="B925">
        <v>193000</v>
      </c>
    </row>
    <row r="926" spans="1:2" x14ac:dyDescent="0.25">
      <c r="A926" t="s">
        <v>115</v>
      </c>
      <c r="B926">
        <v>207500</v>
      </c>
    </row>
    <row r="927" spans="1:2" x14ac:dyDescent="0.25">
      <c r="A927" t="s">
        <v>115</v>
      </c>
      <c r="B927">
        <v>175000</v>
      </c>
    </row>
    <row r="928" spans="1:2" x14ac:dyDescent="0.25">
      <c r="A928" t="s">
        <v>92</v>
      </c>
      <c r="B928">
        <v>285000</v>
      </c>
    </row>
    <row r="929" spans="1:2" x14ac:dyDescent="0.25">
      <c r="A929" t="s">
        <v>92</v>
      </c>
      <c r="B929">
        <v>176000</v>
      </c>
    </row>
    <row r="930" spans="1:2" x14ac:dyDescent="0.25">
      <c r="A930" t="s">
        <v>115</v>
      </c>
      <c r="B930">
        <v>236500</v>
      </c>
    </row>
    <row r="931" spans="1:2" x14ac:dyDescent="0.25">
      <c r="A931" t="s">
        <v>92</v>
      </c>
      <c r="B931">
        <v>222000</v>
      </c>
    </row>
    <row r="932" spans="1:2" x14ac:dyDescent="0.25">
      <c r="A932" t="s">
        <v>115</v>
      </c>
      <c r="B932">
        <v>201000</v>
      </c>
    </row>
    <row r="933" spans="1:2" x14ac:dyDescent="0.25">
      <c r="A933" t="s">
        <v>115</v>
      </c>
      <c r="B933">
        <v>117500</v>
      </c>
    </row>
    <row r="934" spans="1:2" x14ac:dyDescent="0.25">
      <c r="A934" t="s">
        <v>115</v>
      </c>
      <c r="B934">
        <v>320000</v>
      </c>
    </row>
    <row r="935" spans="1:2" x14ac:dyDescent="0.25">
      <c r="A935" t="s">
        <v>115</v>
      </c>
      <c r="B935">
        <v>190000</v>
      </c>
    </row>
    <row r="936" spans="1:2" x14ac:dyDescent="0.25">
      <c r="A936" t="s">
        <v>115</v>
      </c>
      <c r="B936">
        <v>242000</v>
      </c>
    </row>
    <row r="937" spans="1:2" x14ac:dyDescent="0.25">
      <c r="A937" t="s">
        <v>115</v>
      </c>
      <c r="B937">
        <v>79900</v>
      </c>
    </row>
    <row r="938" spans="1:2" x14ac:dyDescent="0.25">
      <c r="A938" t="s">
        <v>115</v>
      </c>
      <c r="B938">
        <v>184900</v>
      </c>
    </row>
    <row r="939" spans="1:2" x14ac:dyDescent="0.25">
      <c r="A939" t="s">
        <v>92</v>
      </c>
      <c r="B939">
        <v>253000</v>
      </c>
    </row>
    <row r="940" spans="1:2" x14ac:dyDescent="0.25">
      <c r="A940" t="s">
        <v>92</v>
      </c>
      <c r="B940">
        <v>239799</v>
      </c>
    </row>
    <row r="941" spans="1:2" x14ac:dyDescent="0.25">
      <c r="A941" t="s">
        <v>92</v>
      </c>
      <c r="B941">
        <v>244400</v>
      </c>
    </row>
    <row r="942" spans="1:2" x14ac:dyDescent="0.25">
      <c r="A942" t="s">
        <v>115</v>
      </c>
      <c r="B942">
        <v>150900</v>
      </c>
    </row>
    <row r="943" spans="1:2" x14ac:dyDescent="0.25">
      <c r="A943" t="s">
        <v>92</v>
      </c>
      <c r="B943">
        <v>214000</v>
      </c>
    </row>
    <row r="944" spans="1:2" x14ac:dyDescent="0.25">
      <c r="A944" t="s">
        <v>115</v>
      </c>
      <c r="B944">
        <v>150000</v>
      </c>
    </row>
    <row r="945" spans="1:2" x14ac:dyDescent="0.25">
      <c r="A945" t="s">
        <v>115</v>
      </c>
      <c r="B945">
        <v>143000</v>
      </c>
    </row>
    <row r="946" spans="1:2" x14ac:dyDescent="0.25">
      <c r="A946" t="s">
        <v>197</v>
      </c>
      <c r="B946">
        <v>137500</v>
      </c>
    </row>
    <row r="947" spans="1:2" x14ac:dyDescent="0.25">
      <c r="A947" t="s">
        <v>132</v>
      </c>
      <c r="B947">
        <v>124900</v>
      </c>
    </row>
    <row r="948" spans="1:2" x14ac:dyDescent="0.25">
      <c r="A948" t="s">
        <v>197</v>
      </c>
      <c r="B948">
        <v>143000</v>
      </c>
    </row>
    <row r="949" spans="1:2" x14ac:dyDescent="0.25">
      <c r="A949" t="s">
        <v>115</v>
      </c>
      <c r="B949">
        <v>270000</v>
      </c>
    </row>
    <row r="950" spans="1:2" x14ac:dyDescent="0.25">
      <c r="A950" t="s">
        <v>92</v>
      </c>
      <c r="B950">
        <v>192500</v>
      </c>
    </row>
    <row r="951" spans="1:2" x14ac:dyDescent="0.25">
      <c r="A951" t="s">
        <v>115</v>
      </c>
      <c r="B951">
        <v>197500</v>
      </c>
    </row>
    <row r="952" spans="1:2" x14ac:dyDescent="0.25">
      <c r="A952" t="s">
        <v>115</v>
      </c>
      <c r="B952">
        <v>129000</v>
      </c>
    </row>
    <row r="953" spans="1:2" x14ac:dyDescent="0.25">
      <c r="A953" t="s">
        <v>115</v>
      </c>
      <c r="B953">
        <v>119900</v>
      </c>
    </row>
    <row r="954" spans="1:2" x14ac:dyDescent="0.25">
      <c r="A954" t="s">
        <v>191</v>
      </c>
      <c r="B954">
        <v>133900</v>
      </c>
    </row>
    <row r="955" spans="1:2" x14ac:dyDescent="0.25">
      <c r="A955" t="s">
        <v>92</v>
      </c>
      <c r="B955">
        <v>172000</v>
      </c>
    </row>
    <row r="956" spans="1:2" x14ac:dyDescent="0.25">
      <c r="A956" t="s">
        <v>191</v>
      </c>
      <c r="B956">
        <v>127500</v>
      </c>
    </row>
    <row r="957" spans="1:2" x14ac:dyDescent="0.25">
      <c r="A957" t="s">
        <v>92</v>
      </c>
      <c r="B957">
        <v>145000</v>
      </c>
    </row>
    <row r="958" spans="1:2" x14ac:dyDescent="0.25">
      <c r="A958" t="s">
        <v>92</v>
      </c>
      <c r="B958">
        <v>124000</v>
      </c>
    </row>
    <row r="959" spans="1:2" x14ac:dyDescent="0.25">
      <c r="A959" t="s">
        <v>115</v>
      </c>
      <c r="B959">
        <v>132000</v>
      </c>
    </row>
    <row r="960" spans="1:2" x14ac:dyDescent="0.25">
      <c r="A960" t="s">
        <v>115</v>
      </c>
      <c r="B960">
        <v>185000</v>
      </c>
    </row>
    <row r="961" spans="1:2" x14ac:dyDescent="0.25">
      <c r="A961" t="s">
        <v>92</v>
      </c>
      <c r="B961">
        <v>155000</v>
      </c>
    </row>
    <row r="962" spans="1:2" x14ac:dyDescent="0.25">
      <c r="A962" t="s">
        <v>115</v>
      </c>
      <c r="B962">
        <v>116500</v>
      </c>
    </row>
    <row r="963" spans="1:2" x14ac:dyDescent="0.25">
      <c r="A963" t="s">
        <v>92</v>
      </c>
      <c r="B963">
        <v>272000</v>
      </c>
    </row>
    <row r="964" spans="1:2" x14ac:dyDescent="0.25">
      <c r="A964" t="s">
        <v>92</v>
      </c>
      <c r="B964">
        <v>155000</v>
      </c>
    </row>
    <row r="965" spans="1:2" x14ac:dyDescent="0.25">
      <c r="A965" t="s">
        <v>115</v>
      </c>
      <c r="B965">
        <v>239000</v>
      </c>
    </row>
    <row r="966" spans="1:2" x14ac:dyDescent="0.25">
      <c r="A966" t="s">
        <v>92</v>
      </c>
      <c r="B966">
        <v>214900</v>
      </c>
    </row>
    <row r="967" spans="1:2" x14ac:dyDescent="0.25">
      <c r="A967" t="s">
        <v>92</v>
      </c>
      <c r="B967">
        <v>178900</v>
      </c>
    </row>
    <row r="968" spans="1:2" x14ac:dyDescent="0.25">
      <c r="A968" t="s">
        <v>132</v>
      </c>
      <c r="B968">
        <v>160000</v>
      </c>
    </row>
    <row r="969" spans="1:2" x14ac:dyDescent="0.25">
      <c r="A969" t="s">
        <v>115</v>
      </c>
      <c r="B969">
        <v>135000</v>
      </c>
    </row>
    <row r="970" spans="1:2" x14ac:dyDescent="0.25">
      <c r="A970" t="s">
        <v>132</v>
      </c>
      <c r="B970">
        <v>37900</v>
      </c>
    </row>
    <row r="971" spans="1:2" x14ac:dyDescent="0.25">
      <c r="A971" t="s">
        <v>197</v>
      </c>
      <c r="B971">
        <v>140000</v>
      </c>
    </row>
    <row r="972" spans="1:2" x14ac:dyDescent="0.25">
      <c r="A972" t="s">
        <v>132</v>
      </c>
      <c r="B972">
        <v>135000</v>
      </c>
    </row>
    <row r="973" spans="1:2" x14ac:dyDescent="0.25">
      <c r="A973" t="s">
        <v>92</v>
      </c>
      <c r="B973">
        <v>173000</v>
      </c>
    </row>
    <row r="974" spans="1:2" x14ac:dyDescent="0.25">
      <c r="A974" t="s">
        <v>115</v>
      </c>
      <c r="B974">
        <v>99500</v>
      </c>
    </row>
    <row r="975" spans="1:2" x14ac:dyDescent="0.25">
      <c r="A975" t="s">
        <v>115</v>
      </c>
      <c r="B975">
        <v>182000</v>
      </c>
    </row>
    <row r="976" spans="1:2" x14ac:dyDescent="0.25">
      <c r="A976" t="s">
        <v>92</v>
      </c>
      <c r="B976">
        <v>167500</v>
      </c>
    </row>
    <row r="977" spans="1:2" x14ac:dyDescent="0.25">
      <c r="A977" t="s">
        <v>92</v>
      </c>
      <c r="B977">
        <v>165000</v>
      </c>
    </row>
    <row r="978" spans="1:2" x14ac:dyDescent="0.25">
      <c r="A978" t="s">
        <v>115</v>
      </c>
      <c r="B978">
        <v>85500</v>
      </c>
    </row>
    <row r="979" spans="1:2" x14ac:dyDescent="0.25">
      <c r="A979" t="s">
        <v>115</v>
      </c>
      <c r="B979">
        <v>199900</v>
      </c>
    </row>
    <row r="980" spans="1:2" x14ac:dyDescent="0.25">
      <c r="A980" t="s">
        <v>115</v>
      </c>
      <c r="B980">
        <v>110000</v>
      </c>
    </row>
    <row r="981" spans="1:2" x14ac:dyDescent="0.25">
      <c r="A981" t="s">
        <v>115</v>
      </c>
      <c r="B981">
        <v>139000</v>
      </c>
    </row>
    <row r="982" spans="1:2" x14ac:dyDescent="0.25">
      <c r="A982" t="s">
        <v>191</v>
      </c>
      <c r="B982">
        <v>178400</v>
      </c>
    </row>
    <row r="983" spans="1:2" x14ac:dyDescent="0.25">
      <c r="A983" t="s">
        <v>92</v>
      </c>
      <c r="B983">
        <v>336000</v>
      </c>
    </row>
    <row r="984" spans="1:2" x14ac:dyDescent="0.25">
      <c r="A984" t="s">
        <v>115</v>
      </c>
      <c r="B984">
        <v>159895</v>
      </c>
    </row>
    <row r="985" spans="1:2" x14ac:dyDescent="0.25">
      <c r="A985" t="s">
        <v>92</v>
      </c>
      <c r="B985">
        <v>255900</v>
      </c>
    </row>
    <row r="986" spans="1:2" x14ac:dyDescent="0.25">
      <c r="A986" t="s">
        <v>132</v>
      </c>
      <c r="B986">
        <v>126000</v>
      </c>
    </row>
    <row r="987" spans="1:2" x14ac:dyDescent="0.25">
      <c r="A987" t="s">
        <v>115</v>
      </c>
      <c r="B987">
        <v>125000</v>
      </c>
    </row>
    <row r="988" spans="1:2" x14ac:dyDescent="0.25">
      <c r="A988" t="s">
        <v>132</v>
      </c>
      <c r="B988">
        <v>117000</v>
      </c>
    </row>
    <row r="989" spans="1:2" x14ac:dyDescent="0.25">
      <c r="A989" t="s">
        <v>115</v>
      </c>
      <c r="B989">
        <v>395192</v>
      </c>
    </row>
    <row r="990" spans="1:2" x14ac:dyDescent="0.25">
      <c r="A990" t="s">
        <v>92</v>
      </c>
      <c r="B990">
        <v>195000</v>
      </c>
    </row>
    <row r="991" spans="1:2" x14ac:dyDescent="0.25">
      <c r="A991" t="s">
        <v>92</v>
      </c>
      <c r="B991">
        <v>197000</v>
      </c>
    </row>
    <row r="992" spans="1:2" x14ac:dyDescent="0.25">
      <c r="A992" t="s">
        <v>92</v>
      </c>
      <c r="B992">
        <v>348000</v>
      </c>
    </row>
    <row r="993" spans="1:2" x14ac:dyDescent="0.25">
      <c r="A993" t="s">
        <v>92</v>
      </c>
      <c r="B993">
        <v>168000</v>
      </c>
    </row>
    <row r="994" spans="1:2" x14ac:dyDescent="0.25">
      <c r="A994" t="s">
        <v>92</v>
      </c>
      <c r="B994">
        <v>187000</v>
      </c>
    </row>
    <row r="995" spans="1:2" x14ac:dyDescent="0.25">
      <c r="A995" t="s">
        <v>92</v>
      </c>
      <c r="B995">
        <v>173900</v>
      </c>
    </row>
    <row r="996" spans="1:2" x14ac:dyDescent="0.25">
      <c r="A996" t="s">
        <v>115</v>
      </c>
      <c r="B996">
        <v>337500</v>
      </c>
    </row>
    <row r="997" spans="1:2" x14ac:dyDescent="0.25">
      <c r="A997" t="s">
        <v>132</v>
      </c>
      <c r="B997">
        <v>121600</v>
      </c>
    </row>
    <row r="998" spans="1:2" x14ac:dyDescent="0.25">
      <c r="A998" t="s">
        <v>115</v>
      </c>
      <c r="B998">
        <v>136500</v>
      </c>
    </row>
    <row r="999" spans="1:2" x14ac:dyDescent="0.25">
      <c r="A999" t="s">
        <v>115</v>
      </c>
      <c r="B999">
        <v>185000</v>
      </c>
    </row>
    <row r="1000" spans="1:2" x14ac:dyDescent="0.25">
      <c r="A1000" t="s">
        <v>115</v>
      </c>
      <c r="B1000">
        <v>91000</v>
      </c>
    </row>
    <row r="1001" spans="1:2" x14ac:dyDescent="0.25">
      <c r="A1001" t="s">
        <v>115</v>
      </c>
      <c r="B1001">
        <v>206000</v>
      </c>
    </row>
    <row r="1002" spans="1:2" x14ac:dyDescent="0.25">
      <c r="A1002" t="s">
        <v>115</v>
      </c>
      <c r="B1002">
        <v>82000</v>
      </c>
    </row>
    <row r="1003" spans="1:2" x14ac:dyDescent="0.25">
      <c r="A1003" t="s">
        <v>115</v>
      </c>
      <c r="B1003">
        <v>86000</v>
      </c>
    </row>
    <row r="1004" spans="1:2" x14ac:dyDescent="0.25">
      <c r="A1004" t="s">
        <v>115</v>
      </c>
      <c r="B1004">
        <v>232000</v>
      </c>
    </row>
    <row r="1005" spans="1:2" x14ac:dyDescent="0.25">
      <c r="A1005" t="s">
        <v>115</v>
      </c>
      <c r="B1005">
        <v>136905</v>
      </c>
    </row>
    <row r="1006" spans="1:2" x14ac:dyDescent="0.25">
      <c r="A1006" t="s">
        <v>115</v>
      </c>
      <c r="B1006">
        <v>181000</v>
      </c>
    </row>
    <row r="1007" spans="1:2" x14ac:dyDescent="0.25">
      <c r="A1007" t="s">
        <v>197</v>
      </c>
      <c r="B1007">
        <v>149900</v>
      </c>
    </row>
    <row r="1008" spans="1:2" x14ac:dyDescent="0.25">
      <c r="A1008" t="s">
        <v>115</v>
      </c>
      <c r="B1008">
        <v>163500</v>
      </c>
    </row>
    <row r="1009" spans="1:2" x14ac:dyDescent="0.25">
      <c r="A1009" t="s">
        <v>92</v>
      </c>
      <c r="B1009">
        <v>88000</v>
      </c>
    </row>
    <row r="1010" spans="1:2" x14ac:dyDescent="0.25">
      <c r="A1010" t="s">
        <v>115</v>
      </c>
      <c r="B1010">
        <v>240000</v>
      </c>
    </row>
    <row r="1011" spans="1:2" x14ac:dyDescent="0.25">
      <c r="A1011" t="s">
        <v>132</v>
      </c>
      <c r="B1011">
        <v>102000</v>
      </c>
    </row>
    <row r="1012" spans="1:2" x14ac:dyDescent="0.25">
      <c r="A1012" t="s">
        <v>132</v>
      </c>
      <c r="B1012">
        <v>135000</v>
      </c>
    </row>
    <row r="1013" spans="1:2" x14ac:dyDescent="0.25">
      <c r="A1013" t="s">
        <v>115</v>
      </c>
      <c r="B1013">
        <v>100000</v>
      </c>
    </row>
    <row r="1014" spans="1:2" x14ac:dyDescent="0.25">
      <c r="A1014" t="s">
        <v>92</v>
      </c>
      <c r="B1014">
        <v>165000</v>
      </c>
    </row>
    <row r="1015" spans="1:2" x14ac:dyDescent="0.25">
      <c r="A1015" t="s">
        <v>115</v>
      </c>
      <c r="B1015">
        <v>85000</v>
      </c>
    </row>
    <row r="1016" spans="1:2" x14ac:dyDescent="0.25">
      <c r="A1016" t="s">
        <v>115</v>
      </c>
      <c r="B1016">
        <v>119200</v>
      </c>
    </row>
    <row r="1017" spans="1:2" x14ac:dyDescent="0.25">
      <c r="A1017" t="s">
        <v>92</v>
      </c>
      <c r="B1017">
        <v>227000</v>
      </c>
    </row>
    <row r="1018" spans="1:2" x14ac:dyDescent="0.25">
      <c r="A1018" t="s">
        <v>115</v>
      </c>
      <c r="B1018">
        <v>203000</v>
      </c>
    </row>
    <row r="1019" spans="1:2" x14ac:dyDescent="0.25">
      <c r="A1019" t="s">
        <v>115</v>
      </c>
      <c r="B1019">
        <v>187500</v>
      </c>
    </row>
    <row r="1020" spans="1:2" x14ac:dyDescent="0.25">
      <c r="A1020" t="s">
        <v>197</v>
      </c>
      <c r="B1020">
        <v>160000</v>
      </c>
    </row>
    <row r="1021" spans="1:2" x14ac:dyDescent="0.25">
      <c r="A1021" t="s">
        <v>115</v>
      </c>
      <c r="B1021">
        <v>213490</v>
      </c>
    </row>
    <row r="1022" spans="1:2" x14ac:dyDescent="0.25">
      <c r="A1022" t="s">
        <v>115</v>
      </c>
      <c r="B1022">
        <v>176000</v>
      </c>
    </row>
    <row r="1023" spans="1:2" x14ac:dyDescent="0.25">
      <c r="A1023" t="s">
        <v>115</v>
      </c>
      <c r="B1023">
        <v>194000</v>
      </c>
    </row>
    <row r="1024" spans="1:2" x14ac:dyDescent="0.25">
      <c r="A1024" t="s">
        <v>132</v>
      </c>
      <c r="B1024">
        <v>87000</v>
      </c>
    </row>
    <row r="1025" spans="1:2" x14ac:dyDescent="0.25">
      <c r="A1025" t="s">
        <v>115</v>
      </c>
      <c r="B1025">
        <v>191000</v>
      </c>
    </row>
    <row r="1026" spans="1:2" x14ac:dyDescent="0.25">
      <c r="A1026" t="s">
        <v>115</v>
      </c>
      <c r="B1026">
        <v>287000</v>
      </c>
    </row>
    <row r="1027" spans="1:2" x14ac:dyDescent="0.25">
      <c r="A1027" t="s">
        <v>115</v>
      </c>
      <c r="B1027">
        <v>112500</v>
      </c>
    </row>
    <row r="1028" spans="1:2" x14ac:dyDescent="0.25">
      <c r="A1028" t="s">
        <v>115</v>
      </c>
      <c r="B1028">
        <v>167500</v>
      </c>
    </row>
    <row r="1029" spans="1:2" x14ac:dyDescent="0.25">
      <c r="A1029" t="s">
        <v>115</v>
      </c>
      <c r="B1029">
        <v>293077</v>
      </c>
    </row>
    <row r="1030" spans="1:2" x14ac:dyDescent="0.25">
      <c r="A1030" t="s">
        <v>132</v>
      </c>
      <c r="B1030">
        <v>105000</v>
      </c>
    </row>
    <row r="1031" spans="1:2" x14ac:dyDescent="0.25">
      <c r="A1031" t="s">
        <v>92</v>
      </c>
      <c r="B1031">
        <v>118000</v>
      </c>
    </row>
    <row r="1032" spans="1:2" x14ac:dyDescent="0.25">
      <c r="A1032" t="s">
        <v>92</v>
      </c>
      <c r="B1032">
        <v>160000</v>
      </c>
    </row>
    <row r="1033" spans="1:2" x14ac:dyDescent="0.25">
      <c r="A1033" t="s">
        <v>225</v>
      </c>
      <c r="B1033">
        <v>197000</v>
      </c>
    </row>
    <row r="1034" spans="1:2" x14ac:dyDescent="0.25">
      <c r="A1034" t="s">
        <v>92</v>
      </c>
      <c r="B1034">
        <v>310000</v>
      </c>
    </row>
    <row r="1035" spans="1:2" x14ac:dyDescent="0.25">
      <c r="A1035" t="s">
        <v>115</v>
      </c>
      <c r="B1035">
        <v>230000</v>
      </c>
    </row>
    <row r="1036" spans="1:2" x14ac:dyDescent="0.25">
      <c r="A1036" t="s">
        <v>115</v>
      </c>
      <c r="B1036">
        <v>119750</v>
      </c>
    </row>
    <row r="1037" spans="1:2" x14ac:dyDescent="0.25">
      <c r="A1037" t="s">
        <v>115</v>
      </c>
      <c r="B1037">
        <v>84000</v>
      </c>
    </row>
    <row r="1038" spans="1:2" x14ac:dyDescent="0.25">
      <c r="A1038" t="s">
        <v>115</v>
      </c>
      <c r="B1038">
        <v>315500</v>
      </c>
    </row>
    <row r="1039" spans="1:2" x14ac:dyDescent="0.25">
      <c r="A1039" t="s">
        <v>92</v>
      </c>
      <c r="B1039">
        <v>287000</v>
      </c>
    </row>
    <row r="1040" spans="1:2" x14ac:dyDescent="0.25">
      <c r="A1040" t="s">
        <v>92</v>
      </c>
      <c r="B1040">
        <v>97000</v>
      </c>
    </row>
    <row r="1041" spans="1:2" x14ac:dyDescent="0.25">
      <c r="A1041" t="s">
        <v>191</v>
      </c>
      <c r="B1041">
        <v>80000</v>
      </c>
    </row>
    <row r="1042" spans="1:2" x14ac:dyDescent="0.25">
      <c r="A1042" t="s">
        <v>115</v>
      </c>
      <c r="B1042">
        <v>155000</v>
      </c>
    </row>
    <row r="1043" spans="1:2" x14ac:dyDescent="0.25">
      <c r="A1043" t="s">
        <v>92</v>
      </c>
      <c r="B1043">
        <v>173000</v>
      </c>
    </row>
    <row r="1044" spans="1:2" x14ac:dyDescent="0.25">
      <c r="A1044" t="s">
        <v>115</v>
      </c>
      <c r="B1044">
        <v>196000</v>
      </c>
    </row>
    <row r="1045" spans="1:2" x14ac:dyDescent="0.25">
      <c r="A1045" t="s">
        <v>92</v>
      </c>
      <c r="B1045">
        <v>262280</v>
      </c>
    </row>
    <row r="1046" spans="1:2" x14ac:dyDescent="0.25">
      <c r="A1046" t="s">
        <v>115</v>
      </c>
      <c r="B1046">
        <v>278000</v>
      </c>
    </row>
    <row r="1047" spans="1:2" x14ac:dyDescent="0.25">
      <c r="A1047" t="s">
        <v>115</v>
      </c>
      <c r="B1047">
        <v>139600</v>
      </c>
    </row>
    <row r="1048" spans="1:2" x14ac:dyDescent="0.25">
      <c r="A1048" t="s">
        <v>92</v>
      </c>
      <c r="B1048">
        <v>556581</v>
      </c>
    </row>
    <row r="1049" spans="1:2" x14ac:dyDescent="0.25">
      <c r="A1049" t="s">
        <v>115</v>
      </c>
      <c r="B1049">
        <v>145000</v>
      </c>
    </row>
    <row r="1050" spans="1:2" x14ac:dyDescent="0.25">
      <c r="A1050" t="s">
        <v>115</v>
      </c>
      <c r="B1050">
        <v>115000</v>
      </c>
    </row>
    <row r="1051" spans="1:2" x14ac:dyDescent="0.25">
      <c r="A1051" t="s">
        <v>115</v>
      </c>
      <c r="B1051">
        <v>84900</v>
      </c>
    </row>
    <row r="1052" spans="1:2" x14ac:dyDescent="0.25">
      <c r="A1052" t="s">
        <v>115</v>
      </c>
      <c r="B1052">
        <v>176485</v>
      </c>
    </row>
    <row r="1053" spans="1:2" x14ac:dyDescent="0.25">
      <c r="A1053" t="s">
        <v>115</v>
      </c>
      <c r="B1053">
        <v>200141</v>
      </c>
    </row>
    <row r="1054" spans="1:2" x14ac:dyDescent="0.25">
      <c r="A1054" t="s">
        <v>92</v>
      </c>
      <c r="B1054">
        <v>165000</v>
      </c>
    </row>
    <row r="1055" spans="1:2" x14ac:dyDescent="0.25">
      <c r="A1055" t="s">
        <v>115</v>
      </c>
      <c r="B1055">
        <v>144500</v>
      </c>
    </row>
    <row r="1056" spans="1:2" x14ac:dyDescent="0.25">
      <c r="A1056" t="s">
        <v>92</v>
      </c>
      <c r="B1056">
        <v>255000</v>
      </c>
    </row>
    <row r="1057" spans="1:2" x14ac:dyDescent="0.25">
      <c r="A1057" t="s">
        <v>115</v>
      </c>
      <c r="B1057">
        <v>180000</v>
      </c>
    </row>
    <row r="1058" spans="1:2" x14ac:dyDescent="0.25">
      <c r="A1058" t="s">
        <v>115</v>
      </c>
      <c r="B1058">
        <v>185850</v>
      </c>
    </row>
    <row r="1059" spans="1:2" x14ac:dyDescent="0.25">
      <c r="A1059" t="s">
        <v>92</v>
      </c>
      <c r="B1059">
        <v>248000</v>
      </c>
    </row>
    <row r="1060" spans="1:2" x14ac:dyDescent="0.25">
      <c r="A1060" t="s">
        <v>92</v>
      </c>
      <c r="B1060">
        <v>335000</v>
      </c>
    </row>
    <row r="1061" spans="1:2" x14ac:dyDescent="0.25">
      <c r="A1061" t="s">
        <v>132</v>
      </c>
      <c r="B1061">
        <v>220000</v>
      </c>
    </row>
    <row r="1062" spans="1:2" x14ac:dyDescent="0.25">
      <c r="A1062" t="s">
        <v>115</v>
      </c>
      <c r="B1062">
        <v>213500</v>
      </c>
    </row>
    <row r="1063" spans="1:2" x14ac:dyDescent="0.25">
      <c r="A1063" t="s">
        <v>115</v>
      </c>
      <c r="B1063">
        <v>81000</v>
      </c>
    </row>
    <row r="1064" spans="1:2" x14ac:dyDescent="0.25">
      <c r="A1064" t="s">
        <v>92</v>
      </c>
      <c r="B1064">
        <v>90000</v>
      </c>
    </row>
    <row r="1065" spans="1:2" x14ac:dyDescent="0.25">
      <c r="A1065" t="s">
        <v>115</v>
      </c>
      <c r="B1065">
        <v>110500</v>
      </c>
    </row>
    <row r="1066" spans="1:2" x14ac:dyDescent="0.25">
      <c r="A1066" t="s">
        <v>115</v>
      </c>
      <c r="B1066">
        <v>154000</v>
      </c>
    </row>
    <row r="1067" spans="1:2" x14ac:dyDescent="0.25">
      <c r="A1067" t="s">
        <v>92</v>
      </c>
      <c r="B1067">
        <v>328000</v>
      </c>
    </row>
    <row r="1068" spans="1:2" x14ac:dyDescent="0.25">
      <c r="A1068" t="s">
        <v>92</v>
      </c>
      <c r="B1068">
        <v>178000</v>
      </c>
    </row>
    <row r="1069" spans="1:2" x14ac:dyDescent="0.25">
      <c r="A1069" t="s">
        <v>92</v>
      </c>
      <c r="B1069">
        <v>167900</v>
      </c>
    </row>
    <row r="1070" spans="1:2" x14ac:dyDescent="0.25">
      <c r="A1070" t="s">
        <v>92</v>
      </c>
      <c r="B1070">
        <v>151400</v>
      </c>
    </row>
    <row r="1071" spans="1:2" x14ac:dyDescent="0.25">
      <c r="A1071" t="s">
        <v>150</v>
      </c>
      <c r="B1071">
        <v>135000</v>
      </c>
    </row>
    <row r="1072" spans="1:2" x14ac:dyDescent="0.25">
      <c r="A1072" t="s">
        <v>115</v>
      </c>
      <c r="B1072">
        <v>135000</v>
      </c>
    </row>
    <row r="1073" spans="1:2" x14ac:dyDescent="0.25">
      <c r="A1073" t="s">
        <v>92</v>
      </c>
      <c r="B1073">
        <v>154000</v>
      </c>
    </row>
    <row r="1074" spans="1:2" x14ac:dyDescent="0.25">
      <c r="A1074" t="s">
        <v>132</v>
      </c>
      <c r="B1074">
        <v>91500</v>
      </c>
    </row>
    <row r="1075" spans="1:2" x14ac:dyDescent="0.25">
      <c r="A1075" t="s">
        <v>92</v>
      </c>
      <c r="B1075">
        <v>159500</v>
      </c>
    </row>
    <row r="1076" spans="1:2" x14ac:dyDescent="0.25">
      <c r="A1076" t="s">
        <v>115</v>
      </c>
      <c r="B1076">
        <v>194000</v>
      </c>
    </row>
    <row r="1077" spans="1:2" x14ac:dyDescent="0.25">
      <c r="A1077" t="s">
        <v>92</v>
      </c>
      <c r="B1077">
        <v>219500</v>
      </c>
    </row>
    <row r="1078" spans="1:2" x14ac:dyDescent="0.25">
      <c r="A1078" t="s">
        <v>132</v>
      </c>
      <c r="B1078">
        <v>170000</v>
      </c>
    </row>
    <row r="1079" spans="1:2" x14ac:dyDescent="0.25">
      <c r="A1079" t="s">
        <v>115</v>
      </c>
      <c r="B1079">
        <v>138800</v>
      </c>
    </row>
    <row r="1080" spans="1:2" x14ac:dyDescent="0.25">
      <c r="A1080" t="s">
        <v>115</v>
      </c>
      <c r="B1080">
        <v>155900</v>
      </c>
    </row>
    <row r="1081" spans="1:2" x14ac:dyDescent="0.25">
      <c r="A1081" t="s">
        <v>115</v>
      </c>
      <c r="B1081">
        <v>126000</v>
      </c>
    </row>
    <row r="1082" spans="1:2" x14ac:dyDescent="0.25">
      <c r="A1082" t="s">
        <v>115</v>
      </c>
      <c r="B1082">
        <v>145000</v>
      </c>
    </row>
    <row r="1083" spans="1:2" x14ac:dyDescent="0.25">
      <c r="A1083" t="s">
        <v>115</v>
      </c>
      <c r="B1083">
        <v>133000</v>
      </c>
    </row>
    <row r="1084" spans="1:2" x14ac:dyDescent="0.25">
      <c r="A1084" t="s">
        <v>115</v>
      </c>
      <c r="B1084">
        <v>192000</v>
      </c>
    </row>
    <row r="1085" spans="1:2" x14ac:dyDescent="0.25">
      <c r="A1085" t="s">
        <v>115</v>
      </c>
      <c r="B1085">
        <v>160000</v>
      </c>
    </row>
    <row r="1086" spans="1:2" x14ac:dyDescent="0.25">
      <c r="A1086" t="s">
        <v>92</v>
      </c>
      <c r="B1086">
        <v>187500</v>
      </c>
    </row>
    <row r="1087" spans="1:2" x14ac:dyDescent="0.25">
      <c r="A1087" t="s">
        <v>191</v>
      </c>
      <c r="B1087">
        <v>147000</v>
      </c>
    </row>
    <row r="1088" spans="1:2" x14ac:dyDescent="0.25">
      <c r="A1088" t="s">
        <v>92</v>
      </c>
      <c r="B1088">
        <v>83500</v>
      </c>
    </row>
    <row r="1089" spans="1:2" x14ac:dyDescent="0.25">
      <c r="A1089" t="s">
        <v>92</v>
      </c>
      <c r="B1089">
        <v>252000</v>
      </c>
    </row>
    <row r="1090" spans="1:2" x14ac:dyDescent="0.25">
      <c r="A1090" t="s">
        <v>92</v>
      </c>
      <c r="B1090">
        <v>137500</v>
      </c>
    </row>
    <row r="1091" spans="1:2" x14ac:dyDescent="0.25">
      <c r="A1091" t="s">
        <v>115</v>
      </c>
      <c r="B1091">
        <v>197000</v>
      </c>
    </row>
    <row r="1092" spans="1:2" x14ac:dyDescent="0.25">
      <c r="A1092" t="s">
        <v>115</v>
      </c>
      <c r="B1092">
        <v>92900</v>
      </c>
    </row>
    <row r="1093" spans="1:2" x14ac:dyDescent="0.25">
      <c r="A1093" t="s">
        <v>92</v>
      </c>
      <c r="B1093">
        <v>160000</v>
      </c>
    </row>
    <row r="1094" spans="1:2" x14ac:dyDescent="0.25">
      <c r="A1094" t="s">
        <v>132</v>
      </c>
      <c r="B1094">
        <v>136500</v>
      </c>
    </row>
    <row r="1095" spans="1:2" x14ac:dyDescent="0.25">
      <c r="A1095" t="s">
        <v>115</v>
      </c>
      <c r="B1095">
        <v>146000</v>
      </c>
    </row>
    <row r="1096" spans="1:2" x14ac:dyDescent="0.25">
      <c r="A1096" t="s">
        <v>115</v>
      </c>
      <c r="B1096">
        <v>129000</v>
      </c>
    </row>
    <row r="1097" spans="1:2" x14ac:dyDescent="0.25">
      <c r="A1097" t="s">
        <v>115</v>
      </c>
      <c r="B1097">
        <v>176432</v>
      </c>
    </row>
    <row r="1098" spans="1:2" x14ac:dyDescent="0.25">
      <c r="A1098" t="s">
        <v>92</v>
      </c>
      <c r="B1098">
        <v>127000</v>
      </c>
    </row>
    <row r="1099" spans="1:2" x14ac:dyDescent="0.25">
      <c r="A1099" t="s">
        <v>115</v>
      </c>
      <c r="B1099">
        <v>170000</v>
      </c>
    </row>
    <row r="1100" spans="1:2" x14ac:dyDescent="0.25">
      <c r="A1100" t="s">
        <v>132</v>
      </c>
      <c r="B1100">
        <v>128000</v>
      </c>
    </row>
    <row r="1101" spans="1:2" x14ac:dyDescent="0.25">
      <c r="A1101" t="s">
        <v>115</v>
      </c>
      <c r="B1101">
        <v>157000</v>
      </c>
    </row>
    <row r="1102" spans="1:2" x14ac:dyDescent="0.25">
      <c r="A1102" t="s">
        <v>115</v>
      </c>
      <c r="B1102">
        <v>60000</v>
      </c>
    </row>
    <row r="1103" spans="1:2" x14ac:dyDescent="0.25">
      <c r="A1103" t="s">
        <v>115</v>
      </c>
      <c r="B1103">
        <v>119500</v>
      </c>
    </row>
    <row r="1104" spans="1:2" x14ac:dyDescent="0.25">
      <c r="A1104" t="s">
        <v>115</v>
      </c>
      <c r="B1104">
        <v>135000</v>
      </c>
    </row>
    <row r="1105" spans="1:2" x14ac:dyDescent="0.25">
      <c r="A1105" t="s">
        <v>115</v>
      </c>
      <c r="B1105">
        <v>159500</v>
      </c>
    </row>
    <row r="1106" spans="1:2" x14ac:dyDescent="0.25">
      <c r="A1106" t="s">
        <v>92</v>
      </c>
      <c r="B1106">
        <v>106000</v>
      </c>
    </row>
    <row r="1107" spans="1:2" x14ac:dyDescent="0.25">
      <c r="A1107" t="s">
        <v>92</v>
      </c>
      <c r="B1107">
        <v>325000</v>
      </c>
    </row>
    <row r="1108" spans="1:2" x14ac:dyDescent="0.25">
      <c r="A1108" t="s">
        <v>115</v>
      </c>
      <c r="B1108">
        <v>179900</v>
      </c>
    </row>
    <row r="1109" spans="1:2" x14ac:dyDescent="0.25">
      <c r="A1109" t="s">
        <v>92</v>
      </c>
      <c r="B1109">
        <v>274725</v>
      </c>
    </row>
    <row r="1110" spans="1:2" x14ac:dyDescent="0.25">
      <c r="A1110" t="s">
        <v>92</v>
      </c>
      <c r="B1110">
        <v>181000</v>
      </c>
    </row>
    <row r="1111" spans="1:2" x14ac:dyDescent="0.25">
      <c r="A1111" t="s">
        <v>115</v>
      </c>
      <c r="B1111">
        <v>280000</v>
      </c>
    </row>
    <row r="1112" spans="1:2" x14ac:dyDescent="0.25">
      <c r="A1112" t="s">
        <v>92</v>
      </c>
      <c r="B1112">
        <v>188000</v>
      </c>
    </row>
    <row r="1113" spans="1:2" x14ac:dyDescent="0.25">
      <c r="A1113" t="s">
        <v>92</v>
      </c>
      <c r="B1113">
        <v>205000</v>
      </c>
    </row>
    <row r="1114" spans="1:2" x14ac:dyDescent="0.25">
      <c r="A1114" t="s">
        <v>115</v>
      </c>
      <c r="B1114">
        <v>129900</v>
      </c>
    </row>
    <row r="1115" spans="1:2" x14ac:dyDescent="0.25">
      <c r="A1115" t="s">
        <v>115</v>
      </c>
      <c r="B1115">
        <v>134500</v>
      </c>
    </row>
    <row r="1116" spans="1:2" x14ac:dyDescent="0.25">
      <c r="A1116" t="s">
        <v>115</v>
      </c>
      <c r="B1116">
        <v>117000</v>
      </c>
    </row>
    <row r="1117" spans="1:2" x14ac:dyDescent="0.25">
      <c r="A1117" t="s">
        <v>115</v>
      </c>
      <c r="B1117">
        <v>318000</v>
      </c>
    </row>
    <row r="1118" spans="1:2" x14ac:dyDescent="0.25">
      <c r="A1118" t="s">
        <v>197</v>
      </c>
      <c r="B1118">
        <v>184100</v>
      </c>
    </row>
    <row r="1119" spans="1:2" x14ac:dyDescent="0.25">
      <c r="A1119" t="s">
        <v>115</v>
      </c>
      <c r="B1119">
        <v>130000</v>
      </c>
    </row>
    <row r="1120" spans="1:2" x14ac:dyDescent="0.25">
      <c r="A1120" t="s">
        <v>197</v>
      </c>
      <c r="B1120">
        <v>140000</v>
      </c>
    </row>
    <row r="1121" spans="1:2" x14ac:dyDescent="0.25">
      <c r="A1121" t="s">
        <v>115</v>
      </c>
      <c r="B1121">
        <v>133700</v>
      </c>
    </row>
    <row r="1122" spans="1:2" x14ac:dyDescent="0.25">
      <c r="A1122" t="s">
        <v>115</v>
      </c>
      <c r="B1122">
        <v>118400</v>
      </c>
    </row>
    <row r="1123" spans="1:2" x14ac:dyDescent="0.25">
      <c r="A1123" t="s">
        <v>115</v>
      </c>
      <c r="B1123">
        <v>212900</v>
      </c>
    </row>
    <row r="1124" spans="1:2" x14ac:dyDescent="0.25">
      <c r="A1124" t="s">
        <v>115</v>
      </c>
      <c r="B1124">
        <v>112000</v>
      </c>
    </row>
    <row r="1125" spans="1:2" x14ac:dyDescent="0.25">
      <c r="A1125" t="s">
        <v>115</v>
      </c>
      <c r="B1125">
        <v>118000</v>
      </c>
    </row>
    <row r="1126" spans="1:2" x14ac:dyDescent="0.25">
      <c r="A1126" t="s">
        <v>197</v>
      </c>
      <c r="B1126">
        <v>163900</v>
      </c>
    </row>
    <row r="1127" spans="1:2" x14ac:dyDescent="0.25">
      <c r="A1127" t="s">
        <v>115</v>
      </c>
      <c r="B1127">
        <v>115000</v>
      </c>
    </row>
    <row r="1128" spans="1:2" x14ac:dyDescent="0.25">
      <c r="A1128" t="s">
        <v>115</v>
      </c>
      <c r="B1128">
        <v>174000</v>
      </c>
    </row>
    <row r="1129" spans="1:2" x14ac:dyDescent="0.25">
      <c r="A1129" t="s">
        <v>115</v>
      </c>
      <c r="B1129">
        <v>259000</v>
      </c>
    </row>
    <row r="1130" spans="1:2" x14ac:dyDescent="0.25">
      <c r="A1130" t="s">
        <v>92</v>
      </c>
      <c r="B1130">
        <v>215000</v>
      </c>
    </row>
    <row r="1131" spans="1:2" x14ac:dyDescent="0.25">
      <c r="A1131" t="s">
        <v>191</v>
      </c>
      <c r="B1131">
        <v>140000</v>
      </c>
    </row>
    <row r="1132" spans="1:2" x14ac:dyDescent="0.25">
      <c r="A1132" t="s">
        <v>132</v>
      </c>
      <c r="B1132">
        <v>135000</v>
      </c>
    </row>
    <row r="1133" spans="1:2" x14ac:dyDescent="0.25">
      <c r="A1133" t="s">
        <v>115</v>
      </c>
      <c r="B1133">
        <v>93500</v>
      </c>
    </row>
    <row r="1134" spans="1:2" x14ac:dyDescent="0.25">
      <c r="A1134" t="s">
        <v>92</v>
      </c>
      <c r="B1134">
        <v>117500</v>
      </c>
    </row>
    <row r="1135" spans="1:2" x14ac:dyDescent="0.25">
      <c r="A1135" t="s">
        <v>92</v>
      </c>
      <c r="B1135">
        <v>239500</v>
      </c>
    </row>
    <row r="1136" spans="1:2" x14ac:dyDescent="0.25">
      <c r="A1136" t="s">
        <v>92</v>
      </c>
      <c r="B1136">
        <v>169000</v>
      </c>
    </row>
    <row r="1137" spans="1:2" x14ac:dyDescent="0.25">
      <c r="A1137" t="s">
        <v>115</v>
      </c>
      <c r="B1137">
        <v>102000</v>
      </c>
    </row>
    <row r="1138" spans="1:2" x14ac:dyDescent="0.25">
      <c r="A1138" t="s">
        <v>132</v>
      </c>
      <c r="B1138">
        <v>119000</v>
      </c>
    </row>
    <row r="1139" spans="1:2" x14ac:dyDescent="0.25">
      <c r="A1139" t="s">
        <v>132</v>
      </c>
      <c r="B1139">
        <v>94000</v>
      </c>
    </row>
    <row r="1140" spans="1:2" x14ac:dyDescent="0.25">
      <c r="A1140" t="s">
        <v>115</v>
      </c>
      <c r="B1140">
        <v>196000</v>
      </c>
    </row>
    <row r="1141" spans="1:2" x14ac:dyDescent="0.25">
      <c r="A1141" t="s">
        <v>115</v>
      </c>
      <c r="B1141">
        <v>144000</v>
      </c>
    </row>
    <row r="1142" spans="1:2" x14ac:dyDescent="0.25">
      <c r="A1142" t="s">
        <v>115</v>
      </c>
      <c r="B1142">
        <v>139000</v>
      </c>
    </row>
    <row r="1143" spans="1:2" x14ac:dyDescent="0.25">
      <c r="A1143" t="s">
        <v>92</v>
      </c>
      <c r="B1143">
        <v>197500</v>
      </c>
    </row>
    <row r="1144" spans="1:2" x14ac:dyDescent="0.25">
      <c r="A1144" t="s">
        <v>92</v>
      </c>
      <c r="B1144">
        <v>424870</v>
      </c>
    </row>
    <row r="1145" spans="1:2" x14ac:dyDescent="0.25">
      <c r="A1145" t="s">
        <v>115</v>
      </c>
      <c r="B1145">
        <v>80000</v>
      </c>
    </row>
    <row r="1146" spans="1:2" x14ac:dyDescent="0.25">
      <c r="A1146" t="s">
        <v>132</v>
      </c>
      <c r="B1146">
        <v>80000</v>
      </c>
    </row>
    <row r="1147" spans="1:2" x14ac:dyDescent="0.25">
      <c r="A1147" t="s">
        <v>132</v>
      </c>
      <c r="B1147">
        <v>149000</v>
      </c>
    </row>
    <row r="1148" spans="1:2" x14ac:dyDescent="0.25">
      <c r="A1148" t="s">
        <v>115</v>
      </c>
      <c r="B1148">
        <v>180000</v>
      </c>
    </row>
    <row r="1149" spans="1:2" x14ac:dyDescent="0.25">
      <c r="A1149" t="s">
        <v>92</v>
      </c>
      <c r="B1149">
        <v>174500</v>
      </c>
    </row>
    <row r="1150" spans="1:2" x14ac:dyDescent="0.25">
      <c r="A1150" t="s">
        <v>132</v>
      </c>
      <c r="B1150">
        <v>116900</v>
      </c>
    </row>
    <row r="1151" spans="1:2" x14ac:dyDescent="0.25">
      <c r="A1151" t="s">
        <v>92</v>
      </c>
      <c r="B1151">
        <v>143000</v>
      </c>
    </row>
    <row r="1152" spans="1:2" x14ac:dyDescent="0.25">
      <c r="A1152" t="s">
        <v>115</v>
      </c>
      <c r="B1152">
        <v>124000</v>
      </c>
    </row>
    <row r="1153" spans="1:2" x14ac:dyDescent="0.25">
      <c r="A1153" t="s">
        <v>115</v>
      </c>
      <c r="B1153">
        <v>149900</v>
      </c>
    </row>
    <row r="1154" spans="1:2" x14ac:dyDescent="0.25">
      <c r="A1154" t="s">
        <v>115</v>
      </c>
      <c r="B1154">
        <v>230000</v>
      </c>
    </row>
    <row r="1155" spans="1:2" x14ac:dyDescent="0.25">
      <c r="A1155" t="s">
        <v>115</v>
      </c>
      <c r="B1155">
        <v>120500</v>
      </c>
    </row>
    <row r="1156" spans="1:2" x14ac:dyDescent="0.25">
      <c r="A1156" t="s">
        <v>92</v>
      </c>
      <c r="B1156">
        <v>201800</v>
      </c>
    </row>
    <row r="1157" spans="1:2" x14ac:dyDescent="0.25">
      <c r="A1157" t="s">
        <v>115</v>
      </c>
      <c r="B1157">
        <v>218000</v>
      </c>
    </row>
    <row r="1158" spans="1:2" x14ac:dyDescent="0.25">
      <c r="A1158" t="s">
        <v>197</v>
      </c>
      <c r="B1158">
        <v>179900</v>
      </c>
    </row>
    <row r="1159" spans="1:2" x14ac:dyDescent="0.25">
      <c r="A1159" t="s">
        <v>115</v>
      </c>
      <c r="B1159">
        <v>230000</v>
      </c>
    </row>
    <row r="1160" spans="1:2" x14ac:dyDescent="0.25">
      <c r="A1160" t="s">
        <v>115</v>
      </c>
      <c r="B1160">
        <v>235128</v>
      </c>
    </row>
    <row r="1161" spans="1:2" x14ac:dyDescent="0.25">
      <c r="A1161" t="s">
        <v>92</v>
      </c>
      <c r="B1161">
        <v>185000</v>
      </c>
    </row>
    <row r="1162" spans="1:2" x14ac:dyDescent="0.25">
      <c r="A1162" t="s">
        <v>92</v>
      </c>
      <c r="B1162">
        <v>146000</v>
      </c>
    </row>
    <row r="1163" spans="1:2" x14ac:dyDescent="0.25">
      <c r="A1163" t="s">
        <v>115</v>
      </c>
      <c r="B1163">
        <v>224000</v>
      </c>
    </row>
    <row r="1164" spans="1:2" x14ac:dyDescent="0.25">
      <c r="A1164" t="s">
        <v>115</v>
      </c>
      <c r="B1164">
        <v>129000</v>
      </c>
    </row>
    <row r="1165" spans="1:2" x14ac:dyDescent="0.25">
      <c r="A1165" t="s">
        <v>191</v>
      </c>
      <c r="B1165">
        <v>108959</v>
      </c>
    </row>
    <row r="1166" spans="1:2" x14ac:dyDescent="0.25">
      <c r="A1166" t="s">
        <v>197</v>
      </c>
      <c r="B1166">
        <v>194000</v>
      </c>
    </row>
    <row r="1167" spans="1:2" x14ac:dyDescent="0.25">
      <c r="A1167" t="s">
        <v>115</v>
      </c>
      <c r="B1167">
        <v>233170</v>
      </c>
    </row>
    <row r="1168" spans="1:2" x14ac:dyDescent="0.25">
      <c r="A1168" t="s">
        <v>115</v>
      </c>
      <c r="B1168">
        <v>245350</v>
      </c>
    </row>
    <row r="1169" spans="1:2" x14ac:dyDescent="0.25">
      <c r="A1169" t="s">
        <v>92</v>
      </c>
      <c r="B1169">
        <v>173000</v>
      </c>
    </row>
    <row r="1170" spans="1:2" x14ac:dyDescent="0.25">
      <c r="A1170" t="s">
        <v>92</v>
      </c>
      <c r="B1170">
        <v>235000</v>
      </c>
    </row>
    <row r="1171" spans="1:2" x14ac:dyDescent="0.25">
      <c r="A1171" t="s">
        <v>92</v>
      </c>
      <c r="B1171">
        <v>625000</v>
      </c>
    </row>
    <row r="1172" spans="1:2" x14ac:dyDescent="0.25">
      <c r="A1172" t="s">
        <v>197</v>
      </c>
      <c r="B1172">
        <v>171000</v>
      </c>
    </row>
    <row r="1173" spans="1:2" x14ac:dyDescent="0.25">
      <c r="A1173" t="s">
        <v>115</v>
      </c>
      <c r="B1173">
        <v>163000</v>
      </c>
    </row>
    <row r="1174" spans="1:2" x14ac:dyDescent="0.25">
      <c r="A1174" t="s">
        <v>92</v>
      </c>
      <c r="B1174">
        <v>171900</v>
      </c>
    </row>
    <row r="1175" spans="1:2" x14ac:dyDescent="0.25">
      <c r="A1175" t="s">
        <v>132</v>
      </c>
      <c r="B1175">
        <v>200500</v>
      </c>
    </row>
    <row r="1176" spans="1:2" x14ac:dyDescent="0.25">
      <c r="A1176" t="s">
        <v>92</v>
      </c>
      <c r="B1176">
        <v>239000</v>
      </c>
    </row>
    <row r="1177" spans="1:2" x14ac:dyDescent="0.25">
      <c r="A1177" t="s">
        <v>132</v>
      </c>
      <c r="B1177">
        <v>285000</v>
      </c>
    </row>
    <row r="1178" spans="1:2" x14ac:dyDescent="0.25">
      <c r="A1178" t="s">
        <v>115</v>
      </c>
      <c r="B1178">
        <v>119500</v>
      </c>
    </row>
    <row r="1179" spans="1:2" x14ac:dyDescent="0.25">
      <c r="A1179" t="s">
        <v>132</v>
      </c>
      <c r="B1179">
        <v>115000</v>
      </c>
    </row>
    <row r="1180" spans="1:2" x14ac:dyDescent="0.25">
      <c r="A1180" t="s">
        <v>132</v>
      </c>
      <c r="B1180">
        <v>154900</v>
      </c>
    </row>
    <row r="1181" spans="1:2" x14ac:dyDescent="0.25">
      <c r="A1181" t="s">
        <v>115</v>
      </c>
      <c r="B1181">
        <v>93000</v>
      </c>
    </row>
    <row r="1182" spans="1:2" x14ac:dyDescent="0.25">
      <c r="A1182" t="s">
        <v>92</v>
      </c>
      <c r="B1182">
        <v>250000</v>
      </c>
    </row>
    <row r="1183" spans="1:2" x14ac:dyDescent="0.25">
      <c r="A1183" t="s">
        <v>115</v>
      </c>
      <c r="B1183">
        <v>392500</v>
      </c>
    </row>
    <row r="1184" spans="1:2" x14ac:dyDescent="0.25">
      <c r="A1184" t="s">
        <v>92</v>
      </c>
      <c r="B1184">
        <v>745000</v>
      </c>
    </row>
    <row r="1185" spans="1:2" x14ac:dyDescent="0.25">
      <c r="A1185" t="s">
        <v>115</v>
      </c>
      <c r="B1185">
        <v>120000</v>
      </c>
    </row>
    <row r="1186" spans="1:2" x14ac:dyDescent="0.25">
      <c r="A1186" t="s">
        <v>115</v>
      </c>
      <c r="B1186">
        <v>186700</v>
      </c>
    </row>
    <row r="1187" spans="1:2" x14ac:dyDescent="0.25">
      <c r="A1187" t="s">
        <v>132</v>
      </c>
      <c r="B1187">
        <v>104900</v>
      </c>
    </row>
    <row r="1188" spans="1:2" x14ac:dyDescent="0.25">
      <c r="A1188" t="s">
        <v>92</v>
      </c>
      <c r="B1188">
        <v>95000</v>
      </c>
    </row>
    <row r="1189" spans="1:2" x14ac:dyDescent="0.25">
      <c r="A1189" t="s">
        <v>115</v>
      </c>
      <c r="B1189">
        <v>262000</v>
      </c>
    </row>
    <row r="1190" spans="1:2" x14ac:dyDescent="0.25">
      <c r="A1190" t="s">
        <v>92</v>
      </c>
      <c r="B1190">
        <v>195000</v>
      </c>
    </row>
    <row r="1191" spans="1:2" x14ac:dyDescent="0.25">
      <c r="A1191" t="s">
        <v>92</v>
      </c>
      <c r="B1191">
        <v>189000</v>
      </c>
    </row>
    <row r="1192" spans="1:2" x14ac:dyDescent="0.25">
      <c r="A1192" t="s">
        <v>115</v>
      </c>
      <c r="B1192">
        <v>168000</v>
      </c>
    </row>
    <row r="1193" spans="1:2" x14ac:dyDescent="0.25">
      <c r="A1193" t="s">
        <v>92</v>
      </c>
      <c r="B1193">
        <v>174000</v>
      </c>
    </row>
    <row r="1194" spans="1:2" x14ac:dyDescent="0.25">
      <c r="A1194" t="s">
        <v>132</v>
      </c>
      <c r="B1194">
        <v>125000</v>
      </c>
    </row>
    <row r="1195" spans="1:2" x14ac:dyDescent="0.25">
      <c r="A1195" t="s">
        <v>115</v>
      </c>
      <c r="B1195">
        <v>165000</v>
      </c>
    </row>
    <row r="1196" spans="1:2" x14ac:dyDescent="0.25">
      <c r="A1196" t="s">
        <v>92</v>
      </c>
      <c r="B1196">
        <v>158000</v>
      </c>
    </row>
    <row r="1197" spans="1:2" x14ac:dyDescent="0.25">
      <c r="A1197" t="s">
        <v>92</v>
      </c>
      <c r="B1197">
        <v>176000</v>
      </c>
    </row>
    <row r="1198" spans="1:2" x14ac:dyDescent="0.25">
      <c r="A1198" t="s">
        <v>92</v>
      </c>
      <c r="B1198">
        <v>219210</v>
      </c>
    </row>
    <row r="1199" spans="1:2" x14ac:dyDescent="0.25">
      <c r="A1199" t="s">
        <v>201</v>
      </c>
      <c r="B1199">
        <v>144000</v>
      </c>
    </row>
    <row r="1200" spans="1:2" x14ac:dyDescent="0.25">
      <c r="A1200" t="s">
        <v>115</v>
      </c>
      <c r="B1200">
        <v>178000</v>
      </c>
    </row>
    <row r="1201" spans="1:2" x14ac:dyDescent="0.25">
      <c r="A1201" t="s">
        <v>115</v>
      </c>
      <c r="B1201">
        <v>148000</v>
      </c>
    </row>
    <row r="1202" spans="1:2" x14ac:dyDescent="0.25">
      <c r="A1202" t="s">
        <v>115</v>
      </c>
      <c r="B1202">
        <v>116050</v>
      </c>
    </row>
    <row r="1203" spans="1:2" x14ac:dyDescent="0.25">
      <c r="A1203" t="s">
        <v>92</v>
      </c>
      <c r="B1203">
        <v>197900</v>
      </c>
    </row>
    <row r="1204" spans="1:2" x14ac:dyDescent="0.25">
      <c r="A1204" t="s">
        <v>132</v>
      </c>
      <c r="B1204">
        <v>117000</v>
      </c>
    </row>
    <row r="1205" spans="1:2" x14ac:dyDescent="0.25">
      <c r="A1205" t="s">
        <v>115</v>
      </c>
      <c r="B1205">
        <v>213000</v>
      </c>
    </row>
    <row r="1206" spans="1:2" x14ac:dyDescent="0.25">
      <c r="A1206" t="s">
        <v>115</v>
      </c>
      <c r="B1206">
        <v>153500</v>
      </c>
    </row>
    <row r="1207" spans="1:2" x14ac:dyDescent="0.25">
      <c r="A1207" t="s">
        <v>115</v>
      </c>
      <c r="B1207">
        <v>271900</v>
      </c>
    </row>
    <row r="1208" spans="1:2" x14ac:dyDescent="0.25">
      <c r="A1208" t="s">
        <v>115</v>
      </c>
      <c r="B1208">
        <v>107000</v>
      </c>
    </row>
    <row r="1209" spans="1:2" x14ac:dyDescent="0.25">
      <c r="A1209" t="s">
        <v>115</v>
      </c>
      <c r="B1209">
        <v>200000</v>
      </c>
    </row>
    <row r="1210" spans="1:2" x14ac:dyDescent="0.25">
      <c r="A1210" t="s">
        <v>115</v>
      </c>
      <c r="B1210">
        <v>140000</v>
      </c>
    </row>
    <row r="1211" spans="1:2" x14ac:dyDescent="0.25">
      <c r="A1211" t="s">
        <v>115</v>
      </c>
      <c r="B1211">
        <v>290000</v>
      </c>
    </row>
    <row r="1212" spans="1:2" x14ac:dyDescent="0.25">
      <c r="A1212" t="s">
        <v>92</v>
      </c>
      <c r="B1212">
        <v>189000</v>
      </c>
    </row>
    <row r="1213" spans="1:2" x14ac:dyDescent="0.25">
      <c r="A1213" t="s">
        <v>132</v>
      </c>
      <c r="B1213">
        <v>164000</v>
      </c>
    </row>
    <row r="1214" spans="1:2" x14ac:dyDescent="0.25">
      <c r="A1214" t="s">
        <v>115</v>
      </c>
      <c r="B1214">
        <v>113000</v>
      </c>
    </row>
    <row r="1215" spans="1:2" x14ac:dyDescent="0.25">
      <c r="A1215" t="s">
        <v>197</v>
      </c>
      <c r="B1215">
        <v>145000</v>
      </c>
    </row>
    <row r="1216" spans="1:2" x14ac:dyDescent="0.25">
      <c r="A1216" t="s">
        <v>191</v>
      </c>
      <c r="B1216">
        <v>134500</v>
      </c>
    </row>
    <row r="1217" spans="1:2" x14ac:dyDescent="0.25">
      <c r="A1217" t="s">
        <v>115</v>
      </c>
      <c r="B1217">
        <v>125000</v>
      </c>
    </row>
    <row r="1218" spans="1:2" x14ac:dyDescent="0.25">
      <c r="A1218" t="s">
        <v>132</v>
      </c>
      <c r="B1218">
        <v>112000</v>
      </c>
    </row>
    <row r="1219" spans="1:2" x14ac:dyDescent="0.25">
      <c r="A1219" t="s">
        <v>115</v>
      </c>
      <c r="B1219">
        <v>229456</v>
      </c>
    </row>
    <row r="1220" spans="1:2" x14ac:dyDescent="0.25">
      <c r="A1220" t="s">
        <v>132</v>
      </c>
      <c r="B1220">
        <v>80500</v>
      </c>
    </row>
    <row r="1221" spans="1:2" x14ac:dyDescent="0.25">
      <c r="A1221" t="s">
        <v>92</v>
      </c>
      <c r="B1221">
        <v>91500</v>
      </c>
    </row>
    <row r="1222" spans="1:2" x14ac:dyDescent="0.25">
      <c r="A1222" t="s">
        <v>115</v>
      </c>
      <c r="B1222">
        <v>115000</v>
      </c>
    </row>
    <row r="1223" spans="1:2" x14ac:dyDescent="0.25">
      <c r="A1223" t="s">
        <v>115</v>
      </c>
      <c r="B1223">
        <v>134000</v>
      </c>
    </row>
    <row r="1224" spans="1:2" x14ac:dyDescent="0.25">
      <c r="A1224" t="s">
        <v>132</v>
      </c>
      <c r="B1224">
        <v>143000</v>
      </c>
    </row>
    <row r="1225" spans="1:2" x14ac:dyDescent="0.25">
      <c r="A1225" t="s">
        <v>115</v>
      </c>
      <c r="B1225">
        <v>137900</v>
      </c>
    </row>
    <row r="1226" spans="1:2" x14ac:dyDescent="0.25">
      <c r="A1226" t="s">
        <v>92</v>
      </c>
      <c r="B1226">
        <v>184000</v>
      </c>
    </row>
    <row r="1227" spans="1:2" x14ac:dyDescent="0.25">
      <c r="A1227" t="s">
        <v>197</v>
      </c>
      <c r="B1227">
        <v>145000</v>
      </c>
    </row>
    <row r="1228" spans="1:2" x14ac:dyDescent="0.25">
      <c r="A1228" t="s">
        <v>92</v>
      </c>
      <c r="B1228">
        <v>214000</v>
      </c>
    </row>
    <row r="1229" spans="1:2" x14ac:dyDescent="0.25">
      <c r="A1229" t="s">
        <v>115</v>
      </c>
      <c r="B1229">
        <v>147000</v>
      </c>
    </row>
    <row r="1230" spans="1:2" x14ac:dyDescent="0.25">
      <c r="A1230" t="s">
        <v>115</v>
      </c>
      <c r="B1230">
        <v>367294</v>
      </c>
    </row>
    <row r="1231" spans="1:2" x14ac:dyDescent="0.25">
      <c r="A1231" t="s">
        <v>197</v>
      </c>
      <c r="B1231">
        <v>127000</v>
      </c>
    </row>
    <row r="1232" spans="1:2" x14ac:dyDescent="0.25">
      <c r="A1232" t="s">
        <v>132</v>
      </c>
      <c r="B1232">
        <v>190000</v>
      </c>
    </row>
    <row r="1233" spans="1:2" x14ac:dyDescent="0.25">
      <c r="A1233" t="s">
        <v>197</v>
      </c>
      <c r="B1233">
        <v>132500</v>
      </c>
    </row>
    <row r="1234" spans="1:2" x14ac:dyDescent="0.25">
      <c r="A1234" t="s">
        <v>115</v>
      </c>
      <c r="B1234">
        <v>101800</v>
      </c>
    </row>
    <row r="1235" spans="1:2" x14ac:dyDescent="0.25">
      <c r="A1235" t="s">
        <v>115</v>
      </c>
      <c r="B1235">
        <v>142000</v>
      </c>
    </row>
    <row r="1236" spans="1:2" x14ac:dyDescent="0.25">
      <c r="A1236" t="s">
        <v>92</v>
      </c>
      <c r="B1236">
        <v>130000</v>
      </c>
    </row>
    <row r="1237" spans="1:2" x14ac:dyDescent="0.25">
      <c r="A1237" t="s">
        <v>92</v>
      </c>
      <c r="B1237">
        <v>138887</v>
      </c>
    </row>
    <row r="1238" spans="1:2" x14ac:dyDescent="0.25">
      <c r="A1238" t="s">
        <v>92</v>
      </c>
      <c r="B1238">
        <v>175500</v>
      </c>
    </row>
    <row r="1239" spans="1:2" x14ac:dyDescent="0.25">
      <c r="A1239" t="s">
        <v>92</v>
      </c>
      <c r="B1239">
        <v>195000</v>
      </c>
    </row>
    <row r="1240" spans="1:2" x14ac:dyDescent="0.25">
      <c r="A1240" t="s">
        <v>115</v>
      </c>
      <c r="B1240">
        <v>142500</v>
      </c>
    </row>
    <row r="1241" spans="1:2" x14ac:dyDescent="0.25">
      <c r="A1241" t="s">
        <v>115</v>
      </c>
      <c r="B1241">
        <v>265900</v>
      </c>
    </row>
    <row r="1242" spans="1:2" x14ac:dyDescent="0.25">
      <c r="A1242" t="s">
        <v>92</v>
      </c>
      <c r="B1242">
        <v>224900</v>
      </c>
    </row>
    <row r="1243" spans="1:2" x14ac:dyDescent="0.25">
      <c r="A1243" t="s">
        <v>115</v>
      </c>
      <c r="B1243">
        <v>248328</v>
      </c>
    </row>
    <row r="1244" spans="1:2" x14ac:dyDescent="0.25">
      <c r="A1244" t="s">
        <v>191</v>
      </c>
      <c r="B1244">
        <v>170000</v>
      </c>
    </row>
    <row r="1245" spans="1:2" x14ac:dyDescent="0.25">
      <c r="A1245" t="s">
        <v>115</v>
      </c>
      <c r="B1245">
        <v>465000</v>
      </c>
    </row>
    <row r="1246" spans="1:2" x14ac:dyDescent="0.25">
      <c r="A1246" t="s">
        <v>92</v>
      </c>
      <c r="B1246">
        <v>230000</v>
      </c>
    </row>
    <row r="1247" spans="1:2" x14ac:dyDescent="0.25">
      <c r="A1247" t="s">
        <v>197</v>
      </c>
      <c r="B1247">
        <v>178000</v>
      </c>
    </row>
    <row r="1248" spans="1:2" x14ac:dyDescent="0.25">
      <c r="A1248" t="s">
        <v>92</v>
      </c>
      <c r="B1248">
        <v>186500</v>
      </c>
    </row>
    <row r="1249" spans="1:2" x14ac:dyDescent="0.25">
      <c r="A1249" t="s">
        <v>197</v>
      </c>
      <c r="B1249">
        <v>169900</v>
      </c>
    </row>
    <row r="1250" spans="1:2" x14ac:dyDescent="0.25">
      <c r="A1250" t="s">
        <v>201</v>
      </c>
      <c r="B1250">
        <v>129500</v>
      </c>
    </row>
    <row r="1251" spans="1:2" x14ac:dyDescent="0.25">
      <c r="A1251" t="s">
        <v>115</v>
      </c>
      <c r="B1251">
        <v>119000</v>
      </c>
    </row>
    <row r="1252" spans="1:2" x14ac:dyDescent="0.25">
      <c r="A1252" t="s">
        <v>115</v>
      </c>
      <c r="B1252">
        <v>244000</v>
      </c>
    </row>
    <row r="1253" spans="1:2" x14ac:dyDescent="0.25">
      <c r="A1253" t="s">
        <v>115</v>
      </c>
      <c r="B1253">
        <v>171750</v>
      </c>
    </row>
    <row r="1254" spans="1:2" x14ac:dyDescent="0.25">
      <c r="A1254" t="s">
        <v>115</v>
      </c>
      <c r="B1254">
        <v>130000</v>
      </c>
    </row>
    <row r="1255" spans="1:2" x14ac:dyDescent="0.25">
      <c r="A1255" t="s">
        <v>92</v>
      </c>
      <c r="B1255">
        <v>294000</v>
      </c>
    </row>
    <row r="1256" spans="1:2" x14ac:dyDescent="0.25">
      <c r="A1256" t="s">
        <v>92</v>
      </c>
      <c r="B1256">
        <v>165400</v>
      </c>
    </row>
    <row r="1257" spans="1:2" x14ac:dyDescent="0.25">
      <c r="A1257" t="s">
        <v>132</v>
      </c>
      <c r="B1257">
        <v>127500</v>
      </c>
    </row>
    <row r="1258" spans="1:2" x14ac:dyDescent="0.25">
      <c r="A1258" t="s">
        <v>115</v>
      </c>
      <c r="B1258">
        <v>301500</v>
      </c>
    </row>
    <row r="1259" spans="1:2" x14ac:dyDescent="0.25">
      <c r="A1259" t="s">
        <v>115</v>
      </c>
      <c r="B1259">
        <v>99900</v>
      </c>
    </row>
    <row r="1260" spans="1:2" x14ac:dyDescent="0.25">
      <c r="A1260" t="s">
        <v>197</v>
      </c>
      <c r="B1260">
        <v>190000</v>
      </c>
    </row>
    <row r="1261" spans="1:2" x14ac:dyDescent="0.25">
      <c r="A1261" t="s">
        <v>115</v>
      </c>
      <c r="B1261">
        <v>151000</v>
      </c>
    </row>
    <row r="1262" spans="1:2" x14ac:dyDescent="0.25">
      <c r="A1262" t="s">
        <v>92</v>
      </c>
      <c r="B1262">
        <v>181000</v>
      </c>
    </row>
    <row r="1263" spans="1:2" x14ac:dyDescent="0.25">
      <c r="A1263" t="s">
        <v>115</v>
      </c>
      <c r="B1263">
        <v>128900</v>
      </c>
    </row>
    <row r="1264" spans="1:2" x14ac:dyDescent="0.25">
      <c r="A1264" t="s">
        <v>132</v>
      </c>
      <c r="B1264">
        <v>161500</v>
      </c>
    </row>
    <row r="1265" spans="1:2" x14ac:dyDescent="0.25">
      <c r="A1265" t="s">
        <v>92</v>
      </c>
      <c r="B1265">
        <v>180500</v>
      </c>
    </row>
    <row r="1266" spans="1:2" x14ac:dyDescent="0.25">
      <c r="A1266" t="s">
        <v>115</v>
      </c>
      <c r="B1266">
        <v>181000</v>
      </c>
    </row>
    <row r="1267" spans="1:2" x14ac:dyDescent="0.25">
      <c r="A1267" t="s">
        <v>92</v>
      </c>
      <c r="B1267">
        <v>183900</v>
      </c>
    </row>
    <row r="1268" spans="1:2" x14ac:dyDescent="0.25">
      <c r="A1268" t="s">
        <v>201</v>
      </c>
      <c r="B1268">
        <v>122000</v>
      </c>
    </row>
    <row r="1269" spans="1:2" x14ac:dyDescent="0.25">
      <c r="A1269" t="s">
        <v>115</v>
      </c>
      <c r="B1269">
        <v>378500</v>
      </c>
    </row>
    <row r="1270" spans="1:2" x14ac:dyDescent="0.25">
      <c r="A1270" t="s">
        <v>132</v>
      </c>
      <c r="B1270">
        <v>381000</v>
      </c>
    </row>
    <row r="1271" spans="1:2" x14ac:dyDescent="0.25">
      <c r="A1271" t="s">
        <v>132</v>
      </c>
      <c r="B1271">
        <v>144000</v>
      </c>
    </row>
    <row r="1272" spans="1:2" x14ac:dyDescent="0.25">
      <c r="A1272" t="s">
        <v>115</v>
      </c>
      <c r="B1272">
        <v>260000</v>
      </c>
    </row>
    <row r="1273" spans="1:2" x14ac:dyDescent="0.25">
      <c r="A1273" t="s">
        <v>115</v>
      </c>
      <c r="B1273">
        <v>185750</v>
      </c>
    </row>
    <row r="1274" spans="1:2" x14ac:dyDescent="0.25">
      <c r="A1274" t="s">
        <v>115</v>
      </c>
      <c r="B1274">
        <v>137000</v>
      </c>
    </row>
    <row r="1275" spans="1:2" x14ac:dyDescent="0.25">
      <c r="A1275" t="s">
        <v>197</v>
      </c>
      <c r="B1275">
        <v>177000</v>
      </c>
    </row>
    <row r="1276" spans="1:2" x14ac:dyDescent="0.25">
      <c r="A1276" t="s">
        <v>132</v>
      </c>
      <c r="B1276">
        <v>139000</v>
      </c>
    </row>
    <row r="1277" spans="1:2" x14ac:dyDescent="0.25">
      <c r="A1277" t="s">
        <v>92</v>
      </c>
      <c r="B1277">
        <v>137000</v>
      </c>
    </row>
    <row r="1278" spans="1:2" x14ac:dyDescent="0.25">
      <c r="A1278" t="s">
        <v>92</v>
      </c>
      <c r="B1278">
        <v>162000</v>
      </c>
    </row>
    <row r="1279" spans="1:2" x14ac:dyDescent="0.25">
      <c r="A1279" t="s">
        <v>197</v>
      </c>
      <c r="B1279">
        <v>197900</v>
      </c>
    </row>
    <row r="1280" spans="1:2" x14ac:dyDescent="0.25">
      <c r="A1280" t="s">
        <v>92</v>
      </c>
      <c r="B1280">
        <v>237000</v>
      </c>
    </row>
    <row r="1281" spans="1:2" x14ac:dyDescent="0.25">
      <c r="A1281" t="s">
        <v>132</v>
      </c>
      <c r="B1281">
        <v>68400</v>
      </c>
    </row>
    <row r="1282" spans="1:2" x14ac:dyDescent="0.25">
      <c r="A1282" t="s">
        <v>115</v>
      </c>
      <c r="B1282">
        <v>227000</v>
      </c>
    </row>
    <row r="1283" spans="1:2" x14ac:dyDescent="0.25">
      <c r="A1283" t="s">
        <v>115</v>
      </c>
      <c r="B1283">
        <v>180000</v>
      </c>
    </row>
    <row r="1284" spans="1:2" x14ac:dyDescent="0.25">
      <c r="A1284" t="s">
        <v>115</v>
      </c>
      <c r="B1284">
        <v>150500</v>
      </c>
    </row>
    <row r="1285" spans="1:2" x14ac:dyDescent="0.25">
      <c r="A1285" t="s">
        <v>92</v>
      </c>
      <c r="B1285">
        <v>139000</v>
      </c>
    </row>
    <row r="1286" spans="1:2" x14ac:dyDescent="0.25">
      <c r="A1286" t="s">
        <v>132</v>
      </c>
      <c r="B1286">
        <v>169000</v>
      </c>
    </row>
    <row r="1287" spans="1:2" x14ac:dyDescent="0.25">
      <c r="A1287" t="s">
        <v>132</v>
      </c>
      <c r="B1287">
        <v>132500</v>
      </c>
    </row>
    <row r="1288" spans="1:2" x14ac:dyDescent="0.25">
      <c r="A1288" t="s">
        <v>115</v>
      </c>
      <c r="B1288">
        <v>143000</v>
      </c>
    </row>
    <row r="1289" spans="1:2" x14ac:dyDescent="0.25">
      <c r="A1289" t="s">
        <v>115</v>
      </c>
      <c r="B1289">
        <v>190000</v>
      </c>
    </row>
    <row r="1290" spans="1:2" x14ac:dyDescent="0.25">
      <c r="A1290" t="s">
        <v>115</v>
      </c>
      <c r="B1290">
        <v>278000</v>
      </c>
    </row>
    <row r="1291" spans="1:2" x14ac:dyDescent="0.25">
      <c r="A1291" t="s">
        <v>92</v>
      </c>
      <c r="B1291">
        <v>281000</v>
      </c>
    </row>
    <row r="1292" spans="1:2" x14ac:dyDescent="0.25">
      <c r="A1292" t="s">
        <v>197</v>
      </c>
      <c r="B1292">
        <v>180500</v>
      </c>
    </row>
    <row r="1293" spans="1:2" x14ac:dyDescent="0.25">
      <c r="A1293" t="s">
        <v>92</v>
      </c>
      <c r="B1293">
        <v>119500</v>
      </c>
    </row>
    <row r="1294" spans="1:2" x14ac:dyDescent="0.25">
      <c r="A1294" t="s">
        <v>92</v>
      </c>
      <c r="B1294">
        <v>107500</v>
      </c>
    </row>
    <row r="1295" spans="1:2" x14ac:dyDescent="0.25">
      <c r="A1295" t="s">
        <v>92</v>
      </c>
      <c r="B1295">
        <v>162900</v>
      </c>
    </row>
    <row r="1296" spans="1:2" x14ac:dyDescent="0.25">
      <c r="A1296" t="s">
        <v>115</v>
      </c>
      <c r="B1296">
        <v>115000</v>
      </c>
    </row>
    <row r="1297" spans="1:2" x14ac:dyDescent="0.25">
      <c r="A1297" t="s">
        <v>115</v>
      </c>
      <c r="B1297">
        <v>138500</v>
      </c>
    </row>
    <row r="1298" spans="1:2" x14ac:dyDescent="0.25">
      <c r="A1298" t="s">
        <v>115</v>
      </c>
      <c r="B1298">
        <v>155000</v>
      </c>
    </row>
    <row r="1299" spans="1:2" x14ac:dyDescent="0.25">
      <c r="A1299" t="s">
        <v>191</v>
      </c>
      <c r="B1299">
        <v>140000</v>
      </c>
    </row>
    <row r="1300" spans="1:2" x14ac:dyDescent="0.25">
      <c r="A1300" t="s">
        <v>92</v>
      </c>
      <c r="B1300">
        <v>160000</v>
      </c>
    </row>
    <row r="1301" spans="1:2" x14ac:dyDescent="0.25">
      <c r="A1301" t="s">
        <v>115</v>
      </c>
      <c r="B1301">
        <v>154000</v>
      </c>
    </row>
    <row r="1302" spans="1:2" x14ac:dyDescent="0.25">
      <c r="A1302" t="s">
        <v>92</v>
      </c>
      <c r="B1302">
        <v>225000</v>
      </c>
    </row>
    <row r="1303" spans="1:2" x14ac:dyDescent="0.25">
      <c r="A1303" t="s">
        <v>92</v>
      </c>
      <c r="B1303">
        <v>177500</v>
      </c>
    </row>
    <row r="1304" spans="1:2" x14ac:dyDescent="0.25">
      <c r="A1304" t="s">
        <v>92</v>
      </c>
      <c r="B1304">
        <v>290000</v>
      </c>
    </row>
    <row r="1305" spans="1:2" x14ac:dyDescent="0.25">
      <c r="A1305" t="s">
        <v>115</v>
      </c>
      <c r="B1305">
        <v>232000</v>
      </c>
    </row>
    <row r="1306" spans="1:2" x14ac:dyDescent="0.25">
      <c r="A1306" t="s">
        <v>92</v>
      </c>
      <c r="B1306">
        <v>130000</v>
      </c>
    </row>
    <row r="1307" spans="1:2" x14ac:dyDescent="0.25">
      <c r="A1307" t="s">
        <v>115</v>
      </c>
      <c r="B1307">
        <v>325000</v>
      </c>
    </row>
    <row r="1308" spans="1:2" x14ac:dyDescent="0.25">
      <c r="A1308" t="s">
        <v>115</v>
      </c>
      <c r="B1308">
        <v>202500</v>
      </c>
    </row>
    <row r="1309" spans="1:2" x14ac:dyDescent="0.25">
      <c r="A1309" t="s">
        <v>115</v>
      </c>
      <c r="B1309">
        <v>138000</v>
      </c>
    </row>
    <row r="1310" spans="1:2" x14ac:dyDescent="0.25">
      <c r="A1310" t="s">
        <v>115</v>
      </c>
      <c r="B1310">
        <v>147000</v>
      </c>
    </row>
    <row r="1311" spans="1:2" x14ac:dyDescent="0.25">
      <c r="A1311" t="s">
        <v>115</v>
      </c>
      <c r="B1311">
        <v>179200</v>
      </c>
    </row>
    <row r="1312" spans="1:2" x14ac:dyDescent="0.25">
      <c r="A1312" t="s">
        <v>115</v>
      </c>
      <c r="B1312">
        <v>335000</v>
      </c>
    </row>
    <row r="1313" spans="1:2" x14ac:dyDescent="0.25">
      <c r="A1313" t="s">
        <v>115</v>
      </c>
      <c r="B1313">
        <v>203000</v>
      </c>
    </row>
    <row r="1314" spans="1:2" x14ac:dyDescent="0.25">
      <c r="A1314" t="s">
        <v>92</v>
      </c>
      <c r="B1314">
        <v>302000</v>
      </c>
    </row>
    <row r="1315" spans="1:2" x14ac:dyDescent="0.25">
      <c r="A1315" t="s">
        <v>92</v>
      </c>
      <c r="B1315">
        <v>333168</v>
      </c>
    </row>
    <row r="1316" spans="1:2" x14ac:dyDescent="0.25">
      <c r="A1316" t="s">
        <v>115</v>
      </c>
      <c r="B1316">
        <v>119000</v>
      </c>
    </row>
    <row r="1317" spans="1:2" x14ac:dyDescent="0.25">
      <c r="A1317" t="s">
        <v>92</v>
      </c>
      <c r="B1317">
        <v>206900</v>
      </c>
    </row>
    <row r="1318" spans="1:2" x14ac:dyDescent="0.25">
      <c r="A1318" t="s">
        <v>115</v>
      </c>
      <c r="B1318">
        <v>295493</v>
      </c>
    </row>
    <row r="1319" spans="1:2" x14ac:dyDescent="0.25">
      <c r="A1319" t="s">
        <v>115</v>
      </c>
      <c r="B1319">
        <v>208900</v>
      </c>
    </row>
    <row r="1320" spans="1:2" x14ac:dyDescent="0.25">
      <c r="A1320" t="s">
        <v>115</v>
      </c>
      <c r="B1320">
        <v>275000</v>
      </c>
    </row>
    <row r="1321" spans="1:2" x14ac:dyDescent="0.25">
      <c r="A1321" t="s">
        <v>115</v>
      </c>
      <c r="B1321">
        <v>111000</v>
      </c>
    </row>
    <row r="1322" spans="1:2" x14ac:dyDescent="0.25">
      <c r="A1322" t="s">
        <v>115</v>
      </c>
      <c r="B1322">
        <v>156500</v>
      </c>
    </row>
    <row r="1323" spans="1:2" x14ac:dyDescent="0.25">
      <c r="A1323" t="s">
        <v>115</v>
      </c>
      <c r="B1323">
        <v>72500</v>
      </c>
    </row>
    <row r="1324" spans="1:2" x14ac:dyDescent="0.25">
      <c r="A1324" t="s">
        <v>92</v>
      </c>
      <c r="B1324">
        <v>190000</v>
      </c>
    </row>
    <row r="1325" spans="1:2" x14ac:dyDescent="0.25">
      <c r="A1325" t="s">
        <v>115</v>
      </c>
      <c r="B1325">
        <v>82500</v>
      </c>
    </row>
    <row r="1326" spans="1:2" x14ac:dyDescent="0.25">
      <c r="A1326" t="s">
        <v>115</v>
      </c>
      <c r="B1326">
        <v>147000</v>
      </c>
    </row>
    <row r="1327" spans="1:2" x14ac:dyDescent="0.25">
      <c r="A1327" t="s">
        <v>115</v>
      </c>
      <c r="B1327">
        <v>55000</v>
      </c>
    </row>
    <row r="1328" spans="1:2" x14ac:dyDescent="0.25">
      <c r="A1328" t="s">
        <v>115</v>
      </c>
      <c r="B1328">
        <v>79000</v>
      </c>
    </row>
    <row r="1329" spans="1:2" x14ac:dyDescent="0.25">
      <c r="A1329" t="s">
        <v>115</v>
      </c>
      <c r="B1329">
        <v>130500</v>
      </c>
    </row>
    <row r="1330" spans="1:2" x14ac:dyDescent="0.25">
      <c r="A1330" t="s">
        <v>132</v>
      </c>
      <c r="B1330">
        <v>256000</v>
      </c>
    </row>
    <row r="1331" spans="1:2" x14ac:dyDescent="0.25">
      <c r="A1331" t="s">
        <v>92</v>
      </c>
      <c r="B1331">
        <v>176500</v>
      </c>
    </row>
    <row r="1332" spans="1:2" x14ac:dyDescent="0.25">
      <c r="A1332" t="s">
        <v>115</v>
      </c>
      <c r="B1332">
        <v>227000</v>
      </c>
    </row>
    <row r="1333" spans="1:2" x14ac:dyDescent="0.25">
      <c r="A1333" t="s">
        <v>197</v>
      </c>
      <c r="B1333">
        <v>132500</v>
      </c>
    </row>
    <row r="1334" spans="1:2" x14ac:dyDescent="0.25">
      <c r="A1334" t="s">
        <v>115</v>
      </c>
      <c r="B1334">
        <v>100000</v>
      </c>
    </row>
    <row r="1335" spans="1:2" x14ac:dyDescent="0.25">
      <c r="A1335" t="s">
        <v>132</v>
      </c>
      <c r="B1335">
        <v>125500</v>
      </c>
    </row>
    <row r="1336" spans="1:2" x14ac:dyDescent="0.25">
      <c r="A1336" t="s">
        <v>92</v>
      </c>
      <c r="B1336">
        <v>125000</v>
      </c>
    </row>
    <row r="1337" spans="1:2" x14ac:dyDescent="0.25">
      <c r="A1337" t="s">
        <v>115</v>
      </c>
      <c r="B1337">
        <v>167900</v>
      </c>
    </row>
    <row r="1338" spans="1:2" x14ac:dyDescent="0.25">
      <c r="A1338" t="s">
        <v>115</v>
      </c>
      <c r="B1338">
        <v>135000</v>
      </c>
    </row>
    <row r="1339" spans="1:2" x14ac:dyDescent="0.25">
      <c r="A1339" t="s">
        <v>115</v>
      </c>
      <c r="B1339">
        <v>52500</v>
      </c>
    </row>
    <row r="1340" spans="1:2" x14ac:dyDescent="0.25">
      <c r="A1340" t="s">
        <v>92</v>
      </c>
      <c r="B1340">
        <v>200000</v>
      </c>
    </row>
    <row r="1341" spans="1:2" x14ac:dyDescent="0.25">
      <c r="A1341" t="s">
        <v>115</v>
      </c>
      <c r="B1341">
        <v>128500</v>
      </c>
    </row>
    <row r="1342" spans="1:2" x14ac:dyDescent="0.25">
      <c r="A1342" t="s">
        <v>115</v>
      </c>
      <c r="B1342">
        <v>123000</v>
      </c>
    </row>
    <row r="1343" spans="1:2" x14ac:dyDescent="0.25">
      <c r="A1343" t="s">
        <v>115</v>
      </c>
      <c r="B1343">
        <v>155000</v>
      </c>
    </row>
    <row r="1344" spans="1:2" x14ac:dyDescent="0.25">
      <c r="A1344" t="s">
        <v>92</v>
      </c>
      <c r="B1344">
        <v>228500</v>
      </c>
    </row>
    <row r="1345" spans="1:2" x14ac:dyDescent="0.25">
      <c r="A1345" t="s">
        <v>132</v>
      </c>
      <c r="B1345">
        <v>177000</v>
      </c>
    </row>
    <row r="1346" spans="1:2" x14ac:dyDescent="0.25">
      <c r="A1346" t="s">
        <v>92</v>
      </c>
      <c r="B1346">
        <v>155835</v>
      </c>
    </row>
    <row r="1347" spans="1:2" x14ac:dyDescent="0.25">
      <c r="A1347" t="s">
        <v>115</v>
      </c>
      <c r="B1347">
        <v>108500</v>
      </c>
    </row>
    <row r="1348" spans="1:2" x14ac:dyDescent="0.25">
      <c r="A1348" t="s">
        <v>115</v>
      </c>
      <c r="B1348">
        <v>262500</v>
      </c>
    </row>
    <row r="1349" spans="1:2" x14ac:dyDescent="0.25">
      <c r="A1349" t="s">
        <v>115</v>
      </c>
      <c r="B1349">
        <v>283463</v>
      </c>
    </row>
    <row r="1350" spans="1:2" x14ac:dyDescent="0.25">
      <c r="A1350" t="s">
        <v>115</v>
      </c>
      <c r="B1350">
        <v>215000</v>
      </c>
    </row>
    <row r="1351" spans="1:2" x14ac:dyDescent="0.25">
      <c r="A1351" t="s">
        <v>92</v>
      </c>
      <c r="B1351">
        <v>122000</v>
      </c>
    </row>
    <row r="1352" spans="1:2" x14ac:dyDescent="0.25">
      <c r="A1352" t="s">
        <v>92</v>
      </c>
      <c r="B1352">
        <v>200000</v>
      </c>
    </row>
    <row r="1353" spans="1:2" x14ac:dyDescent="0.25">
      <c r="A1353" t="s">
        <v>92</v>
      </c>
      <c r="B1353">
        <v>171000</v>
      </c>
    </row>
    <row r="1354" spans="1:2" x14ac:dyDescent="0.25">
      <c r="A1354" t="s">
        <v>132</v>
      </c>
      <c r="B1354">
        <v>134900</v>
      </c>
    </row>
    <row r="1355" spans="1:2" x14ac:dyDescent="0.25">
      <c r="A1355" t="s">
        <v>132</v>
      </c>
      <c r="B1355">
        <v>410000</v>
      </c>
    </row>
    <row r="1356" spans="1:2" x14ac:dyDescent="0.25">
      <c r="A1356" t="s">
        <v>92</v>
      </c>
      <c r="B1356">
        <v>235000</v>
      </c>
    </row>
    <row r="1357" spans="1:2" x14ac:dyDescent="0.25">
      <c r="A1357" t="s">
        <v>197</v>
      </c>
      <c r="B1357">
        <v>170000</v>
      </c>
    </row>
    <row r="1358" spans="1:2" x14ac:dyDescent="0.25">
      <c r="A1358" t="s">
        <v>115</v>
      </c>
      <c r="B1358">
        <v>110000</v>
      </c>
    </row>
    <row r="1359" spans="1:2" x14ac:dyDescent="0.25">
      <c r="A1359" t="s">
        <v>115</v>
      </c>
      <c r="B1359">
        <v>149900</v>
      </c>
    </row>
    <row r="1360" spans="1:2" x14ac:dyDescent="0.25">
      <c r="A1360" t="s">
        <v>92</v>
      </c>
      <c r="B1360">
        <v>177500</v>
      </c>
    </row>
    <row r="1361" spans="1:2" x14ac:dyDescent="0.25">
      <c r="A1361" t="s">
        <v>115</v>
      </c>
      <c r="B1361">
        <v>315000</v>
      </c>
    </row>
    <row r="1362" spans="1:2" x14ac:dyDescent="0.25">
      <c r="A1362" t="s">
        <v>92</v>
      </c>
      <c r="B1362">
        <v>189000</v>
      </c>
    </row>
    <row r="1363" spans="1:2" x14ac:dyDescent="0.25">
      <c r="A1363" t="s">
        <v>115</v>
      </c>
      <c r="B1363">
        <v>260000</v>
      </c>
    </row>
    <row r="1364" spans="1:2" x14ac:dyDescent="0.25">
      <c r="A1364" t="s">
        <v>132</v>
      </c>
      <c r="B1364">
        <v>104900</v>
      </c>
    </row>
    <row r="1365" spans="1:2" x14ac:dyDescent="0.25">
      <c r="A1365" t="s">
        <v>92</v>
      </c>
      <c r="B1365">
        <v>156932</v>
      </c>
    </row>
    <row r="1366" spans="1:2" x14ac:dyDescent="0.25">
      <c r="A1366" t="s">
        <v>92</v>
      </c>
      <c r="B1366">
        <v>144152</v>
      </c>
    </row>
    <row r="1367" spans="1:2" x14ac:dyDescent="0.25">
      <c r="A1367" t="s">
        <v>92</v>
      </c>
      <c r="B1367">
        <v>216000</v>
      </c>
    </row>
    <row r="1368" spans="1:2" x14ac:dyDescent="0.25">
      <c r="A1368" t="s">
        <v>92</v>
      </c>
      <c r="B1368">
        <v>193000</v>
      </c>
    </row>
    <row r="1369" spans="1:2" x14ac:dyDescent="0.25">
      <c r="A1369" t="s">
        <v>92</v>
      </c>
      <c r="B1369">
        <v>127000</v>
      </c>
    </row>
    <row r="1370" spans="1:2" x14ac:dyDescent="0.25">
      <c r="A1370" t="s">
        <v>115</v>
      </c>
      <c r="B1370">
        <v>144000</v>
      </c>
    </row>
    <row r="1371" spans="1:2" x14ac:dyDescent="0.25">
      <c r="A1371" t="s">
        <v>115</v>
      </c>
      <c r="B1371">
        <v>232000</v>
      </c>
    </row>
    <row r="1372" spans="1:2" x14ac:dyDescent="0.25">
      <c r="A1372" t="s">
        <v>132</v>
      </c>
      <c r="B1372">
        <v>105000</v>
      </c>
    </row>
    <row r="1373" spans="1:2" x14ac:dyDescent="0.25">
      <c r="A1373" t="s">
        <v>197</v>
      </c>
      <c r="B1373">
        <v>165500</v>
      </c>
    </row>
    <row r="1374" spans="1:2" x14ac:dyDescent="0.25">
      <c r="A1374" t="s">
        <v>92</v>
      </c>
      <c r="B1374">
        <v>274300</v>
      </c>
    </row>
    <row r="1375" spans="1:2" x14ac:dyDescent="0.25">
      <c r="A1375" t="s">
        <v>115</v>
      </c>
      <c r="B1375">
        <v>466500</v>
      </c>
    </row>
    <row r="1376" spans="1:2" x14ac:dyDescent="0.25">
      <c r="A1376" t="s">
        <v>92</v>
      </c>
      <c r="B1376">
        <v>250000</v>
      </c>
    </row>
    <row r="1377" spans="1:2" x14ac:dyDescent="0.25">
      <c r="A1377" t="s">
        <v>115</v>
      </c>
      <c r="B1377">
        <v>239000</v>
      </c>
    </row>
    <row r="1378" spans="1:2" x14ac:dyDescent="0.25">
      <c r="A1378" t="s">
        <v>115</v>
      </c>
      <c r="B1378">
        <v>91000</v>
      </c>
    </row>
    <row r="1379" spans="1:2" x14ac:dyDescent="0.25">
      <c r="A1379" t="s">
        <v>132</v>
      </c>
      <c r="B1379">
        <v>117000</v>
      </c>
    </row>
    <row r="1380" spans="1:2" x14ac:dyDescent="0.25">
      <c r="A1380" t="s">
        <v>92</v>
      </c>
      <c r="B1380">
        <v>83000</v>
      </c>
    </row>
    <row r="1381" spans="1:2" x14ac:dyDescent="0.25">
      <c r="A1381" t="s">
        <v>197</v>
      </c>
      <c r="B1381">
        <v>167500</v>
      </c>
    </row>
    <row r="1382" spans="1:2" x14ac:dyDescent="0.25">
      <c r="A1382" t="s">
        <v>115</v>
      </c>
      <c r="B1382">
        <v>58500</v>
      </c>
    </row>
    <row r="1383" spans="1:2" x14ac:dyDescent="0.25">
      <c r="A1383" t="s">
        <v>115</v>
      </c>
      <c r="B1383">
        <v>237500</v>
      </c>
    </row>
    <row r="1384" spans="1:2" x14ac:dyDescent="0.25">
      <c r="A1384" t="s">
        <v>92</v>
      </c>
      <c r="B1384">
        <v>157000</v>
      </c>
    </row>
    <row r="1385" spans="1:2" x14ac:dyDescent="0.25">
      <c r="A1385" t="s">
        <v>115</v>
      </c>
      <c r="B1385">
        <v>112000</v>
      </c>
    </row>
    <row r="1386" spans="1:2" x14ac:dyDescent="0.25">
      <c r="A1386" t="s">
        <v>132</v>
      </c>
      <c r="B1386">
        <v>105000</v>
      </c>
    </row>
    <row r="1387" spans="1:2" x14ac:dyDescent="0.25">
      <c r="A1387" t="s">
        <v>132</v>
      </c>
      <c r="B1387">
        <v>125500</v>
      </c>
    </row>
    <row r="1388" spans="1:2" x14ac:dyDescent="0.25">
      <c r="A1388" t="s">
        <v>92</v>
      </c>
      <c r="B1388">
        <v>250000</v>
      </c>
    </row>
    <row r="1389" spans="1:2" x14ac:dyDescent="0.25">
      <c r="A1389" t="s">
        <v>132</v>
      </c>
      <c r="B1389">
        <v>136000</v>
      </c>
    </row>
    <row r="1390" spans="1:2" x14ac:dyDescent="0.25">
      <c r="A1390" t="s">
        <v>115</v>
      </c>
      <c r="B1390">
        <v>377500</v>
      </c>
    </row>
    <row r="1391" spans="1:2" x14ac:dyDescent="0.25">
      <c r="A1391" t="s">
        <v>132</v>
      </c>
      <c r="B1391">
        <v>131000</v>
      </c>
    </row>
    <row r="1392" spans="1:2" x14ac:dyDescent="0.25">
      <c r="A1392" t="s">
        <v>115</v>
      </c>
      <c r="B1392">
        <v>235000</v>
      </c>
    </row>
    <row r="1393" spans="1:2" x14ac:dyDescent="0.25">
      <c r="A1393" t="s">
        <v>115</v>
      </c>
      <c r="B1393">
        <v>124000</v>
      </c>
    </row>
    <row r="1394" spans="1:2" x14ac:dyDescent="0.25">
      <c r="A1394" t="s">
        <v>191</v>
      </c>
      <c r="B1394">
        <v>123000</v>
      </c>
    </row>
    <row r="1395" spans="1:2" x14ac:dyDescent="0.25">
      <c r="A1395" t="s">
        <v>132</v>
      </c>
      <c r="B1395">
        <v>163000</v>
      </c>
    </row>
    <row r="1396" spans="1:2" x14ac:dyDescent="0.25">
      <c r="A1396" t="s">
        <v>115</v>
      </c>
      <c r="B1396">
        <v>246578</v>
      </c>
    </row>
    <row r="1397" spans="1:2" x14ac:dyDescent="0.25">
      <c r="A1397" t="s">
        <v>92</v>
      </c>
      <c r="B1397">
        <v>281213</v>
      </c>
    </row>
    <row r="1398" spans="1:2" x14ac:dyDescent="0.25">
      <c r="A1398" t="s">
        <v>115</v>
      </c>
      <c r="B1398">
        <v>160000</v>
      </c>
    </row>
    <row r="1399" spans="1:2" x14ac:dyDescent="0.25">
      <c r="A1399" t="s">
        <v>92</v>
      </c>
      <c r="B1399">
        <v>137500</v>
      </c>
    </row>
    <row r="1400" spans="1:2" x14ac:dyDescent="0.25">
      <c r="A1400" t="s">
        <v>132</v>
      </c>
      <c r="B1400">
        <v>138000</v>
      </c>
    </row>
    <row r="1401" spans="1:2" x14ac:dyDescent="0.25">
      <c r="A1401" t="s">
        <v>132</v>
      </c>
      <c r="B1401">
        <v>137450</v>
      </c>
    </row>
    <row r="1402" spans="1:2" x14ac:dyDescent="0.25">
      <c r="A1402" t="s">
        <v>132</v>
      </c>
      <c r="B1402">
        <v>120000</v>
      </c>
    </row>
    <row r="1403" spans="1:2" x14ac:dyDescent="0.25">
      <c r="A1403" t="s">
        <v>92</v>
      </c>
      <c r="B1403">
        <v>193000</v>
      </c>
    </row>
    <row r="1404" spans="1:2" x14ac:dyDescent="0.25">
      <c r="A1404" t="s">
        <v>115</v>
      </c>
      <c r="B1404">
        <v>193879</v>
      </c>
    </row>
    <row r="1405" spans="1:2" x14ac:dyDescent="0.25">
      <c r="A1405" t="s">
        <v>115</v>
      </c>
      <c r="B1405">
        <v>282922</v>
      </c>
    </row>
    <row r="1406" spans="1:2" x14ac:dyDescent="0.25">
      <c r="A1406" t="s">
        <v>132</v>
      </c>
      <c r="B1406">
        <v>105000</v>
      </c>
    </row>
    <row r="1407" spans="1:2" x14ac:dyDescent="0.25">
      <c r="A1407" t="s">
        <v>115</v>
      </c>
      <c r="B1407">
        <v>275000</v>
      </c>
    </row>
    <row r="1408" spans="1:2" x14ac:dyDescent="0.25">
      <c r="A1408" t="s">
        <v>191</v>
      </c>
      <c r="B1408">
        <v>133000</v>
      </c>
    </row>
    <row r="1409" spans="1:2" x14ac:dyDescent="0.25">
      <c r="A1409" t="s">
        <v>115</v>
      </c>
      <c r="B1409">
        <v>112000</v>
      </c>
    </row>
    <row r="1410" spans="1:2" x14ac:dyDescent="0.25">
      <c r="A1410" t="s">
        <v>92</v>
      </c>
      <c r="B1410">
        <v>125500</v>
      </c>
    </row>
    <row r="1411" spans="1:2" x14ac:dyDescent="0.25">
      <c r="A1411" t="s">
        <v>92</v>
      </c>
      <c r="B1411">
        <v>215000</v>
      </c>
    </row>
    <row r="1412" spans="1:2" x14ac:dyDescent="0.25">
      <c r="A1412" t="s">
        <v>92</v>
      </c>
      <c r="B1412">
        <v>230000</v>
      </c>
    </row>
    <row r="1413" spans="1:2" x14ac:dyDescent="0.25">
      <c r="A1413" t="s">
        <v>132</v>
      </c>
      <c r="B1413">
        <v>140000</v>
      </c>
    </row>
    <row r="1414" spans="1:2" x14ac:dyDescent="0.25">
      <c r="A1414" t="s">
        <v>115</v>
      </c>
      <c r="B1414">
        <v>90000</v>
      </c>
    </row>
    <row r="1415" spans="1:2" x14ac:dyDescent="0.25">
      <c r="A1415" t="s">
        <v>115</v>
      </c>
      <c r="B1415">
        <v>257000</v>
      </c>
    </row>
    <row r="1416" spans="1:2" x14ac:dyDescent="0.25">
      <c r="A1416" t="s">
        <v>132</v>
      </c>
      <c r="B1416">
        <v>207000</v>
      </c>
    </row>
    <row r="1417" spans="1:2" x14ac:dyDescent="0.25">
      <c r="A1417" t="s">
        <v>115</v>
      </c>
      <c r="B1417">
        <v>175900</v>
      </c>
    </row>
    <row r="1418" spans="1:2" x14ac:dyDescent="0.25">
      <c r="A1418" t="s">
        <v>92</v>
      </c>
      <c r="B1418">
        <v>122500</v>
      </c>
    </row>
    <row r="1419" spans="1:2" x14ac:dyDescent="0.25">
      <c r="A1419" t="s">
        <v>92</v>
      </c>
      <c r="B1419">
        <v>340000</v>
      </c>
    </row>
    <row r="1420" spans="1:2" x14ac:dyDescent="0.25">
      <c r="A1420" t="s">
        <v>115</v>
      </c>
      <c r="B1420">
        <v>124000</v>
      </c>
    </row>
    <row r="1421" spans="1:2" x14ac:dyDescent="0.25">
      <c r="A1421" t="s">
        <v>115</v>
      </c>
      <c r="B1421">
        <v>223000</v>
      </c>
    </row>
    <row r="1422" spans="1:2" x14ac:dyDescent="0.25">
      <c r="A1422" t="s">
        <v>92</v>
      </c>
      <c r="B1422">
        <v>179900</v>
      </c>
    </row>
    <row r="1423" spans="1:2" x14ac:dyDescent="0.25">
      <c r="A1423" t="s">
        <v>115</v>
      </c>
      <c r="B1423">
        <v>127500</v>
      </c>
    </row>
    <row r="1424" spans="1:2" x14ac:dyDescent="0.25">
      <c r="A1424" t="s">
        <v>115</v>
      </c>
      <c r="B1424">
        <v>136500</v>
      </c>
    </row>
    <row r="1425" spans="1:2" x14ac:dyDescent="0.25">
      <c r="A1425" t="s">
        <v>197</v>
      </c>
      <c r="B1425">
        <v>274970</v>
      </c>
    </row>
    <row r="1426" spans="1:2" x14ac:dyDescent="0.25">
      <c r="A1426" t="s">
        <v>115</v>
      </c>
      <c r="B1426">
        <v>144000</v>
      </c>
    </row>
    <row r="1427" spans="1:2" x14ac:dyDescent="0.25">
      <c r="A1427" t="s">
        <v>115</v>
      </c>
      <c r="B1427">
        <v>142000</v>
      </c>
    </row>
    <row r="1428" spans="1:2" x14ac:dyDescent="0.25">
      <c r="A1428" t="s">
        <v>92</v>
      </c>
      <c r="B1428">
        <v>271000</v>
      </c>
    </row>
    <row r="1429" spans="1:2" x14ac:dyDescent="0.25">
      <c r="A1429" t="s">
        <v>132</v>
      </c>
      <c r="B1429">
        <v>140000</v>
      </c>
    </row>
    <row r="1430" spans="1:2" x14ac:dyDescent="0.25">
      <c r="A1430" t="s">
        <v>115</v>
      </c>
      <c r="B1430">
        <v>119000</v>
      </c>
    </row>
    <row r="1431" spans="1:2" x14ac:dyDescent="0.25">
      <c r="A1431" t="s">
        <v>115</v>
      </c>
      <c r="B1431">
        <v>182900</v>
      </c>
    </row>
    <row r="1432" spans="1:2" x14ac:dyDescent="0.25">
      <c r="A1432" t="s">
        <v>92</v>
      </c>
      <c r="B1432">
        <v>192140</v>
      </c>
    </row>
    <row r="1433" spans="1:2" x14ac:dyDescent="0.25">
      <c r="A1433" t="s">
        <v>115</v>
      </c>
      <c r="B1433">
        <v>143750</v>
      </c>
    </row>
    <row r="1434" spans="1:2" x14ac:dyDescent="0.25">
      <c r="A1434" t="s">
        <v>115</v>
      </c>
      <c r="B1434">
        <v>64500</v>
      </c>
    </row>
    <row r="1435" spans="1:2" x14ac:dyDescent="0.25">
      <c r="A1435" t="s">
        <v>92</v>
      </c>
      <c r="B1435">
        <v>186500</v>
      </c>
    </row>
    <row r="1436" spans="1:2" x14ac:dyDescent="0.25">
      <c r="A1436" t="s">
        <v>115</v>
      </c>
      <c r="B1436">
        <v>160000</v>
      </c>
    </row>
    <row r="1437" spans="1:2" x14ac:dyDescent="0.25">
      <c r="A1437" t="s">
        <v>115</v>
      </c>
      <c r="B1437">
        <v>174000</v>
      </c>
    </row>
    <row r="1438" spans="1:2" x14ac:dyDescent="0.25">
      <c r="A1438" t="s">
        <v>115</v>
      </c>
      <c r="B1438">
        <v>120500</v>
      </c>
    </row>
    <row r="1439" spans="1:2" x14ac:dyDescent="0.25">
      <c r="A1439" t="s">
        <v>115</v>
      </c>
      <c r="B1439">
        <v>394617</v>
      </c>
    </row>
    <row r="1440" spans="1:2" x14ac:dyDescent="0.25">
      <c r="A1440" t="s">
        <v>115</v>
      </c>
      <c r="B1440">
        <v>149700</v>
      </c>
    </row>
    <row r="1441" spans="1:2" x14ac:dyDescent="0.25">
      <c r="A1441" t="s">
        <v>197</v>
      </c>
      <c r="B1441">
        <v>197000</v>
      </c>
    </row>
    <row r="1442" spans="1:2" x14ac:dyDescent="0.25">
      <c r="A1442" t="s">
        <v>225</v>
      </c>
      <c r="B1442">
        <v>191000</v>
      </c>
    </row>
    <row r="1443" spans="1:2" x14ac:dyDescent="0.25">
      <c r="A1443" t="s">
        <v>115</v>
      </c>
      <c r="B1443">
        <v>149300</v>
      </c>
    </row>
    <row r="1444" spans="1:2" x14ac:dyDescent="0.25">
      <c r="A1444" t="s">
        <v>92</v>
      </c>
      <c r="B1444">
        <v>310000</v>
      </c>
    </row>
    <row r="1445" spans="1:2" x14ac:dyDescent="0.25">
      <c r="A1445" t="s">
        <v>150</v>
      </c>
      <c r="B1445">
        <v>121000</v>
      </c>
    </row>
    <row r="1446" spans="1:2" x14ac:dyDescent="0.25">
      <c r="A1446" t="s">
        <v>115</v>
      </c>
      <c r="B1446">
        <v>179600</v>
      </c>
    </row>
    <row r="1447" spans="1:2" x14ac:dyDescent="0.25">
      <c r="A1447" t="s">
        <v>191</v>
      </c>
      <c r="B1447">
        <v>129000</v>
      </c>
    </row>
    <row r="1448" spans="1:2" x14ac:dyDescent="0.25">
      <c r="A1448" t="s">
        <v>115</v>
      </c>
      <c r="B1448">
        <v>157900</v>
      </c>
    </row>
    <row r="1449" spans="1:2" x14ac:dyDescent="0.25">
      <c r="A1449" t="s">
        <v>92</v>
      </c>
      <c r="B1449">
        <v>240000</v>
      </c>
    </row>
    <row r="1450" spans="1:2" x14ac:dyDescent="0.25">
      <c r="A1450" t="s">
        <v>92</v>
      </c>
      <c r="B1450">
        <v>112000</v>
      </c>
    </row>
    <row r="1451" spans="1:2" x14ac:dyDescent="0.25">
      <c r="A1451" t="s">
        <v>191</v>
      </c>
      <c r="B1451">
        <v>92000</v>
      </c>
    </row>
    <row r="1452" spans="1:2" x14ac:dyDescent="0.25">
      <c r="A1452" t="s">
        <v>92</v>
      </c>
      <c r="B1452">
        <v>136000</v>
      </c>
    </row>
    <row r="1453" spans="1:2" x14ac:dyDescent="0.25">
      <c r="A1453" t="s">
        <v>115</v>
      </c>
      <c r="B1453">
        <v>287090</v>
      </c>
    </row>
    <row r="1454" spans="1:2" x14ac:dyDescent="0.25">
      <c r="A1454" t="s">
        <v>197</v>
      </c>
      <c r="B1454">
        <v>145000</v>
      </c>
    </row>
    <row r="1455" spans="1:2" x14ac:dyDescent="0.25">
      <c r="A1455" t="s">
        <v>115</v>
      </c>
      <c r="B1455">
        <v>84500</v>
      </c>
    </row>
    <row r="1456" spans="1:2" x14ac:dyDescent="0.25">
      <c r="A1456" t="s">
        <v>115</v>
      </c>
      <c r="B1456">
        <v>185000</v>
      </c>
    </row>
    <row r="1457" spans="1:2" x14ac:dyDescent="0.25">
      <c r="A1457" t="s">
        <v>92</v>
      </c>
      <c r="B1457">
        <v>175000</v>
      </c>
    </row>
    <row r="1458" spans="1:2" x14ac:dyDescent="0.25">
      <c r="A1458" t="s">
        <v>115</v>
      </c>
      <c r="B1458">
        <v>210000</v>
      </c>
    </row>
    <row r="1459" spans="1:2" x14ac:dyDescent="0.25">
      <c r="A1459" t="s">
        <v>92</v>
      </c>
      <c r="B1459">
        <v>266500</v>
      </c>
    </row>
    <row r="1460" spans="1:2" x14ac:dyDescent="0.25">
      <c r="A1460" t="s">
        <v>115</v>
      </c>
      <c r="B1460">
        <v>142125</v>
      </c>
    </row>
    <row r="1461" spans="1:2" x14ac:dyDescent="0.25">
      <c r="A1461" t="s">
        <v>115</v>
      </c>
      <c r="B1461">
        <v>147500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579D-E2BD-40BB-A1BA-EBA2D5351B81}">
  <dimension ref="A1:F1461"/>
  <sheetViews>
    <sheetView topLeftCell="A7" workbookViewId="0">
      <selection activeCell="F39" sqref="F39"/>
    </sheetView>
  </sheetViews>
  <sheetFormatPr defaultRowHeight="15" x14ac:dyDescent="0.25"/>
  <sheetData>
    <row r="1" spans="1:2" x14ac:dyDescent="0.25">
      <c r="A1" t="s">
        <v>46</v>
      </c>
      <c r="B1" t="s">
        <v>80</v>
      </c>
    </row>
    <row r="2" spans="1:2" x14ac:dyDescent="0.25">
      <c r="A2">
        <v>1710</v>
      </c>
      <c r="B2">
        <v>208500</v>
      </c>
    </row>
    <row r="3" spans="1:2" x14ac:dyDescent="0.25">
      <c r="A3">
        <v>1262</v>
      </c>
      <c r="B3">
        <v>181500</v>
      </c>
    </row>
    <row r="4" spans="1:2" x14ac:dyDescent="0.25">
      <c r="A4">
        <v>1786</v>
      </c>
      <c r="B4">
        <v>223500</v>
      </c>
    </row>
    <row r="5" spans="1:2" x14ac:dyDescent="0.25">
      <c r="A5">
        <v>1717</v>
      </c>
      <c r="B5">
        <v>140000</v>
      </c>
    </row>
    <row r="6" spans="1:2" x14ac:dyDescent="0.25">
      <c r="A6">
        <v>2198</v>
      </c>
      <c r="B6">
        <v>250000</v>
      </c>
    </row>
    <row r="7" spans="1:2" x14ac:dyDescent="0.25">
      <c r="A7">
        <v>1362</v>
      </c>
      <c r="B7">
        <v>143000</v>
      </c>
    </row>
    <row r="8" spans="1:2" x14ac:dyDescent="0.25">
      <c r="A8">
        <v>1694</v>
      </c>
      <c r="B8">
        <v>307000</v>
      </c>
    </row>
    <row r="9" spans="1:2" x14ac:dyDescent="0.25">
      <c r="A9">
        <v>2090</v>
      </c>
      <c r="B9">
        <v>200000</v>
      </c>
    </row>
    <row r="10" spans="1:2" x14ac:dyDescent="0.25">
      <c r="A10">
        <v>1774</v>
      </c>
      <c r="B10">
        <v>129900</v>
      </c>
    </row>
    <row r="11" spans="1:2" x14ac:dyDescent="0.25">
      <c r="A11">
        <v>1077</v>
      </c>
      <c r="B11">
        <v>118000</v>
      </c>
    </row>
    <row r="12" spans="1:2" x14ac:dyDescent="0.25">
      <c r="A12">
        <v>1040</v>
      </c>
      <c r="B12">
        <v>129500</v>
      </c>
    </row>
    <row r="13" spans="1:2" x14ac:dyDescent="0.25">
      <c r="A13">
        <v>2324</v>
      </c>
      <c r="B13">
        <v>345000</v>
      </c>
    </row>
    <row r="14" spans="1:2" x14ac:dyDescent="0.25">
      <c r="A14">
        <v>912</v>
      </c>
      <c r="B14">
        <v>144000</v>
      </c>
    </row>
    <row r="15" spans="1:2" x14ac:dyDescent="0.25">
      <c r="A15">
        <v>1494</v>
      </c>
      <c r="B15">
        <v>279500</v>
      </c>
    </row>
    <row r="16" spans="1:2" x14ac:dyDescent="0.25">
      <c r="A16">
        <v>1253</v>
      </c>
      <c r="B16">
        <v>157000</v>
      </c>
    </row>
    <row r="17" spans="1:2" x14ac:dyDescent="0.25">
      <c r="A17">
        <v>854</v>
      </c>
      <c r="B17">
        <v>132000</v>
      </c>
    </row>
    <row r="18" spans="1:2" x14ac:dyDescent="0.25">
      <c r="A18">
        <v>1004</v>
      </c>
      <c r="B18">
        <v>149000</v>
      </c>
    </row>
    <row r="19" spans="1:2" x14ac:dyDescent="0.25">
      <c r="A19">
        <v>1296</v>
      </c>
      <c r="B19">
        <v>90000</v>
      </c>
    </row>
    <row r="20" spans="1:2" x14ac:dyDescent="0.25">
      <c r="A20">
        <v>1114</v>
      </c>
      <c r="B20">
        <v>159000</v>
      </c>
    </row>
    <row r="21" spans="1:2" x14ac:dyDescent="0.25">
      <c r="A21">
        <v>1339</v>
      </c>
      <c r="B21">
        <v>139000</v>
      </c>
    </row>
    <row r="22" spans="1:2" x14ac:dyDescent="0.25">
      <c r="A22">
        <v>2376</v>
      </c>
      <c r="B22">
        <v>325300</v>
      </c>
    </row>
    <row r="23" spans="1:2" x14ac:dyDescent="0.25">
      <c r="A23">
        <v>1108</v>
      </c>
      <c r="B23">
        <v>139400</v>
      </c>
    </row>
    <row r="24" spans="1:2" x14ac:dyDescent="0.25">
      <c r="A24">
        <v>1795</v>
      </c>
      <c r="B24">
        <v>230000</v>
      </c>
    </row>
    <row r="25" spans="1:2" x14ac:dyDescent="0.25">
      <c r="A25">
        <v>1060</v>
      </c>
      <c r="B25">
        <v>129900</v>
      </c>
    </row>
    <row r="26" spans="1:2" x14ac:dyDescent="0.25">
      <c r="A26">
        <v>1060</v>
      </c>
      <c r="B26">
        <v>154000</v>
      </c>
    </row>
    <row r="27" spans="1:2" x14ac:dyDescent="0.25">
      <c r="A27">
        <v>1600</v>
      </c>
      <c r="B27">
        <v>256300</v>
      </c>
    </row>
    <row r="28" spans="1:2" x14ac:dyDescent="0.25">
      <c r="A28">
        <v>900</v>
      </c>
      <c r="B28">
        <v>134800</v>
      </c>
    </row>
    <row r="29" spans="1:2" x14ac:dyDescent="0.25">
      <c r="A29">
        <v>1704</v>
      </c>
      <c r="B29">
        <v>306000</v>
      </c>
    </row>
    <row r="30" spans="1:2" x14ac:dyDescent="0.25">
      <c r="A30">
        <v>1600</v>
      </c>
      <c r="B30">
        <v>207500</v>
      </c>
    </row>
    <row r="31" spans="1:2" x14ac:dyDescent="0.25">
      <c r="A31">
        <v>520</v>
      </c>
      <c r="B31">
        <v>68500</v>
      </c>
    </row>
    <row r="32" spans="1:2" x14ac:dyDescent="0.25">
      <c r="A32">
        <v>1317</v>
      </c>
      <c r="B32">
        <v>40000</v>
      </c>
    </row>
    <row r="33" spans="1:6" x14ac:dyDescent="0.25">
      <c r="A33">
        <v>1228</v>
      </c>
      <c r="B33">
        <v>149350</v>
      </c>
    </row>
    <row r="34" spans="1:6" x14ac:dyDescent="0.25">
      <c r="A34">
        <v>1234</v>
      </c>
      <c r="B34">
        <v>179900</v>
      </c>
    </row>
    <row r="35" spans="1:6" ht="16.5" x14ac:dyDescent="0.25">
      <c r="A35">
        <v>1700</v>
      </c>
      <c r="B35">
        <v>165500</v>
      </c>
      <c r="F35" s="9" t="s">
        <v>280</v>
      </c>
    </row>
    <row r="36" spans="1:6" x14ac:dyDescent="0.25">
      <c r="A36">
        <v>1561</v>
      </c>
      <c r="B36">
        <v>277500</v>
      </c>
      <c r="F36">
        <f>107.03*2000+18569</f>
        <v>232629</v>
      </c>
    </row>
    <row r="37" spans="1:6" x14ac:dyDescent="0.25">
      <c r="A37">
        <v>2452</v>
      </c>
      <c r="B37">
        <v>309000</v>
      </c>
    </row>
    <row r="38" spans="1:6" x14ac:dyDescent="0.25">
      <c r="A38">
        <v>1097</v>
      </c>
      <c r="B38">
        <v>145000</v>
      </c>
    </row>
    <row r="39" spans="1:6" x14ac:dyDescent="0.25">
      <c r="A39">
        <v>1297</v>
      </c>
      <c r="B39">
        <v>153000</v>
      </c>
    </row>
    <row r="40" spans="1:6" x14ac:dyDescent="0.25">
      <c r="A40">
        <v>1057</v>
      </c>
      <c r="B40">
        <v>109000</v>
      </c>
    </row>
    <row r="41" spans="1:6" x14ac:dyDescent="0.25">
      <c r="A41">
        <v>1152</v>
      </c>
      <c r="B41">
        <v>82000</v>
      </c>
    </row>
    <row r="42" spans="1:6" x14ac:dyDescent="0.25">
      <c r="A42">
        <v>1324</v>
      </c>
      <c r="B42">
        <v>160000</v>
      </c>
    </row>
    <row r="43" spans="1:6" x14ac:dyDescent="0.25">
      <c r="A43">
        <v>1328</v>
      </c>
      <c r="B43">
        <v>170000</v>
      </c>
    </row>
    <row r="44" spans="1:6" x14ac:dyDescent="0.25">
      <c r="A44">
        <v>884</v>
      </c>
      <c r="B44">
        <v>144000</v>
      </c>
    </row>
    <row r="45" spans="1:6" x14ac:dyDescent="0.25">
      <c r="A45">
        <v>938</v>
      </c>
      <c r="B45">
        <v>130250</v>
      </c>
    </row>
    <row r="46" spans="1:6" x14ac:dyDescent="0.25">
      <c r="A46">
        <v>1150</v>
      </c>
      <c r="B46">
        <v>141000</v>
      </c>
    </row>
    <row r="47" spans="1:6" x14ac:dyDescent="0.25">
      <c r="A47">
        <v>1752</v>
      </c>
      <c r="B47">
        <v>319900</v>
      </c>
    </row>
    <row r="48" spans="1:6" x14ac:dyDescent="0.25">
      <c r="A48">
        <v>2149</v>
      </c>
      <c r="B48">
        <v>239686</v>
      </c>
    </row>
    <row r="49" spans="1:2" x14ac:dyDescent="0.25">
      <c r="A49">
        <v>1656</v>
      </c>
      <c r="B49">
        <v>249700</v>
      </c>
    </row>
    <row r="50" spans="1:2" x14ac:dyDescent="0.25">
      <c r="A50">
        <v>1452</v>
      </c>
      <c r="B50">
        <v>113000</v>
      </c>
    </row>
    <row r="51" spans="1:2" x14ac:dyDescent="0.25">
      <c r="A51">
        <v>955</v>
      </c>
      <c r="B51">
        <v>127000</v>
      </c>
    </row>
    <row r="52" spans="1:2" x14ac:dyDescent="0.25">
      <c r="A52">
        <v>1470</v>
      </c>
      <c r="B52">
        <v>177000</v>
      </c>
    </row>
    <row r="53" spans="1:2" x14ac:dyDescent="0.25">
      <c r="A53">
        <v>1176</v>
      </c>
      <c r="B53">
        <v>114500</v>
      </c>
    </row>
    <row r="54" spans="1:2" x14ac:dyDescent="0.25">
      <c r="A54">
        <v>816</v>
      </c>
      <c r="B54">
        <v>110000</v>
      </c>
    </row>
    <row r="55" spans="1:2" x14ac:dyDescent="0.25">
      <c r="A55">
        <v>1842</v>
      </c>
      <c r="B55">
        <v>385000</v>
      </c>
    </row>
    <row r="56" spans="1:2" x14ac:dyDescent="0.25">
      <c r="A56">
        <v>1360</v>
      </c>
      <c r="B56">
        <v>130000</v>
      </c>
    </row>
    <row r="57" spans="1:2" x14ac:dyDescent="0.25">
      <c r="A57">
        <v>1425</v>
      </c>
      <c r="B57">
        <v>180500</v>
      </c>
    </row>
    <row r="58" spans="1:2" x14ac:dyDescent="0.25">
      <c r="A58">
        <v>1739</v>
      </c>
      <c r="B58">
        <v>172500</v>
      </c>
    </row>
    <row r="59" spans="1:2" x14ac:dyDescent="0.25">
      <c r="A59">
        <v>1720</v>
      </c>
      <c r="B59">
        <v>196500</v>
      </c>
    </row>
    <row r="60" spans="1:2" x14ac:dyDescent="0.25">
      <c r="A60">
        <v>2945</v>
      </c>
      <c r="B60">
        <v>438780</v>
      </c>
    </row>
    <row r="61" spans="1:2" x14ac:dyDescent="0.25">
      <c r="A61">
        <v>780</v>
      </c>
      <c r="B61">
        <v>124900</v>
      </c>
    </row>
    <row r="62" spans="1:2" x14ac:dyDescent="0.25">
      <c r="A62">
        <v>1158</v>
      </c>
      <c r="B62">
        <v>158000</v>
      </c>
    </row>
    <row r="63" spans="1:2" x14ac:dyDescent="0.25">
      <c r="A63">
        <v>1111</v>
      </c>
      <c r="B63">
        <v>101000</v>
      </c>
    </row>
    <row r="64" spans="1:2" x14ac:dyDescent="0.25">
      <c r="A64">
        <v>1370</v>
      </c>
      <c r="B64">
        <v>202500</v>
      </c>
    </row>
    <row r="65" spans="1:2" x14ac:dyDescent="0.25">
      <c r="A65">
        <v>1710</v>
      </c>
      <c r="B65">
        <v>140000</v>
      </c>
    </row>
    <row r="66" spans="1:2" x14ac:dyDescent="0.25">
      <c r="A66">
        <v>2034</v>
      </c>
      <c r="B66">
        <v>219500</v>
      </c>
    </row>
    <row r="67" spans="1:2" x14ac:dyDescent="0.25">
      <c r="A67">
        <v>2473</v>
      </c>
      <c r="B67">
        <v>317000</v>
      </c>
    </row>
    <row r="68" spans="1:2" x14ac:dyDescent="0.25">
      <c r="A68">
        <v>2207</v>
      </c>
      <c r="B68">
        <v>180000</v>
      </c>
    </row>
    <row r="69" spans="1:2" x14ac:dyDescent="0.25">
      <c r="A69">
        <v>1479</v>
      </c>
      <c r="B69">
        <v>226000</v>
      </c>
    </row>
    <row r="70" spans="1:2" x14ac:dyDescent="0.25">
      <c r="A70">
        <v>747</v>
      </c>
      <c r="B70">
        <v>80000</v>
      </c>
    </row>
    <row r="71" spans="1:2" x14ac:dyDescent="0.25">
      <c r="A71">
        <v>2287</v>
      </c>
      <c r="B71">
        <v>225000</v>
      </c>
    </row>
    <row r="72" spans="1:2" x14ac:dyDescent="0.25">
      <c r="A72">
        <v>2223</v>
      </c>
      <c r="B72">
        <v>244000</v>
      </c>
    </row>
    <row r="73" spans="1:2" x14ac:dyDescent="0.25">
      <c r="A73">
        <v>845</v>
      </c>
      <c r="B73">
        <v>129500</v>
      </c>
    </row>
    <row r="74" spans="1:2" x14ac:dyDescent="0.25">
      <c r="A74">
        <v>1718</v>
      </c>
      <c r="B74">
        <v>185000</v>
      </c>
    </row>
    <row r="75" spans="1:2" x14ac:dyDescent="0.25">
      <c r="A75">
        <v>1086</v>
      </c>
      <c r="B75">
        <v>144900</v>
      </c>
    </row>
    <row r="76" spans="1:2" x14ac:dyDescent="0.25">
      <c r="A76">
        <v>1605</v>
      </c>
      <c r="B76">
        <v>107400</v>
      </c>
    </row>
    <row r="77" spans="1:2" x14ac:dyDescent="0.25">
      <c r="A77">
        <v>988</v>
      </c>
      <c r="B77">
        <v>91000</v>
      </c>
    </row>
    <row r="78" spans="1:2" x14ac:dyDescent="0.25">
      <c r="A78">
        <v>952</v>
      </c>
      <c r="B78">
        <v>135750</v>
      </c>
    </row>
    <row r="79" spans="1:2" x14ac:dyDescent="0.25">
      <c r="A79">
        <v>1285</v>
      </c>
      <c r="B79">
        <v>127000</v>
      </c>
    </row>
    <row r="80" spans="1:2" x14ac:dyDescent="0.25">
      <c r="A80">
        <v>1768</v>
      </c>
      <c r="B80">
        <v>136500</v>
      </c>
    </row>
    <row r="81" spans="1:2" x14ac:dyDescent="0.25">
      <c r="A81">
        <v>1230</v>
      </c>
      <c r="B81">
        <v>110000</v>
      </c>
    </row>
    <row r="82" spans="1:2" x14ac:dyDescent="0.25">
      <c r="A82">
        <v>2142</v>
      </c>
      <c r="B82">
        <v>193500</v>
      </c>
    </row>
    <row r="83" spans="1:2" x14ac:dyDescent="0.25">
      <c r="A83">
        <v>1337</v>
      </c>
      <c r="B83">
        <v>153500</v>
      </c>
    </row>
    <row r="84" spans="1:2" x14ac:dyDescent="0.25">
      <c r="A84">
        <v>1563</v>
      </c>
      <c r="B84">
        <v>245000</v>
      </c>
    </row>
    <row r="85" spans="1:2" x14ac:dyDescent="0.25">
      <c r="A85">
        <v>1065</v>
      </c>
      <c r="B85">
        <v>126500</v>
      </c>
    </row>
    <row r="86" spans="1:2" x14ac:dyDescent="0.25">
      <c r="A86">
        <v>1474</v>
      </c>
      <c r="B86">
        <v>168500</v>
      </c>
    </row>
    <row r="87" spans="1:2" x14ac:dyDescent="0.25">
      <c r="A87">
        <v>2417</v>
      </c>
      <c r="B87">
        <v>260000</v>
      </c>
    </row>
    <row r="88" spans="1:2" x14ac:dyDescent="0.25">
      <c r="A88">
        <v>1560</v>
      </c>
      <c r="B88">
        <v>174000</v>
      </c>
    </row>
    <row r="89" spans="1:2" x14ac:dyDescent="0.25">
      <c r="A89">
        <v>1224</v>
      </c>
      <c r="B89">
        <v>164500</v>
      </c>
    </row>
    <row r="90" spans="1:2" x14ac:dyDescent="0.25">
      <c r="A90">
        <v>1526</v>
      </c>
      <c r="B90">
        <v>85000</v>
      </c>
    </row>
    <row r="91" spans="1:2" x14ac:dyDescent="0.25">
      <c r="A91">
        <v>990</v>
      </c>
      <c r="B91">
        <v>123600</v>
      </c>
    </row>
    <row r="92" spans="1:2" x14ac:dyDescent="0.25">
      <c r="A92">
        <v>1040</v>
      </c>
      <c r="B92">
        <v>109900</v>
      </c>
    </row>
    <row r="93" spans="1:2" x14ac:dyDescent="0.25">
      <c r="A93">
        <v>1235</v>
      </c>
      <c r="B93">
        <v>98600</v>
      </c>
    </row>
    <row r="94" spans="1:2" x14ac:dyDescent="0.25">
      <c r="A94">
        <v>964</v>
      </c>
      <c r="B94">
        <v>163500</v>
      </c>
    </row>
    <row r="95" spans="1:2" x14ac:dyDescent="0.25">
      <c r="A95">
        <v>2291</v>
      </c>
      <c r="B95">
        <v>133900</v>
      </c>
    </row>
    <row r="96" spans="1:2" x14ac:dyDescent="0.25">
      <c r="A96">
        <v>1786</v>
      </c>
      <c r="B96">
        <v>204750</v>
      </c>
    </row>
    <row r="97" spans="1:2" x14ac:dyDescent="0.25">
      <c r="A97">
        <v>1470</v>
      </c>
      <c r="B97">
        <v>185000</v>
      </c>
    </row>
    <row r="98" spans="1:2" x14ac:dyDescent="0.25">
      <c r="A98">
        <v>1588</v>
      </c>
      <c r="B98">
        <v>214000</v>
      </c>
    </row>
    <row r="99" spans="1:2" x14ac:dyDescent="0.25">
      <c r="A99">
        <v>960</v>
      </c>
      <c r="B99">
        <v>94750</v>
      </c>
    </row>
    <row r="100" spans="1:2" x14ac:dyDescent="0.25">
      <c r="A100">
        <v>835</v>
      </c>
      <c r="B100">
        <v>83000</v>
      </c>
    </row>
    <row r="101" spans="1:2" x14ac:dyDescent="0.25">
      <c r="A101">
        <v>1225</v>
      </c>
      <c r="B101">
        <v>128950</v>
      </c>
    </row>
    <row r="102" spans="1:2" x14ac:dyDescent="0.25">
      <c r="A102">
        <v>1610</v>
      </c>
      <c r="B102">
        <v>205000</v>
      </c>
    </row>
    <row r="103" spans="1:2" x14ac:dyDescent="0.25">
      <c r="A103">
        <v>1732</v>
      </c>
      <c r="B103">
        <v>178000</v>
      </c>
    </row>
    <row r="104" spans="1:2" x14ac:dyDescent="0.25">
      <c r="A104">
        <v>1535</v>
      </c>
      <c r="B104">
        <v>118964</v>
      </c>
    </row>
    <row r="105" spans="1:2" x14ac:dyDescent="0.25">
      <c r="A105">
        <v>1226</v>
      </c>
      <c r="B105">
        <v>198900</v>
      </c>
    </row>
    <row r="106" spans="1:2" x14ac:dyDescent="0.25">
      <c r="A106">
        <v>1818</v>
      </c>
      <c r="B106">
        <v>169500</v>
      </c>
    </row>
    <row r="107" spans="1:2" x14ac:dyDescent="0.25">
      <c r="A107">
        <v>1992</v>
      </c>
      <c r="B107">
        <v>250000</v>
      </c>
    </row>
    <row r="108" spans="1:2" x14ac:dyDescent="0.25">
      <c r="A108">
        <v>1047</v>
      </c>
      <c r="B108">
        <v>100000</v>
      </c>
    </row>
    <row r="109" spans="1:2" x14ac:dyDescent="0.25">
      <c r="A109">
        <v>789</v>
      </c>
      <c r="B109">
        <v>115000</v>
      </c>
    </row>
    <row r="110" spans="1:2" x14ac:dyDescent="0.25">
      <c r="A110">
        <v>1517</v>
      </c>
      <c r="B110">
        <v>115000</v>
      </c>
    </row>
    <row r="111" spans="1:2" x14ac:dyDescent="0.25">
      <c r="A111">
        <v>1844</v>
      </c>
      <c r="B111">
        <v>190000</v>
      </c>
    </row>
    <row r="112" spans="1:2" x14ac:dyDescent="0.25">
      <c r="A112">
        <v>1855</v>
      </c>
      <c r="B112">
        <v>136900</v>
      </c>
    </row>
    <row r="113" spans="1:2" x14ac:dyDescent="0.25">
      <c r="A113">
        <v>1430</v>
      </c>
      <c r="B113">
        <v>180000</v>
      </c>
    </row>
    <row r="114" spans="1:2" x14ac:dyDescent="0.25">
      <c r="A114">
        <v>2696</v>
      </c>
      <c r="B114">
        <v>383970</v>
      </c>
    </row>
    <row r="115" spans="1:2" x14ac:dyDescent="0.25">
      <c r="A115">
        <v>2259</v>
      </c>
      <c r="B115">
        <v>217000</v>
      </c>
    </row>
    <row r="116" spans="1:2" x14ac:dyDescent="0.25">
      <c r="A116">
        <v>2320</v>
      </c>
      <c r="B116">
        <v>259500</v>
      </c>
    </row>
    <row r="117" spans="1:2" x14ac:dyDescent="0.25">
      <c r="A117">
        <v>1458</v>
      </c>
      <c r="B117">
        <v>176000</v>
      </c>
    </row>
    <row r="118" spans="1:2" x14ac:dyDescent="0.25">
      <c r="A118">
        <v>1092</v>
      </c>
      <c r="B118">
        <v>139000</v>
      </c>
    </row>
    <row r="119" spans="1:2" x14ac:dyDescent="0.25">
      <c r="A119">
        <v>1125</v>
      </c>
      <c r="B119">
        <v>155000</v>
      </c>
    </row>
    <row r="120" spans="1:2" x14ac:dyDescent="0.25">
      <c r="A120">
        <v>3222</v>
      </c>
      <c r="B120">
        <v>320000</v>
      </c>
    </row>
    <row r="121" spans="1:2" x14ac:dyDescent="0.25">
      <c r="A121">
        <v>1456</v>
      </c>
      <c r="B121">
        <v>163990</v>
      </c>
    </row>
    <row r="122" spans="1:2" x14ac:dyDescent="0.25">
      <c r="A122">
        <v>988</v>
      </c>
      <c r="B122">
        <v>180000</v>
      </c>
    </row>
    <row r="123" spans="1:2" x14ac:dyDescent="0.25">
      <c r="A123">
        <v>1123</v>
      </c>
      <c r="B123">
        <v>100000</v>
      </c>
    </row>
    <row r="124" spans="1:2" x14ac:dyDescent="0.25">
      <c r="A124">
        <v>1080</v>
      </c>
      <c r="B124">
        <v>136000</v>
      </c>
    </row>
    <row r="125" spans="1:2" x14ac:dyDescent="0.25">
      <c r="A125">
        <v>1199</v>
      </c>
      <c r="B125">
        <v>153900</v>
      </c>
    </row>
    <row r="126" spans="1:2" x14ac:dyDescent="0.25">
      <c r="A126">
        <v>1586</v>
      </c>
      <c r="B126">
        <v>181000</v>
      </c>
    </row>
    <row r="127" spans="1:2" x14ac:dyDescent="0.25">
      <c r="A127">
        <v>754</v>
      </c>
      <c r="B127">
        <v>84500</v>
      </c>
    </row>
    <row r="128" spans="1:2" x14ac:dyDescent="0.25">
      <c r="A128">
        <v>958</v>
      </c>
      <c r="B128">
        <v>128000</v>
      </c>
    </row>
    <row r="129" spans="1:2" x14ac:dyDescent="0.25">
      <c r="A129">
        <v>840</v>
      </c>
      <c r="B129">
        <v>87000</v>
      </c>
    </row>
    <row r="130" spans="1:2" x14ac:dyDescent="0.25">
      <c r="A130">
        <v>1348</v>
      </c>
      <c r="B130">
        <v>155000</v>
      </c>
    </row>
    <row r="131" spans="1:2" x14ac:dyDescent="0.25">
      <c r="A131">
        <v>1053</v>
      </c>
      <c r="B131">
        <v>150000</v>
      </c>
    </row>
    <row r="132" spans="1:2" x14ac:dyDescent="0.25">
      <c r="A132">
        <v>2157</v>
      </c>
      <c r="B132">
        <v>226000</v>
      </c>
    </row>
    <row r="133" spans="1:2" x14ac:dyDescent="0.25">
      <c r="A133">
        <v>2054</v>
      </c>
      <c r="B133">
        <v>244000</v>
      </c>
    </row>
    <row r="134" spans="1:2" x14ac:dyDescent="0.25">
      <c r="A134">
        <v>1327</v>
      </c>
      <c r="B134">
        <v>150750</v>
      </c>
    </row>
    <row r="135" spans="1:2" x14ac:dyDescent="0.25">
      <c r="A135">
        <v>1296</v>
      </c>
      <c r="B135">
        <v>220000</v>
      </c>
    </row>
    <row r="136" spans="1:2" x14ac:dyDescent="0.25">
      <c r="A136">
        <v>1721</v>
      </c>
      <c r="B136">
        <v>180000</v>
      </c>
    </row>
    <row r="137" spans="1:2" x14ac:dyDescent="0.25">
      <c r="A137">
        <v>1682</v>
      </c>
      <c r="B137">
        <v>174000</v>
      </c>
    </row>
    <row r="138" spans="1:2" x14ac:dyDescent="0.25">
      <c r="A138">
        <v>1214</v>
      </c>
      <c r="B138">
        <v>143000</v>
      </c>
    </row>
    <row r="139" spans="1:2" x14ac:dyDescent="0.25">
      <c r="A139">
        <v>1959</v>
      </c>
      <c r="B139">
        <v>171000</v>
      </c>
    </row>
    <row r="140" spans="1:2" x14ac:dyDescent="0.25">
      <c r="A140">
        <v>1852</v>
      </c>
      <c r="B140">
        <v>230000</v>
      </c>
    </row>
    <row r="141" spans="1:2" x14ac:dyDescent="0.25">
      <c r="A141">
        <v>1764</v>
      </c>
      <c r="B141">
        <v>231500</v>
      </c>
    </row>
    <row r="142" spans="1:2" x14ac:dyDescent="0.25">
      <c r="A142">
        <v>864</v>
      </c>
      <c r="B142">
        <v>115000</v>
      </c>
    </row>
    <row r="143" spans="1:2" x14ac:dyDescent="0.25">
      <c r="A143">
        <v>1734</v>
      </c>
      <c r="B143">
        <v>260000</v>
      </c>
    </row>
    <row r="144" spans="1:2" x14ac:dyDescent="0.25">
      <c r="A144">
        <v>1385</v>
      </c>
      <c r="B144">
        <v>166000</v>
      </c>
    </row>
    <row r="145" spans="1:2" x14ac:dyDescent="0.25">
      <c r="A145">
        <v>1501</v>
      </c>
      <c r="B145">
        <v>204000</v>
      </c>
    </row>
    <row r="146" spans="1:2" x14ac:dyDescent="0.25">
      <c r="A146">
        <v>1728</v>
      </c>
      <c r="B146">
        <v>125000</v>
      </c>
    </row>
    <row r="147" spans="1:2" x14ac:dyDescent="0.25">
      <c r="A147">
        <v>1709</v>
      </c>
      <c r="B147">
        <v>130000</v>
      </c>
    </row>
    <row r="148" spans="1:2" x14ac:dyDescent="0.25">
      <c r="A148">
        <v>875</v>
      </c>
      <c r="B148">
        <v>105000</v>
      </c>
    </row>
    <row r="149" spans="1:2" x14ac:dyDescent="0.25">
      <c r="A149">
        <v>2035</v>
      </c>
      <c r="B149">
        <v>222500</v>
      </c>
    </row>
    <row r="150" spans="1:2" x14ac:dyDescent="0.25">
      <c r="A150">
        <v>1080</v>
      </c>
      <c r="B150">
        <v>141000</v>
      </c>
    </row>
    <row r="151" spans="1:2" x14ac:dyDescent="0.25">
      <c r="A151">
        <v>1344</v>
      </c>
      <c r="B151">
        <v>115000</v>
      </c>
    </row>
    <row r="152" spans="1:2" x14ac:dyDescent="0.25">
      <c r="A152">
        <v>969</v>
      </c>
      <c r="B152">
        <v>122000</v>
      </c>
    </row>
    <row r="153" spans="1:2" x14ac:dyDescent="0.25">
      <c r="A153">
        <v>1710</v>
      </c>
      <c r="B153">
        <v>372402</v>
      </c>
    </row>
    <row r="154" spans="1:2" x14ac:dyDescent="0.25">
      <c r="A154">
        <v>1993</v>
      </c>
      <c r="B154">
        <v>190000</v>
      </c>
    </row>
    <row r="155" spans="1:2" x14ac:dyDescent="0.25">
      <c r="A155">
        <v>1252</v>
      </c>
      <c r="B155">
        <v>235000</v>
      </c>
    </row>
    <row r="156" spans="1:2" x14ac:dyDescent="0.25">
      <c r="A156">
        <v>1200</v>
      </c>
      <c r="B156">
        <v>125000</v>
      </c>
    </row>
    <row r="157" spans="1:2" x14ac:dyDescent="0.25">
      <c r="A157">
        <v>1096</v>
      </c>
      <c r="B157">
        <v>79000</v>
      </c>
    </row>
    <row r="158" spans="1:2" x14ac:dyDescent="0.25">
      <c r="A158">
        <v>1040</v>
      </c>
      <c r="B158">
        <v>109500</v>
      </c>
    </row>
    <row r="159" spans="1:2" x14ac:dyDescent="0.25">
      <c r="A159">
        <v>1968</v>
      </c>
      <c r="B159">
        <v>269500</v>
      </c>
    </row>
    <row r="160" spans="1:2" x14ac:dyDescent="0.25">
      <c r="A160">
        <v>1947</v>
      </c>
      <c r="B160">
        <v>254900</v>
      </c>
    </row>
    <row r="161" spans="1:2" x14ac:dyDescent="0.25">
      <c r="A161">
        <v>2462</v>
      </c>
      <c r="B161">
        <v>320000</v>
      </c>
    </row>
    <row r="162" spans="1:2" x14ac:dyDescent="0.25">
      <c r="A162">
        <v>1232</v>
      </c>
      <c r="B162">
        <v>162500</v>
      </c>
    </row>
    <row r="163" spans="1:2" x14ac:dyDescent="0.25">
      <c r="A163">
        <v>2668</v>
      </c>
      <c r="B163">
        <v>412500</v>
      </c>
    </row>
    <row r="164" spans="1:2" x14ac:dyDescent="0.25">
      <c r="A164">
        <v>1541</v>
      </c>
      <c r="B164">
        <v>220000</v>
      </c>
    </row>
    <row r="165" spans="1:2" x14ac:dyDescent="0.25">
      <c r="A165">
        <v>882</v>
      </c>
      <c r="B165">
        <v>103200</v>
      </c>
    </row>
    <row r="166" spans="1:2" x14ac:dyDescent="0.25">
      <c r="A166">
        <v>1616</v>
      </c>
      <c r="B166">
        <v>152000</v>
      </c>
    </row>
    <row r="167" spans="1:2" x14ac:dyDescent="0.25">
      <c r="A167">
        <v>1355</v>
      </c>
      <c r="B167">
        <v>127500</v>
      </c>
    </row>
    <row r="168" spans="1:2" x14ac:dyDescent="0.25">
      <c r="A168">
        <v>1867</v>
      </c>
      <c r="B168">
        <v>190000</v>
      </c>
    </row>
    <row r="169" spans="1:2" x14ac:dyDescent="0.25">
      <c r="A169">
        <v>2161</v>
      </c>
      <c r="B169">
        <v>325624</v>
      </c>
    </row>
    <row r="170" spans="1:2" x14ac:dyDescent="0.25">
      <c r="A170">
        <v>1720</v>
      </c>
      <c r="B170">
        <v>183500</v>
      </c>
    </row>
    <row r="171" spans="1:2" x14ac:dyDescent="0.25">
      <c r="A171">
        <v>1707</v>
      </c>
      <c r="B171">
        <v>228000</v>
      </c>
    </row>
    <row r="172" spans="1:2" x14ac:dyDescent="0.25">
      <c r="A172">
        <v>1382</v>
      </c>
      <c r="B172">
        <v>128500</v>
      </c>
    </row>
    <row r="173" spans="1:2" x14ac:dyDescent="0.25">
      <c r="A173">
        <v>1656</v>
      </c>
      <c r="B173">
        <v>215000</v>
      </c>
    </row>
    <row r="174" spans="1:2" x14ac:dyDescent="0.25">
      <c r="A174">
        <v>1767</v>
      </c>
      <c r="B174">
        <v>239000</v>
      </c>
    </row>
    <row r="175" spans="1:2" x14ac:dyDescent="0.25">
      <c r="A175">
        <v>1362</v>
      </c>
      <c r="B175">
        <v>163000</v>
      </c>
    </row>
    <row r="176" spans="1:2" x14ac:dyDescent="0.25">
      <c r="A176">
        <v>1651</v>
      </c>
      <c r="B176">
        <v>184000</v>
      </c>
    </row>
    <row r="177" spans="1:2" x14ac:dyDescent="0.25">
      <c r="A177">
        <v>2158</v>
      </c>
      <c r="B177">
        <v>243000</v>
      </c>
    </row>
    <row r="178" spans="1:2" x14ac:dyDescent="0.25">
      <c r="A178">
        <v>2060</v>
      </c>
      <c r="B178">
        <v>211000</v>
      </c>
    </row>
    <row r="179" spans="1:2" x14ac:dyDescent="0.25">
      <c r="A179">
        <v>1920</v>
      </c>
      <c r="B179">
        <v>172500</v>
      </c>
    </row>
    <row r="180" spans="1:2" x14ac:dyDescent="0.25">
      <c r="A180">
        <v>2234</v>
      </c>
      <c r="B180">
        <v>501837</v>
      </c>
    </row>
    <row r="181" spans="1:2" x14ac:dyDescent="0.25">
      <c r="A181">
        <v>968</v>
      </c>
      <c r="B181">
        <v>100000</v>
      </c>
    </row>
    <row r="182" spans="1:2" x14ac:dyDescent="0.25">
      <c r="A182">
        <v>1525</v>
      </c>
      <c r="B182">
        <v>177000</v>
      </c>
    </row>
    <row r="183" spans="1:2" x14ac:dyDescent="0.25">
      <c r="A183">
        <v>1802</v>
      </c>
      <c r="B183">
        <v>200100</v>
      </c>
    </row>
    <row r="184" spans="1:2" x14ac:dyDescent="0.25">
      <c r="A184">
        <v>1340</v>
      </c>
      <c r="B184">
        <v>120000</v>
      </c>
    </row>
    <row r="185" spans="1:2" x14ac:dyDescent="0.25">
      <c r="A185">
        <v>2082</v>
      </c>
      <c r="B185">
        <v>200000</v>
      </c>
    </row>
    <row r="186" spans="1:2" x14ac:dyDescent="0.25">
      <c r="A186">
        <v>1252</v>
      </c>
      <c r="B186">
        <v>127000</v>
      </c>
    </row>
    <row r="187" spans="1:2" x14ac:dyDescent="0.25">
      <c r="A187">
        <v>3608</v>
      </c>
      <c r="B187">
        <v>475000</v>
      </c>
    </row>
    <row r="188" spans="1:2" x14ac:dyDescent="0.25">
      <c r="A188">
        <v>1217</v>
      </c>
      <c r="B188">
        <v>173000</v>
      </c>
    </row>
    <row r="189" spans="1:2" x14ac:dyDescent="0.25">
      <c r="A189">
        <v>1656</v>
      </c>
      <c r="B189">
        <v>135000</v>
      </c>
    </row>
    <row r="190" spans="1:2" x14ac:dyDescent="0.25">
      <c r="A190">
        <v>1224</v>
      </c>
      <c r="B190">
        <v>153337</v>
      </c>
    </row>
    <row r="191" spans="1:2" x14ac:dyDescent="0.25">
      <c r="A191">
        <v>1593</v>
      </c>
      <c r="B191">
        <v>286000</v>
      </c>
    </row>
    <row r="192" spans="1:2" x14ac:dyDescent="0.25">
      <c r="A192">
        <v>2727</v>
      </c>
      <c r="B192">
        <v>315000</v>
      </c>
    </row>
    <row r="193" spans="1:2" x14ac:dyDescent="0.25">
      <c r="A193">
        <v>1479</v>
      </c>
      <c r="B193">
        <v>184000</v>
      </c>
    </row>
    <row r="194" spans="1:2" x14ac:dyDescent="0.25">
      <c r="A194">
        <v>1431</v>
      </c>
      <c r="B194">
        <v>192000</v>
      </c>
    </row>
    <row r="195" spans="1:2" x14ac:dyDescent="0.25">
      <c r="A195">
        <v>1709</v>
      </c>
      <c r="B195">
        <v>130000</v>
      </c>
    </row>
    <row r="196" spans="1:2" x14ac:dyDescent="0.25">
      <c r="A196">
        <v>864</v>
      </c>
      <c r="B196">
        <v>127000</v>
      </c>
    </row>
    <row r="197" spans="1:2" x14ac:dyDescent="0.25">
      <c r="A197">
        <v>1456</v>
      </c>
      <c r="B197">
        <v>148500</v>
      </c>
    </row>
    <row r="198" spans="1:2" x14ac:dyDescent="0.25">
      <c r="A198">
        <v>1726</v>
      </c>
      <c r="B198">
        <v>311872</v>
      </c>
    </row>
    <row r="199" spans="1:2" x14ac:dyDescent="0.25">
      <c r="A199">
        <v>3112</v>
      </c>
      <c r="B199">
        <v>235000</v>
      </c>
    </row>
    <row r="200" spans="1:2" x14ac:dyDescent="0.25">
      <c r="A200">
        <v>2229</v>
      </c>
      <c r="B200">
        <v>104000</v>
      </c>
    </row>
    <row r="201" spans="1:2" x14ac:dyDescent="0.25">
      <c r="A201">
        <v>1713</v>
      </c>
      <c r="B201">
        <v>274900</v>
      </c>
    </row>
    <row r="202" spans="1:2" x14ac:dyDescent="0.25">
      <c r="A202">
        <v>1121</v>
      </c>
      <c r="B202">
        <v>140000</v>
      </c>
    </row>
    <row r="203" spans="1:2" x14ac:dyDescent="0.25">
      <c r="A203">
        <v>1279</v>
      </c>
      <c r="B203">
        <v>171500</v>
      </c>
    </row>
    <row r="204" spans="1:2" x14ac:dyDescent="0.25">
      <c r="A204">
        <v>1310</v>
      </c>
      <c r="B204">
        <v>112000</v>
      </c>
    </row>
    <row r="205" spans="1:2" x14ac:dyDescent="0.25">
      <c r="A205">
        <v>848</v>
      </c>
      <c r="B205">
        <v>149000</v>
      </c>
    </row>
    <row r="206" spans="1:2" x14ac:dyDescent="0.25">
      <c r="A206">
        <v>1284</v>
      </c>
      <c r="B206">
        <v>110000</v>
      </c>
    </row>
    <row r="207" spans="1:2" x14ac:dyDescent="0.25">
      <c r="A207">
        <v>1442</v>
      </c>
      <c r="B207">
        <v>180500</v>
      </c>
    </row>
    <row r="208" spans="1:2" x14ac:dyDescent="0.25">
      <c r="A208">
        <v>1696</v>
      </c>
      <c r="B208">
        <v>143900</v>
      </c>
    </row>
    <row r="209" spans="1:2" x14ac:dyDescent="0.25">
      <c r="A209">
        <v>1100</v>
      </c>
      <c r="B209">
        <v>141000</v>
      </c>
    </row>
    <row r="210" spans="1:2" x14ac:dyDescent="0.25">
      <c r="A210">
        <v>2062</v>
      </c>
      <c r="B210">
        <v>277000</v>
      </c>
    </row>
    <row r="211" spans="1:2" x14ac:dyDescent="0.25">
      <c r="A211">
        <v>1092</v>
      </c>
      <c r="B211">
        <v>145000</v>
      </c>
    </row>
    <row r="212" spans="1:2" x14ac:dyDescent="0.25">
      <c r="A212">
        <v>864</v>
      </c>
      <c r="B212">
        <v>98000</v>
      </c>
    </row>
    <row r="213" spans="1:2" x14ac:dyDescent="0.25">
      <c r="A213">
        <v>1212</v>
      </c>
      <c r="B213">
        <v>186000</v>
      </c>
    </row>
    <row r="214" spans="1:2" x14ac:dyDescent="0.25">
      <c r="A214">
        <v>1852</v>
      </c>
      <c r="B214">
        <v>252678</v>
      </c>
    </row>
    <row r="215" spans="1:2" x14ac:dyDescent="0.25">
      <c r="A215">
        <v>990</v>
      </c>
      <c r="B215">
        <v>156000</v>
      </c>
    </row>
    <row r="216" spans="1:2" x14ac:dyDescent="0.25">
      <c r="A216">
        <v>1392</v>
      </c>
      <c r="B216">
        <v>161750</v>
      </c>
    </row>
    <row r="217" spans="1:2" x14ac:dyDescent="0.25">
      <c r="A217">
        <v>1236</v>
      </c>
      <c r="B217">
        <v>134450</v>
      </c>
    </row>
    <row r="218" spans="1:2" x14ac:dyDescent="0.25">
      <c r="A218">
        <v>1436</v>
      </c>
      <c r="B218">
        <v>210000</v>
      </c>
    </row>
    <row r="219" spans="1:2" x14ac:dyDescent="0.25">
      <c r="A219">
        <v>1328</v>
      </c>
      <c r="B219">
        <v>107000</v>
      </c>
    </row>
    <row r="220" spans="1:2" x14ac:dyDescent="0.25">
      <c r="A220">
        <v>1954</v>
      </c>
      <c r="B220">
        <v>311500</v>
      </c>
    </row>
    <row r="221" spans="1:2" x14ac:dyDescent="0.25">
      <c r="A221">
        <v>1248</v>
      </c>
      <c r="B221">
        <v>167240</v>
      </c>
    </row>
    <row r="222" spans="1:2" x14ac:dyDescent="0.25">
      <c r="A222">
        <v>1498</v>
      </c>
      <c r="B222">
        <v>204900</v>
      </c>
    </row>
    <row r="223" spans="1:2" x14ac:dyDescent="0.25">
      <c r="A223">
        <v>2267</v>
      </c>
      <c r="B223">
        <v>200000</v>
      </c>
    </row>
    <row r="224" spans="1:2" x14ac:dyDescent="0.25">
      <c r="A224">
        <v>1552</v>
      </c>
      <c r="B224">
        <v>179900</v>
      </c>
    </row>
    <row r="225" spans="1:2" x14ac:dyDescent="0.25">
      <c r="A225">
        <v>864</v>
      </c>
      <c r="B225">
        <v>97000</v>
      </c>
    </row>
    <row r="226" spans="1:2" x14ac:dyDescent="0.25">
      <c r="A226">
        <v>2392</v>
      </c>
      <c r="B226">
        <v>386250</v>
      </c>
    </row>
    <row r="227" spans="1:2" x14ac:dyDescent="0.25">
      <c r="A227">
        <v>1302</v>
      </c>
      <c r="B227">
        <v>112000</v>
      </c>
    </row>
    <row r="228" spans="1:2" x14ac:dyDescent="0.25">
      <c r="A228">
        <v>2520</v>
      </c>
      <c r="B228">
        <v>290000</v>
      </c>
    </row>
    <row r="229" spans="1:2" x14ac:dyDescent="0.25">
      <c r="A229">
        <v>987</v>
      </c>
      <c r="B229">
        <v>106000</v>
      </c>
    </row>
    <row r="230" spans="1:2" x14ac:dyDescent="0.25">
      <c r="A230">
        <v>912</v>
      </c>
      <c r="B230">
        <v>125000</v>
      </c>
    </row>
    <row r="231" spans="1:2" x14ac:dyDescent="0.25">
      <c r="A231">
        <v>1555</v>
      </c>
      <c r="B231">
        <v>192500</v>
      </c>
    </row>
    <row r="232" spans="1:2" x14ac:dyDescent="0.25">
      <c r="A232">
        <v>1194</v>
      </c>
      <c r="B232">
        <v>148000</v>
      </c>
    </row>
    <row r="233" spans="1:2" x14ac:dyDescent="0.25">
      <c r="A233">
        <v>2794</v>
      </c>
      <c r="B233">
        <v>403000</v>
      </c>
    </row>
    <row r="234" spans="1:2" x14ac:dyDescent="0.25">
      <c r="A234">
        <v>987</v>
      </c>
      <c r="B234">
        <v>94500</v>
      </c>
    </row>
    <row r="235" spans="1:2" x14ac:dyDescent="0.25">
      <c r="A235">
        <v>894</v>
      </c>
      <c r="B235">
        <v>128200</v>
      </c>
    </row>
    <row r="236" spans="1:2" x14ac:dyDescent="0.25">
      <c r="A236">
        <v>1960</v>
      </c>
      <c r="B236">
        <v>216500</v>
      </c>
    </row>
    <row r="237" spans="1:2" x14ac:dyDescent="0.25">
      <c r="A237">
        <v>987</v>
      </c>
      <c r="B237">
        <v>89500</v>
      </c>
    </row>
    <row r="238" spans="1:2" x14ac:dyDescent="0.25">
      <c r="A238">
        <v>1414</v>
      </c>
      <c r="B238">
        <v>185500</v>
      </c>
    </row>
    <row r="239" spans="1:2" x14ac:dyDescent="0.25">
      <c r="A239">
        <v>1744</v>
      </c>
      <c r="B239">
        <v>194500</v>
      </c>
    </row>
    <row r="240" spans="1:2" x14ac:dyDescent="0.25">
      <c r="A240">
        <v>1694</v>
      </c>
      <c r="B240">
        <v>318000</v>
      </c>
    </row>
    <row r="241" spans="1:2" x14ac:dyDescent="0.25">
      <c r="A241">
        <v>1487</v>
      </c>
      <c r="B241">
        <v>113000</v>
      </c>
    </row>
    <row r="242" spans="1:2" x14ac:dyDescent="0.25">
      <c r="A242">
        <v>1566</v>
      </c>
      <c r="B242">
        <v>262500</v>
      </c>
    </row>
    <row r="243" spans="1:2" x14ac:dyDescent="0.25">
      <c r="A243">
        <v>866</v>
      </c>
      <c r="B243">
        <v>110500</v>
      </c>
    </row>
    <row r="244" spans="1:2" x14ac:dyDescent="0.25">
      <c r="A244">
        <v>1440</v>
      </c>
      <c r="B244">
        <v>79000</v>
      </c>
    </row>
    <row r="245" spans="1:2" x14ac:dyDescent="0.25">
      <c r="A245">
        <v>1217</v>
      </c>
      <c r="B245">
        <v>120000</v>
      </c>
    </row>
    <row r="246" spans="1:2" x14ac:dyDescent="0.25">
      <c r="A246">
        <v>2110</v>
      </c>
      <c r="B246">
        <v>205000</v>
      </c>
    </row>
    <row r="247" spans="1:2" x14ac:dyDescent="0.25">
      <c r="A247">
        <v>1872</v>
      </c>
      <c r="B247">
        <v>241500</v>
      </c>
    </row>
    <row r="248" spans="1:2" x14ac:dyDescent="0.25">
      <c r="A248">
        <v>1928</v>
      </c>
      <c r="B248">
        <v>137000</v>
      </c>
    </row>
    <row r="249" spans="1:2" x14ac:dyDescent="0.25">
      <c r="A249">
        <v>1375</v>
      </c>
      <c r="B249">
        <v>140000</v>
      </c>
    </row>
    <row r="250" spans="1:2" x14ac:dyDescent="0.25">
      <c r="A250">
        <v>1668</v>
      </c>
      <c r="B250">
        <v>180000</v>
      </c>
    </row>
    <row r="251" spans="1:2" x14ac:dyDescent="0.25">
      <c r="A251">
        <v>2144</v>
      </c>
      <c r="B251">
        <v>277000</v>
      </c>
    </row>
    <row r="252" spans="1:2" x14ac:dyDescent="0.25">
      <c r="A252">
        <v>1306</v>
      </c>
      <c r="B252">
        <v>76500</v>
      </c>
    </row>
    <row r="253" spans="1:2" x14ac:dyDescent="0.25">
      <c r="A253">
        <v>1625</v>
      </c>
      <c r="B253">
        <v>235000</v>
      </c>
    </row>
    <row r="254" spans="1:2" x14ac:dyDescent="0.25">
      <c r="A254">
        <v>1640</v>
      </c>
      <c r="B254">
        <v>173000</v>
      </c>
    </row>
    <row r="255" spans="1:2" x14ac:dyDescent="0.25">
      <c r="A255">
        <v>1302</v>
      </c>
      <c r="B255">
        <v>158000</v>
      </c>
    </row>
    <row r="256" spans="1:2" x14ac:dyDescent="0.25">
      <c r="A256">
        <v>1314</v>
      </c>
      <c r="B256">
        <v>145000</v>
      </c>
    </row>
    <row r="257" spans="1:2" x14ac:dyDescent="0.25">
      <c r="A257">
        <v>2291</v>
      </c>
      <c r="B257">
        <v>230000</v>
      </c>
    </row>
    <row r="258" spans="1:2" x14ac:dyDescent="0.25">
      <c r="A258">
        <v>1728</v>
      </c>
      <c r="B258">
        <v>207500</v>
      </c>
    </row>
    <row r="259" spans="1:2" x14ac:dyDescent="0.25">
      <c r="A259">
        <v>1604</v>
      </c>
      <c r="B259">
        <v>220000</v>
      </c>
    </row>
    <row r="260" spans="1:2" x14ac:dyDescent="0.25">
      <c r="A260">
        <v>1792</v>
      </c>
      <c r="B260">
        <v>231500</v>
      </c>
    </row>
    <row r="261" spans="1:2" x14ac:dyDescent="0.25">
      <c r="A261">
        <v>882</v>
      </c>
      <c r="B261">
        <v>97000</v>
      </c>
    </row>
    <row r="262" spans="1:2" x14ac:dyDescent="0.25">
      <c r="A262">
        <v>1382</v>
      </c>
      <c r="B262">
        <v>176000</v>
      </c>
    </row>
    <row r="263" spans="1:2" x14ac:dyDescent="0.25">
      <c r="A263">
        <v>2574</v>
      </c>
      <c r="B263">
        <v>276000</v>
      </c>
    </row>
    <row r="264" spans="1:2" x14ac:dyDescent="0.25">
      <c r="A264">
        <v>1212</v>
      </c>
      <c r="B264">
        <v>151000</v>
      </c>
    </row>
    <row r="265" spans="1:2" x14ac:dyDescent="0.25">
      <c r="A265">
        <v>1316</v>
      </c>
      <c r="B265">
        <v>130000</v>
      </c>
    </row>
    <row r="266" spans="1:2" x14ac:dyDescent="0.25">
      <c r="A266">
        <v>764</v>
      </c>
      <c r="B266">
        <v>73000</v>
      </c>
    </row>
    <row r="267" spans="1:2" x14ac:dyDescent="0.25">
      <c r="A267">
        <v>1422</v>
      </c>
      <c r="B267">
        <v>175500</v>
      </c>
    </row>
    <row r="268" spans="1:2" x14ac:dyDescent="0.25">
      <c r="A268">
        <v>1511</v>
      </c>
      <c r="B268">
        <v>185000</v>
      </c>
    </row>
    <row r="269" spans="1:2" x14ac:dyDescent="0.25">
      <c r="A269">
        <v>2192</v>
      </c>
      <c r="B269">
        <v>179500</v>
      </c>
    </row>
    <row r="270" spans="1:2" x14ac:dyDescent="0.25">
      <c r="A270">
        <v>778</v>
      </c>
      <c r="B270">
        <v>120500</v>
      </c>
    </row>
    <row r="271" spans="1:2" x14ac:dyDescent="0.25">
      <c r="A271">
        <v>1113</v>
      </c>
      <c r="B271">
        <v>148000</v>
      </c>
    </row>
    <row r="272" spans="1:2" x14ac:dyDescent="0.25">
      <c r="A272">
        <v>1939</v>
      </c>
      <c r="B272">
        <v>266000</v>
      </c>
    </row>
    <row r="273" spans="1:2" x14ac:dyDescent="0.25">
      <c r="A273">
        <v>1363</v>
      </c>
      <c r="B273">
        <v>241500</v>
      </c>
    </row>
    <row r="274" spans="1:2" x14ac:dyDescent="0.25">
      <c r="A274">
        <v>2270</v>
      </c>
      <c r="B274">
        <v>290000</v>
      </c>
    </row>
    <row r="275" spans="1:2" x14ac:dyDescent="0.25">
      <c r="A275">
        <v>1632</v>
      </c>
      <c r="B275">
        <v>139000</v>
      </c>
    </row>
    <row r="276" spans="1:2" x14ac:dyDescent="0.25">
      <c r="A276">
        <v>816</v>
      </c>
      <c r="B276">
        <v>124500</v>
      </c>
    </row>
    <row r="277" spans="1:2" x14ac:dyDescent="0.25">
      <c r="A277">
        <v>1548</v>
      </c>
      <c r="B277">
        <v>205000</v>
      </c>
    </row>
    <row r="278" spans="1:2" x14ac:dyDescent="0.25">
      <c r="A278">
        <v>1560</v>
      </c>
      <c r="B278">
        <v>201000</v>
      </c>
    </row>
    <row r="279" spans="1:2" x14ac:dyDescent="0.25">
      <c r="A279">
        <v>864</v>
      </c>
      <c r="B279">
        <v>141000</v>
      </c>
    </row>
    <row r="280" spans="1:2" x14ac:dyDescent="0.25">
      <c r="A280">
        <v>2121</v>
      </c>
      <c r="B280">
        <v>415298</v>
      </c>
    </row>
    <row r="281" spans="1:2" x14ac:dyDescent="0.25">
      <c r="A281">
        <v>2022</v>
      </c>
      <c r="B281">
        <v>192000</v>
      </c>
    </row>
    <row r="282" spans="1:2" x14ac:dyDescent="0.25">
      <c r="A282">
        <v>1982</v>
      </c>
      <c r="B282">
        <v>228500</v>
      </c>
    </row>
    <row r="283" spans="1:2" x14ac:dyDescent="0.25">
      <c r="A283">
        <v>1262</v>
      </c>
      <c r="B283">
        <v>185000</v>
      </c>
    </row>
    <row r="284" spans="1:2" x14ac:dyDescent="0.25">
      <c r="A284">
        <v>1314</v>
      </c>
      <c r="B284">
        <v>207500</v>
      </c>
    </row>
    <row r="285" spans="1:2" x14ac:dyDescent="0.25">
      <c r="A285">
        <v>1468</v>
      </c>
      <c r="B285">
        <v>244600</v>
      </c>
    </row>
    <row r="286" spans="1:2" x14ac:dyDescent="0.25">
      <c r="A286">
        <v>1575</v>
      </c>
      <c r="B286">
        <v>179200</v>
      </c>
    </row>
    <row r="287" spans="1:2" x14ac:dyDescent="0.25">
      <c r="A287">
        <v>1250</v>
      </c>
      <c r="B287">
        <v>164700</v>
      </c>
    </row>
    <row r="288" spans="1:2" x14ac:dyDescent="0.25">
      <c r="A288">
        <v>1734</v>
      </c>
      <c r="B288">
        <v>159000</v>
      </c>
    </row>
    <row r="289" spans="1:2" x14ac:dyDescent="0.25">
      <c r="A289">
        <v>858</v>
      </c>
      <c r="B289">
        <v>88000</v>
      </c>
    </row>
    <row r="290" spans="1:2" x14ac:dyDescent="0.25">
      <c r="A290">
        <v>900</v>
      </c>
      <c r="B290">
        <v>122000</v>
      </c>
    </row>
    <row r="291" spans="1:2" x14ac:dyDescent="0.25">
      <c r="A291">
        <v>1396</v>
      </c>
      <c r="B291">
        <v>153575</v>
      </c>
    </row>
    <row r="292" spans="1:2" x14ac:dyDescent="0.25">
      <c r="A292">
        <v>1919</v>
      </c>
      <c r="B292">
        <v>233230</v>
      </c>
    </row>
    <row r="293" spans="1:2" x14ac:dyDescent="0.25">
      <c r="A293">
        <v>1716</v>
      </c>
      <c r="B293">
        <v>135900</v>
      </c>
    </row>
    <row r="294" spans="1:2" x14ac:dyDescent="0.25">
      <c r="A294">
        <v>1716</v>
      </c>
      <c r="B294">
        <v>131000</v>
      </c>
    </row>
    <row r="295" spans="1:2" x14ac:dyDescent="0.25">
      <c r="A295">
        <v>2263</v>
      </c>
      <c r="B295">
        <v>235000</v>
      </c>
    </row>
    <row r="296" spans="1:2" x14ac:dyDescent="0.25">
      <c r="A296">
        <v>1644</v>
      </c>
      <c r="B296">
        <v>167000</v>
      </c>
    </row>
    <row r="297" spans="1:2" x14ac:dyDescent="0.25">
      <c r="A297">
        <v>1003</v>
      </c>
      <c r="B297">
        <v>142500</v>
      </c>
    </row>
    <row r="298" spans="1:2" x14ac:dyDescent="0.25">
      <c r="A298">
        <v>1558</v>
      </c>
      <c r="B298">
        <v>152000</v>
      </c>
    </row>
    <row r="299" spans="1:2" x14ac:dyDescent="0.25">
      <c r="A299">
        <v>1950</v>
      </c>
      <c r="B299">
        <v>239000</v>
      </c>
    </row>
    <row r="300" spans="1:2" x14ac:dyDescent="0.25">
      <c r="A300">
        <v>1743</v>
      </c>
      <c r="B300">
        <v>175000</v>
      </c>
    </row>
    <row r="301" spans="1:2" x14ac:dyDescent="0.25">
      <c r="A301">
        <v>1152</v>
      </c>
      <c r="B301">
        <v>158500</v>
      </c>
    </row>
    <row r="302" spans="1:2" x14ac:dyDescent="0.25">
      <c r="A302">
        <v>1336</v>
      </c>
      <c r="B302">
        <v>157000</v>
      </c>
    </row>
    <row r="303" spans="1:2" x14ac:dyDescent="0.25">
      <c r="A303">
        <v>2452</v>
      </c>
      <c r="B303">
        <v>267000</v>
      </c>
    </row>
    <row r="304" spans="1:2" x14ac:dyDescent="0.25">
      <c r="A304">
        <v>1541</v>
      </c>
      <c r="B304">
        <v>205000</v>
      </c>
    </row>
    <row r="305" spans="1:2" x14ac:dyDescent="0.25">
      <c r="A305">
        <v>894</v>
      </c>
      <c r="B305">
        <v>149900</v>
      </c>
    </row>
    <row r="306" spans="1:2" x14ac:dyDescent="0.25">
      <c r="A306">
        <v>3493</v>
      </c>
      <c r="B306">
        <v>295000</v>
      </c>
    </row>
    <row r="307" spans="1:2" x14ac:dyDescent="0.25">
      <c r="A307">
        <v>2000</v>
      </c>
      <c r="B307">
        <v>305900</v>
      </c>
    </row>
    <row r="308" spans="1:2" x14ac:dyDescent="0.25">
      <c r="A308">
        <v>2243</v>
      </c>
      <c r="B308">
        <v>225000</v>
      </c>
    </row>
    <row r="309" spans="1:2" x14ac:dyDescent="0.25">
      <c r="A309">
        <v>1406</v>
      </c>
      <c r="B309">
        <v>89500</v>
      </c>
    </row>
    <row r="310" spans="1:2" x14ac:dyDescent="0.25">
      <c r="A310">
        <v>861</v>
      </c>
      <c r="B310">
        <v>82500</v>
      </c>
    </row>
    <row r="311" spans="1:2" x14ac:dyDescent="0.25">
      <c r="A311">
        <v>1944</v>
      </c>
      <c r="B311">
        <v>360000</v>
      </c>
    </row>
    <row r="312" spans="1:2" x14ac:dyDescent="0.25">
      <c r="A312">
        <v>1501</v>
      </c>
      <c r="B312">
        <v>165600</v>
      </c>
    </row>
    <row r="313" spans="1:2" x14ac:dyDescent="0.25">
      <c r="A313">
        <v>972</v>
      </c>
      <c r="B313">
        <v>132000</v>
      </c>
    </row>
    <row r="314" spans="1:2" x14ac:dyDescent="0.25">
      <c r="A314">
        <v>1118</v>
      </c>
      <c r="B314">
        <v>119900</v>
      </c>
    </row>
    <row r="315" spans="1:2" x14ac:dyDescent="0.25">
      <c r="A315">
        <v>2036</v>
      </c>
      <c r="B315">
        <v>375000</v>
      </c>
    </row>
    <row r="316" spans="1:2" x14ac:dyDescent="0.25">
      <c r="A316">
        <v>1641</v>
      </c>
      <c r="B316">
        <v>178000</v>
      </c>
    </row>
    <row r="317" spans="1:2" x14ac:dyDescent="0.25">
      <c r="A317">
        <v>1432</v>
      </c>
      <c r="B317">
        <v>188500</v>
      </c>
    </row>
    <row r="318" spans="1:2" x14ac:dyDescent="0.25">
      <c r="A318">
        <v>2353</v>
      </c>
      <c r="B318">
        <v>260000</v>
      </c>
    </row>
    <row r="319" spans="1:2" x14ac:dyDescent="0.25">
      <c r="A319">
        <v>1959</v>
      </c>
      <c r="B319">
        <v>270000</v>
      </c>
    </row>
    <row r="320" spans="1:2" x14ac:dyDescent="0.25">
      <c r="A320">
        <v>2646</v>
      </c>
      <c r="B320">
        <v>260000</v>
      </c>
    </row>
    <row r="321" spans="1:2" x14ac:dyDescent="0.25">
      <c r="A321">
        <v>1472</v>
      </c>
      <c r="B321">
        <v>187500</v>
      </c>
    </row>
    <row r="322" spans="1:2" x14ac:dyDescent="0.25">
      <c r="A322">
        <v>2596</v>
      </c>
      <c r="B322">
        <v>342643</v>
      </c>
    </row>
    <row r="323" spans="1:2" x14ac:dyDescent="0.25">
      <c r="A323">
        <v>2468</v>
      </c>
      <c r="B323">
        <v>354000</v>
      </c>
    </row>
    <row r="324" spans="1:2" x14ac:dyDescent="0.25">
      <c r="A324">
        <v>2730</v>
      </c>
      <c r="B324">
        <v>301000</v>
      </c>
    </row>
    <row r="325" spans="1:2" x14ac:dyDescent="0.25">
      <c r="A325">
        <v>1163</v>
      </c>
      <c r="B325">
        <v>126175</v>
      </c>
    </row>
    <row r="326" spans="1:2" x14ac:dyDescent="0.25">
      <c r="A326">
        <v>2978</v>
      </c>
      <c r="B326">
        <v>242000</v>
      </c>
    </row>
    <row r="327" spans="1:2" x14ac:dyDescent="0.25">
      <c r="A327">
        <v>803</v>
      </c>
      <c r="B327">
        <v>87000</v>
      </c>
    </row>
    <row r="328" spans="1:2" x14ac:dyDescent="0.25">
      <c r="A328">
        <v>1719</v>
      </c>
      <c r="B328">
        <v>324000</v>
      </c>
    </row>
    <row r="329" spans="1:2" x14ac:dyDescent="0.25">
      <c r="A329">
        <v>1383</v>
      </c>
      <c r="B329">
        <v>145250</v>
      </c>
    </row>
    <row r="330" spans="1:2" x14ac:dyDescent="0.25">
      <c r="A330">
        <v>2134</v>
      </c>
      <c r="B330">
        <v>214500</v>
      </c>
    </row>
    <row r="331" spans="1:2" x14ac:dyDescent="0.25">
      <c r="A331">
        <v>1192</v>
      </c>
      <c r="B331">
        <v>78000</v>
      </c>
    </row>
    <row r="332" spans="1:2" x14ac:dyDescent="0.25">
      <c r="A332">
        <v>1728</v>
      </c>
      <c r="B332">
        <v>119000</v>
      </c>
    </row>
    <row r="333" spans="1:2" x14ac:dyDescent="0.25">
      <c r="A333">
        <v>1056</v>
      </c>
      <c r="B333">
        <v>139000</v>
      </c>
    </row>
    <row r="334" spans="1:2" x14ac:dyDescent="0.25">
      <c r="A334">
        <v>1629</v>
      </c>
      <c r="B334">
        <v>284000</v>
      </c>
    </row>
    <row r="335" spans="1:2" x14ac:dyDescent="0.25">
      <c r="A335">
        <v>1358</v>
      </c>
      <c r="B335">
        <v>207000</v>
      </c>
    </row>
    <row r="336" spans="1:2" x14ac:dyDescent="0.25">
      <c r="A336">
        <v>1638</v>
      </c>
      <c r="B336">
        <v>192000</v>
      </c>
    </row>
    <row r="337" spans="1:2" x14ac:dyDescent="0.25">
      <c r="A337">
        <v>1786</v>
      </c>
      <c r="B337">
        <v>228950</v>
      </c>
    </row>
    <row r="338" spans="1:2" x14ac:dyDescent="0.25">
      <c r="A338">
        <v>1922</v>
      </c>
      <c r="B338">
        <v>377426</v>
      </c>
    </row>
    <row r="339" spans="1:2" x14ac:dyDescent="0.25">
      <c r="A339">
        <v>1536</v>
      </c>
      <c r="B339">
        <v>214000</v>
      </c>
    </row>
    <row r="340" spans="1:2" x14ac:dyDescent="0.25">
      <c r="A340">
        <v>1621</v>
      </c>
      <c r="B340">
        <v>202500</v>
      </c>
    </row>
    <row r="341" spans="1:2" x14ac:dyDescent="0.25">
      <c r="A341">
        <v>1215</v>
      </c>
      <c r="B341">
        <v>155000</v>
      </c>
    </row>
    <row r="342" spans="1:2" x14ac:dyDescent="0.25">
      <c r="A342">
        <v>1908</v>
      </c>
      <c r="B342">
        <v>202900</v>
      </c>
    </row>
    <row r="343" spans="1:2" x14ac:dyDescent="0.25">
      <c r="A343">
        <v>841</v>
      </c>
      <c r="B343">
        <v>82000</v>
      </c>
    </row>
    <row r="344" spans="1:2" x14ac:dyDescent="0.25">
      <c r="A344">
        <v>1040</v>
      </c>
      <c r="B344">
        <v>87500</v>
      </c>
    </row>
    <row r="345" spans="1:2" x14ac:dyDescent="0.25">
      <c r="A345">
        <v>1684</v>
      </c>
      <c r="B345">
        <v>266000</v>
      </c>
    </row>
    <row r="346" spans="1:2" x14ac:dyDescent="0.25">
      <c r="A346">
        <v>1112</v>
      </c>
      <c r="B346">
        <v>85000</v>
      </c>
    </row>
    <row r="347" spans="1:2" x14ac:dyDescent="0.25">
      <c r="A347">
        <v>1577</v>
      </c>
      <c r="B347">
        <v>140200</v>
      </c>
    </row>
    <row r="348" spans="1:2" x14ac:dyDescent="0.25">
      <c r="A348">
        <v>958</v>
      </c>
      <c r="B348">
        <v>151500</v>
      </c>
    </row>
    <row r="349" spans="1:2" x14ac:dyDescent="0.25">
      <c r="A349">
        <v>1478</v>
      </c>
      <c r="B349">
        <v>157500</v>
      </c>
    </row>
    <row r="350" spans="1:2" x14ac:dyDescent="0.25">
      <c r="A350">
        <v>1626</v>
      </c>
      <c r="B350">
        <v>154000</v>
      </c>
    </row>
    <row r="351" spans="1:2" x14ac:dyDescent="0.25">
      <c r="A351">
        <v>2728</v>
      </c>
      <c r="B351">
        <v>437154</v>
      </c>
    </row>
    <row r="352" spans="1:2" x14ac:dyDescent="0.25">
      <c r="A352">
        <v>1869</v>
      </c>
      <c r="B352">
        <v>318061</v>
      </c>
    </row>
    <row r="353" spans="1:2" x14ac:dyDescent="0.25">
      <c r="A353">
        <v>1453</v>
      </c>
      <c r="B353">
        <v>190000</v>
      </c>
    </row>
    <row r="354" spans="1:2" x14ac:dyDescent="0.25">
      <c r="A354">
        <v>1111</v>
      </c>
      <c r="B354">
        <v>95000</v>
      </c>
    </row>
    <row r="355" spans="1:2" x14ac:dyDescent="0.25">
      <c r="A355">
        <v>720</v>
      </c>
      <c r="B355">
        <v>105900</v>
      </c>
    </row>
    <row r="356" spans="1:2" x14ac:dyDescent="0.25">
      <c r="A356">
        <v>1595</v>
      </c>
      <c r="B356">
        <v>140000</v>
      </c>
    </row>
    <row r="357" spans="1:2" x14ac:dyDescent="0.25">
      <c r="A357">
        <v>1200</v>
      </c>
      <c r="B357">
        <v>177500</v>
      </c>
    </row>
    <row r="358" spans="1:2" x14ac:dyDescent="0.25">
      <c r="A358">
        <v>1167</v>
      </c>
      <c r="B358">
        <v>173000</v>
      </c>
    </row>
    <row r="359" spans="1:2" x14ac:dyDescent="0.25">
      <c r="A359">
        <v>1142</v>
      </c>
      <c r="B359">
        <v>134000</v>
      </c>
    </row>
    <row r="360" spans="1:2" x14ac:dyDescent="0.25">
      <c r="A360">
        <v>1352</v>
      </c>
      <c r="B360">
        <v>130000</v>
      </c>
    </row>
    <row r="361" spans="1:2" x14ac:dyDescent="0.25">
      <c r="A361">
        <v>1924</v>
      </c>
      <c r="B361">
        <v>280000</v>
      </c>
    </row>
    <row r="362" spans="1:2" x14ac:dyDescent="0.25">
      <c r="A362">
        <v>912</v>
      </c>
      <c r="B362">
        <v>156000</v>
      </c>
    </row>
    <row r="363" spans="1:2" x14ac:dyDescent="0.25">
      <c r="A363">
        <v>1505</v>
      </c>
      <c r="B363">
        <v>145000</v>
      </c>
    </row>
    <row r="364" spans="1:2" x14ac:dyDescent="0.25">
      <c r="A364">
        <v>1922</v>
      </c>
      <c r="B364">
        <v>198500</v>
      </c>
    </row>
    <row r="365" spans="1:2" x14ac:dyDescent="0.25">
      <c r="A365">
        <v>987</v>
      </c>
      <c r="B365">
        <v>118000</v>
      </c>
    </row>
    <row r="366" spans="1:2" x14ac:dyDescent="0.25">
      <c r="A366">
        <v>1574</v>
      </c>
      <c r="B366">
        <v>190000</v>
      </c>
    </row>
    <row r="367" spans="1:2" x14ac:dyDescent="0.25">
      <c r="A367">
        <v>1344</v>
      </c>
      <c r="B367">
        <v>147000</v>
      </c>
    </row>
    <row r="368" spans="1:2" x14ac:dyDescent="0.25">
      <c r="A368">
        <v>1394</v>
      </c>
      <c r="B368">
        <v>159000</v>
      </c>
    </row>
    <row r="369" spans="1:2" x14ac:dyDescent="0.25">
      <c r="A369">
        <v>1431</v>
      </c>
      <c r="B369">
        <v>165000</v>
      </c>
    </row>
    <row r="370" spans="1:2" x14ac:dyDescent="0.25">
      <c r="A370">
        <v>1268</v>
      </c>
      <c r="B370">
        <v>132000</v>
      </c>
    </row>
    <row r="371" spans="1:2" x14ac:dyDescent="0.25">
      <c r="A371">
        <v>1287</v>
      </c>
      <c r="B371">
        <v>162000</v>
      </c>
    </row>
    <row r="372" spans="1:2" x14ac:dyDescent="0.25">
      <c r="A372">
        <v>1664</v>
      </c>
      <c r="B372">
        <v>172400</v>
      </c>
    </row>
    <row r="373" spans="1:2" x14ac:dyDescent="0.25">
      <c r="A373">
        <v>1588</v>
      </c>
      <c r="B373">
        <v>134432</v>
      </c>
    </row>
    <row r="374" spans="1:2" x14ac:dyDescent="0.25">
      <c r="A374">
        <v>752</v>
      </c>
      <c r="B374">
        <v>125000</v>
      </c>
    </row>
    <row r="375" spans="1:2" x14ac:dyDescent="0.25">
      <c r="A375">
        <v>1319</v>
      </c>
      <c r="B375">
        <v>123000</v>
      </c>
    </row>
    <row r="376" spans="1:2" x14ac:dyDescent="0.25">
      <c r="A376">
        <v>1928</v>
      </c>
      <c r="B376">
        <v>219500</v>
      </c>
    </row>
    <row r="377" spans="1:2" x14ac:dyDescent="0.25">
      <c r="A377">
        <v>904</v>
      </c>
      <c r="B377">
        <v>61000</v>
      </c>
    </row>
    <row r="378" spans="1:2" x14ac:dyDescent="0.25">
      <c r="A378">
        <v>914</v>
      </c>
      <c r="B378">
        <v>148000</v>
      </c>
    </row>
    <row r="379" spans="1:2" x14ac:dyDescent="0.25">
      <c r="A379">
        <v>2466</v>
      </c>
      <c r="B379">
        <v>340000</v>
      </c>
    </row>
    <row r="380" spans="1:2" x14ac:dyDescent="0.25">
      <c r="A380">
        <v>1856</v>
      </c>
      <c r="B380">
        <v>394432</v>
      </c>
    </row>
    <row r="381" spans="1:2" x14ac:dyDescent="0.25">
      <c r="A381">
        <v>1800</v>
      </c>
      <c r="B381">
        <v>179000</v>
      </c>
    </row>
    <row r="382" spans="1:2" x14ac:dyDescent="0.25">
      <c r="A382">
        <v>1691</v>
      </c>
      <c r="B382">
        <v>127000</v>
      </c>
    </row>
    <row r="383" spans="1:2" x14ac:dyDescent="0.25">
      <c r="A383">
        <v>1301</v>
      </c>
      <c r="B383">
        <v>187750</v>
      </c>
    </row>
    <row r="384" spans="1:2" x14ac:dyDescent="0.25">
      <c r="A384">
        <v>1797</v>
      </c>
      <c r="B384">
        <v>213500</v>
      </c>
    </row>
    <row r="385" spans="1:2" x14ac:dyDescent="0.25">
      <c r="A385">
        <v>784</v>
      </c>
      <c r="B385">
        <v>76000</v>
      </c>
    </row>
    <row r="386" spans="1:2" x14ac:dyDescent="0.25">
      <c r="A386">
        <v>1953</v>
      </c>
      <c r="B386">
        <v>240000</v>
      </c>
    </row>
    <row r="387" spans="1:2" x14ac:dyDescent="0.25">
      <c r="A387">
        <v>1269</v>
      </c>
      <c r="B387">
        <v>192000</v>
      </c>
    </row>
    <row r="388" spans="1:2" x14ac:dyDescent="0.25">
      <c r="A388">
        <v>1184</v>
      </c>
      <c r="B388">
        <v>81000</v>
      </c>
    </row>
    <row r="389" spans="1:2" x14ac:dyDescent="0.25">
      <c r="A389">
        <v>1125</v>
      </c>
      <c r="B389">
        <v>125000</v>
      </c>
    </row>
    <row r="390" spans="1:2" x14ac:dyDescent="0.25">
      <c r="A390">
        <v>1479</v>
      </c>
      <c r="B390">
        <v>191000</v>
      </c>
    </row>
    <row r="391" spans="1:2" x14ac:dyDescent="0.25">
      <c r="A391">
        <v>2332</v>
      </c>
      <c r="B391">
        <v>426000</v>
      </c>
    </row>
    <row r="392" spans="1:2" x14ac:dyDescent="0.25">
      <c r="A392">
        <v>1367</v>
      </c>
      <c r="B392">
        <v>119000</v>
      </c>
    </row>
    <row r="393" spans="1:2" x14ac:dyDescent="0.25">
      <c r="A393">
        <v>1961</v>
      </c>
      <c r="B393">
        <v>215000</v>
      </c>
    </row>
    <row r="394" spans="1:2" x14ac:dyDescent="0.25">
      <c r="A394">
        <v>882</v>
      </c>
      <c r="B394">
        <v>106500</v>
      </c>
    </row>
    <row r="395" spans="1:2" x14ac:dyDescent="0.25">
      <c r="A395">
        <v>788</v>
      </c>
      <c r="B395">
        <v>100000</v>
      </c>
    </row>
    <row r="396" spans="1:2" x14ac:dyDescent="0.25">
      <c r="A396">
        <v>1034</v>
      </c>
      <c r="B396">
        <v>109000</v>
      </c>
    </row>
    <row r="397" spans="1:2" x14ac:dyDescent="0.25">
      <c r="A397">
        <v>1144</v>
      </c>
      <c r="B397">
        <v>129000</v>
      </c>
    </row>
    <row r="398" spans="1:2" x14ac:dyDescent="0.25">
      <c r="A398">
        <v>894</v>
      </c>
      <c r="B398">
        <v>123000</v>
      </c>
    </row>
    <row r="399" spans="1:2" x14ac:dyDescent="0.25">
      <c r="A399">
        <v>1812</v>
      </c>
      <c r="B399">
        <v>169500</v>
      </c>
    </row>
    <row r="400" spans="1:2" x14ac:dyDescent="0.25">
      <c r="A400">
        <v>1077</v>
      </c>
      <c r="B400">
        <v>67000</v>
      </c>
    </row>
    <row r="401" spans="1:2" x14ac:dyDescent="0.25">
      <c r="A401">
        <v>1550</v>
      </c>
      <c r="B401">
        <v>241000</v>
      </c>
    </row>
    <row r="402" spans="1:2" x14ac:dyDescent="0.25">
      <c r="A402">
        <v>1288</v>
      </c>
      <c r="B402">
        <v>245500</v>
      </c>
    </row>
    <row r="403" spans="1:2" x14ac:dyDescent="0.25">
      <c r="A403">
        <v>1310</v>
      </c>
      <c r="B403">
        <v>164990</v>
      </c>
    </row>
    <row r="404" spans="1:2" x14ac:dyDescent="0.25">
      <c r="A404">
        <v>672</v>
      </c>
      <c r="B404">
        <v>108000</v>
      </c>
    </row>
    <row r="405" spans="1:2" x14ac:dyDescent="0.25">
      <c r="A405">
        <v>2263</v>
      </c>
      <c r="B405">
        <v>258000</v>
      </c>
    </row>
    <row r="406" spans="1:2" x14ac:dyDescent="0.25">
      <c r="A406">
        <v>1572</v>
      </c>
      <c r="B406">
        <v>168000</v>
      </c>
    </row>
    <row r="407" spans="1:2" x14ac:dyDescent="0.25">
      <c r="A407">
        <v>1620</v>
      </c>
      <c r="B407">
        <v>150000</v>
      </c>
    </row>
    <row r="408" spans="1:2" x14ac:dyDescent="0.25">
      <c r="A408">
        <v>1639</v>
      </c>
      <c r="B408">
        <v>115000</v>
      </c>
    </row>
    <row r="409" spans="1:2" x14ac:dyDescent="0.25">
      <c r="A409">
        <v>1680</v>
      </c>
      <c r="B409">
        <v>177000</v>
      </c>
    </row>
    <row r="410" spans="1:2" x14ac:dyDescent="0.25">
      <c r="A410">
        <v>2172</v>
      </c>
      <c r="B410">
        <v>280000</v>
      </c>
    </row>
    <row r="411" spans="1:2" x14ac:dyDescent="0.25">
      <c r="A411">
        <v>2078</v>
      </c>
      <c r="B411">
        <v>339750</v>
      </c>
    </row>
    <row r="412" spans="1:2" x14ac:dyDescent="0.25">
      <c r="A412">
        <v>1276</v>
      </c>
      <c r="B412">
        <v>60000</v>
      </c>
    </row>
    <row r="413" spans="1:2" x14ac:dyDescent="0.25">
      <c r="A413">
        <v>1056</v>
      </c>
      <c r="B413">
        <v>145000</v>
      </c>
    </row>
    <row r="414" spans="1:2" x14ac:dyDescent="0.25">
      <c r="A414">
        <v>1478</v>
      </c>
      <c r="B414">
        <v>222000</v>
      </c>
    </row>
    <row r="415" spans="1:2" x14ac:dyDescent="0.25">
      <c r="A415">
        <v>1028</v>
      </c>
      <c r="B415">
        <v>115000</v>
      </c>
    </row>
    <row r="416" spans="1:2" x14ac:dyDescent="0.25">
      <c r="A416">
        <v>2097</v>
      </c>
      <c r="B416">
        <v>228000</v>
      </c>
    </row>
    <row r="417" spans="1:2" x14ac:dyDescent="0.25">
      <c r="A417">
        <v>1340</v>
      </c>
      <c r="B417">
        <v>181134</v>
      </c>
    </row>
    <row r="418" spans="1:2" x14ac:dyDescent="0.25">
      <c r="A418">
        <v>1400</v>
      </c>
      <c r="B418">
        <v>149500</v>
      </c>
    </row>
    <row r="419" spans="1:2" x14ac:dyDescent="0.25">
      <c r="A419">
        <v>2624</v>
      </c>
      <c r="B419">
        <v>239000</v>
      </c>
    </row>
    <row r="420" spans="1:2" x14ac:dyDescent="0.25">
      <c r="A420">
        <v>1134</v>
      </c>
      <c r="B420">
        <v>126000</v>
      </c>
    </row>
    <row r="421" spans="1:2" x14ac:dyDescent="0.25">
      <c r="A421">
        <v>1056</v>
      </c>
      <c r="B421">
        <v>142000</v>
      </c>
    </row>
    <row r="422" spans="1:2" x14ac:dyDescent="0.25">
      <c r="A422">
        <v>1344</v>
      </c>
      <c r="B422">
        <v>206300</v>
      </c>
    </row>
    <row r="423" spans="1:2" x14ac:dyDescent="0.25">
      <c r="A423">
        <v>1602</v>
      </c>
      <c r="B423">
        <v>215000</v>
      </c>
    </row>
    <row r="424" spans="1:2" x14ac:dyDescent="0.25">
      <c r="A424">
        <v>988</v>
      </c>
      <c r="B424">
        <v>113000</v>
      </c>
    </row>
    <row r="425" spans="1:2" x14ac:dyDescent="0.25">
      <c r="A425">
        <v>2630</v>
      </c>
      <c r="B425">
        <v>315000</v>
      </c>
    </row>
    <row r="426" spans="1:2" x14ac:dyDescent="0.25">
      <c r="A426">
        <v>1196</v>
      </c>
      <c r="B426">
        <v>139000</v>
      </c>
    </row>
    <row r="427" spans="1:2" x14ac:dyDescent="0.25">
      <c r="A427">
        <v>1389</v>
      </c>
      <c r="B427">
        <v>135000</v>
      </c>
    </row>
    <row r="428" spans="1:2" x14ac:dyDescent="0.25">
      <c r="A428">
        <v>1644</v>
      </c>
      <c r="B428">
        <v>275000</v>
      </c>
    </row>
    <row r="429" spans="1:2" x14ac:dyDescent="0.25">
      <c r="A429">
        <v>907</v>
      </c>
      <c r="B429">
        <v>109008</v>
      </c>
    </row>
    <row r="430" spans="1:2" x14ac:dyDescent="0.25">
      <c r="A430">
        <v>1208</v>
      </c>
      <c r="B430">
        <v>195400</v>
      </c>
    </row>
    <row r="431" spans="1:2" x14ac:dyDescent="0.25">
      <c r="A431">
        <v>1412</v>
      </c>
      <c r="B431">
        <v>175000</v>
      </c>
    </row>
    <row r="432" spans="1:2" x14ac:dyDescent="0.25">
      <c r="A432">
        <v>987</v>
      </c>
      <c r="B432">
        <v>85400</v>
      </c>
    </row>
    <row r="433" spans="1:2" x14ac:dyDescent="0.25">
      <c r="A433">
        <v>1198</v>
      </c>
      <c r="B433">
        <v>79900</v>
      </c>
    </row>
    <row r="434" spans="1:2" x14ac:dyDescent="0.25">
      <c r="A434">
        <v>1365</v>
      </c>
      <c r="B434">
        <v>122500</v>
      </c>
    </row>
    <row r="435" spans="1:2" x14ac:dyDescent="0.25">
      <c r="A435">
        <v>1604</v>
      </c>
      <c r="B435">
        <v>181000</v>
      </c>
    </row>
    <row r="436" spans="1:2" x14ac:dyDescent="0.25">
      <c r="A436">
        <v>630</v>
      </c>
      <c r="B436">
        <v>81000</v>
      </c>
    </row>
    <row r="437" spans="1:2" x14ac:dyDescent="0.25">
      <c r="A437">
        <v>1661</v>
      </c>
      <c r="B437">
        <v>212000</v>
      </c>
    </row>
    <row r="438" spans="1:2" x14ac:dyDescent="0.25">
      <c r="A438">
        <v>1118</v>
      </c>
      <c r="B438">
        <v>116000</v>
      </c>
    </row>
    <row r="439" spans="1:2" x14ac:dyDescent="0.25">
      <c r="A439">
        <v>904</v>
      </c>
      <c r="B439">
        <v>119000</v>
      </c>
    </row>
    <row r="440" spans="1:2" x14ac:dyDescent="0.25">
      <c r="A440">
        <v>694</v>
      </c>
      <c r="B440">
        <v>90350</v>
      </c>
    </row>
    <row r="441" spans="1:2" x14ac:dyDescent="0.25">
      <c r="A441">
        <v>1196</v>
      </c>
      <c r="B441">
        <v>110000</v>
      </c>
    </row>
    <row r="442" spans="1:2" x14ac:dyDescent="0.25">
      <c r="A442">
        <v>2402</v>
      </c>
      <c r="B442">
        <v>555000</v>
      </c>
    </row>
    <row r="443" spans="1:2" x14ac:dyDescent="0.25">
      <c r="A443">
        <v>1440</v>
      </c>
      <c r="B443">
        <v>118000</v>
      </c>
    </row>
    <row r="444" spans="1:2" x14ac:dyDescent="0.25">
      <c r="A444">
        <v>1573</v>
      </c>
      <c r="B444">
        <v>162900</v>
      </c>
    </row>
    <row r="445" spans="1:2" x14ac:dyDescent="0.25">
      <c r="A445">
        <v>1258</v>
      </c>
      <c r="B445">
        <v>172500</v>
      </c>
    </row>
    <row r="446" spans="1:2" x14ac:dyDescent="0.25">
      <c r="A446">
        <v>1908</v>
      </c>
      <c r="B446">
        <v>210000</v>
      </c>
    </row>
    <row r="447" spans="1:2" x14ac:dyDescent="0.25">
      <c r="A447">
        <v>1689</v>
      </c>
      <c r="B447">
        <v>127500</v>
      </c>
    </row>
    <row r="448" spans="1:2" x14ac:dyDescent="0.25">
      <c r="A448">
        <v>1888</v>
      </c>
      <c r="B448">
        <v>190000</v>
      </c>
    </row>
    <row r="449" spans="1:2" x14ac:dyDescent="0.25">
      <c r="A449">
        <v>1886</v>
      </c>
      <c r="B449">
        <v>199900</v>
      </c>
    </row>
    <row r="450" spans="1:2" x14ac:dyDescent="0.25">
      <c r="A450">
        <v>1376</v>
      </c>
      <c r="B450">
        <v>119500</v>
      </c>
    </row>
    <row r="451" spans="1:2" x14ac:dyDescent="0.25">
      <c r="A451">
        <v>1183</v>
      </c>
      <c r="B451">
        <v>120000</v>
      </c>
    </row>
    <row r="452" spans="1:2" x14ac:dyDescent="0.25">
      <c r="A452">
        <v>813</v>
      </c>
      <c r="B452">
        <v>110000</v>
      </c>
    </row>
    <row r="453" spans="1:2" x14ac:dyDescent="0.25">
      <c r="A453">
        <v>1533</v>
      </c>
      <c r="B453">
        <v>280000</v>
      </c>
    </row>
    <row r="454" spans="1:2" x14ac:dyDescent="0.25">
      <c r="A454">
        <v>1756</v>
      </c>
      <c r="B454">
        <v>204000</v>
      </c>
    </row>
    <row r="455" spans="1:2" x14ac:dyDescent="0.25">
      <c r="A455">
        <v>1590</v>
      </c>
      <c r="B455">
        <v>210000</v>
      </c>
    </row>
    <row r="456" spans="1:2" x14ac:dyDescent="0.25">
      <c r="A456">
        <v>1728</v>
      </c>
      <c r="B456">
        <v>188000</v>
      </c>
    </row>
    <row r="457" spans="1:2" x14ac:dyDescent="0.25">
      <c r="A457">
        <v>1242</v>
      </c>
      <c r="B457">
        <v>175500</v>
      </c>
    </row>
    <row r="458" spans="1:2" x14ac:dyDescent="0.25">
      <c r="A458">
        <v>1344</v>
      </c>
      <c r="B458">
        <v>98000</v>
      </c>
    </row>
    <row r="459" spans="1:2" x14ac:dyDescent="0.25">
      <c r="A459">
        <v>1663</v>
      </c>
      <c r="B459">
        <v>256000</v>
      </c>
    </row>
    <row r="460" spans="1:2" x14ac:dyDescent="0.25">
      <c r="A460">
        <v>1666</v>
      </c>
      <c r="B460">
        <v>161000</v>
      </c>
    </row>
    <row r="461" spans="1:2" x14ac:dyDescent="0.25">
      <c r="A461">
        <v>1203</v>
      </c>
      <c r="B461">
        <v>110000</v>
      </c>
    </row>
    <row r="462" spans="1:2" x14ac:dyDescent="0.25">
      <c r="A462">
        <v>1935</v>
      </c>
      <c r="B462">
        <v>263435</v>
      </c>
    </row>
    <row r="463" spans="1:2" x14ac:dyDescent="0.25">
      <c r="A463">
        <v>1135</v>
      </c>
      <c r="B463">
        <v>155000</v>
      </c>
    </row>
    <row r="464" spans="1:2" x14ac:dyDescent="0.25">
      <c r="A464">
        <v>864</v>
      </c>
      <c r="B464">
        <v>62383</v>
      </c>
    </row>
    <row r="465" spans="1:2" x14ac:dyDescent="0.25">
      <c r="A465">
        <v>1660</v>
      </c>
      <c r="B465">
        <v>188700</v>
      </c>
    </row>
    <row r="466" spans="1:2" x14ac:dyDescent="0.25">
      <c r="A466">
        <v>1040</v>
      </c>
      <c r="B466">
        <v>124000</v>
      </c>
    </row>
    <row r="467" spans="1:2" x14ac:dyDescent="0.25">
      <c r="A467">
        <v>1414</v>
      </c>
      <c r="B467">
        <v>178740</v>
      </c>
    </row>
    <row r="468" spans="1:2" x14ac:dyDescent="0.25">
      <c r="A468">
        <v>1277</v>
      </c>
      <c r="B468">
        <v>167000</v>
      </c>
    </row>
    <row r="469" spans="1:2" x14ac:dyDescent="0.25">
      <c r="A469">
        <v>1644</v>
      </c>
      <c r="B469">
        <v>146500</v>
      </c>
    </row>
    <row r="470" spans="1:2" x14ac:dyDescent="0.25">
      <c r="A470">
        <v>1634</v>
      </c>
      <c r="B470">
        <v>250000</v>
      </c>
    </row>
    <row r="471" spans="1:2" x14ac:dyDescent="0.25">
      <c r="A471">
        <v>1710</v>
      </c>
      <c r="B471">
        <v>187000</v>
      </c>
    </row>
    <row r="472" spans="1:2" x14ac:dyDescent="0.25">
      <c r="A472">
        <v>1502</v>
      </c>
      <c r="B472">
        <v>212000</v>
      </c>
    </row>
    <row r="473" spans="1:2" x14ac:dyDescent="0.25">
      <c r="A473">
        <v>1969</v>
      </c>
      <c r="B473">
        <v>190000</v>
      </c>
    </row>
    <row r="474" spans="1:2" x14ac:dyDescent="0.25">
      <c r="A474">
        <v>1072</v>
      </c>
      <c r="B474">
        <v>148000</v>
      </c>
    </row>
    <row r="475" spans="1:2" x14ac:dyDescent="0.25">
      <c r="A475">
        <v>1976</v>
      </c>
      <c r="B475">
        <v>440000</v>
      </c>
    </row>
    <row r="476" spans="1:2" x14ac:dyDescent="0.25">
      <c r="A476">
        <v>1652</v>
      </c>
      <c r="B476">
        <v>251000</v>
      </c>
    </row>
    <row r="477" spans="1:2" x14ac:dyDescent="0.25">
      <c r="A477">
        <v>970</v>
      </c>
      <c r="B477">
        <v>132500</v>
      </c>
    </row>
    <row r="478" spans="1:2" x14ac:dyDescent="0.25">
      <c r="A478">
        <v>1493</v>
      </c>
      <c r="B478">
        <v>208900</v>
      </c>
    </row>
    <row r="479" spans="1:2" x14ac:dyDescent="0.25">
      <c r="A479">
        <v>2643</v>
      </c>
      <c r="B479">
        <v>380000</v>
      </c>
    </row>
    <row r="480" spans="1:2" x14ac:dyDescent="0.25">
      <c r="A480">
        <v>1718</v>
      </c>
      <c r="B480">
        <v>297000</v>
      </c>
    </row>
    <row r="481" spans="1:2" x14ac:dyDescent="0.25">
      <c r="A481">
        <v>1131</v>
      </c>
      <c r="B481">
        <v>89471</v>
      </c>
    </row>
    <row r="482" spans="1:2" x14ac:dyDescent="0.25">
      <c r="A482">
        <v>1850</v>
      </c>
      <c r="B482">
        <v>326000</v>
      </c>
    </row>
    <row r="483" spans="1:2" x14ac:dyDescent="0.25">
      <c r="A483">
        <v>1792</v>
      </c>
      <c r="B483">
        <v>374000</v>
      </c>
    </row>
    <row r="484" spans="1:2" x14ac:dyDescent="0.25">
      <c r="A484">
        <v>1826</v>
      </c>
      <c r="B484">
        <v>155000</v>
      </c>
    </row>
    <row r="485" spans="1:2" x14ac:dyDescent="0.25">
      <c r="A485">
        <v>1216</v>
      </c>
      <c r="B485">
        <v>164000</v>
      </c>
    </row>
    <row r="486" spans="1:2" x14ac:dyDescent="0.25">
      <c r="A486">
        <v>999</v>
      </c>
      <c r="B486">
        <v>132500</v>
      </c>
    </row>
    <row r="487" spans="1:2" x14ac:dyDescent="0.25">
      <c r="A487">
        <v>1113</v>
      </c>
      <c r="B487">
        <v>147000</v>
      </c>
    </row>
    <row r="488" spans="1:2" x14ac:dyDescent="0.25">
      <c r="A488">
        <v>1073</v>
      </c>
      <c r="B488">
        <v>156000</v>
      </c>
    </row>
    <row r="489" spans="1:2" x14ac:dyDescent="0.25">
      <c r="A489">
        <v>1484</v>
      </c>
      <c r="B489">
        <v>175000</v>
      </c>
    </row>
    <row r="490" spans="1:2" x14ac:dyDescent="0.25">
      <c r="A490">
        <v>2414</v>
      </c>
      <c r="B490">
        <v>160000</v>
      </c>
    </row>
    <row r="491" spans="1:2" x14ac:dyDescent="0.25">
      <c r="A491">
        <v>630</v>
      </c>
      <c r="B491">
        <v>86000</v>
      </c>
    </row>
    <row r="492" spans="1:2" x14ac:dyDescent="0.25">
      <c r="A492">
        <v>1304</v>
      </c>
      <c r="B492">
        <v>115000</v>
      </c>
    </row>
    <row r="493" spans="1:2" x14ac:dyDescent="0.25">
      <c r="A493">
        <v>1578</v>
      </c>
      <c r="B493">
        <v>133000</v>
      </c>
    </row>
    <row r="494" spans="1:2" x14ac:dyDescent="0.25">
      <c r="A494">
        <v>1456</v>
      </c>
      <c r="B494">
        <v>172785</v>
      </c>
    </row>
    <row r="495" spans="1:2" x14ac:dyDescent="0.25">
      <c r="A495">
        <v>1269</v>
      </c>
      <c r="B495">
        <v>155000</v>
      </c>
    </row>
    <row r="496" spans="1:2" x14ac:dyDescent="0.25">
      <c r="A496">
        <v>886</v>
      </c>
      <c r="B496">
        <v>91300</v>
      </c>
    </row>
    <row r="497" spans="1:2" x14ac:dyDescent="0.25">
      <c r="A497">
        <v>720</v>
      </c>
      <c r="B497">
        <v>34900</v>
      </c>
    </row>
    <row r="498" spans="1:2" x14ac:dyDescent="0.25">
      <c r="A498">
        <v>3228</v>
      </c>
      <c r="B498">
        <v>430000</v>
      </c>
    </row>
    <row r="499" spans="1:2" x14ac:dyDescent="0.25">
      <c r="A499">
        <v>1820</v>
      </c>
      <c r="B499">
        <v>184000</v>
      </c>
    </row>
    <row r="500" spans="1:2" x14ac:dyDescent="0.25">
      <c r="A500">
        <v>899</v>
      </c>
      <c r="B500">
        <v>130000</v>
      </c>
    </row>
    <row r="501" spans="1:2" x14ac:dyDescent="0.25">
      <c r="A501">
        <v>912</v>
      </c>
      <c r="B501">
        <v>120000</v>
      </c>
    </row>
    <row r="502" spans="1:2" x14ac:dyDescent="0.25">
      <c r="A502">
        <v>1218</v>
      </c>
      <c r="B502">
        <v>113000</v>
      </c>
    </row>
    <row r="503" spans="1:2" x14ac:dyDescent="0.25">
      <c r="A503">
        <v>1768</v>
      </c>
      <c r="B503">
        <v>226700</v>
      </c>
    </row>
    <row r="504" spans="1:2" x14ac:dyDescent="0.25">
      <c r="A504">
        <v>1214</v>
      </c>
      <c r="B504">
        <v>140000</v>
      </c>
    </row>
    <row r="505" spans="1:2" x14ac:dyDescent="0.25">
      <c r="A505">
        <v>1801</v>
      </c>
      <c r="B505">
        <v>289000</v>
      </c>
    </row>
    <row r="506" spans="1:2" x14ac:dyDescent="0.25">
      <c r="A506">
        <v>1322</v>
      </c>
      <c r="B506">
        <v>147000</v>
      </c>
    </row>
    <row r="507" spans="1:2" x14ac:dyDescent="0.25">
      <c r="A507">
        <v>1960</v>
      </c>
      <c r="B507">
        <v>124500</v>
      </c>
    </row>
    <row r="508" spans="1:2" x14ac:dyDescent="0.25">
      <c r="A508">
        <v>1911</v>
      </c>
      <c r="B508">
        <v>215000</v>
      </c>
    </row>
    <row r="509" spans="1:2" x14ac:dyDescent="0.25">
      <c r="A509">
        <v>1218</v>
      </c>
      <c r="B509">
        <v>208300</v>
      </c>
    </row>
    <row r="510" spans="1:2" x14ac:dyDescent="0.25">
      <c r="A510">
        <v>1378</v>
      </c>
      <c r="B510">
        <v>161000</v>
      </c>
    </row>
    <row r="511" spans="1:2" x14ac:dyDescent="0.25">
      <c r="A511">
        <v>1041</v>
      </c>
      <c r="B511">
        <v>124500</v>
      </c>
    </row>
    <row r="512" spans="1:2" x14ac:dyDescent="0.25">
      <c r="A512">
        <v>1363</v>
      </c>
      <c r="B512">
        <v>164900</v>
      </c>
    </row>
    <row r="513" spans="1:2" x14ac:dyDescent="0.25">
      <c r="A513">
        <v>1368</v>
      </c>
      <c r="B513">
        <v>202665</v>
      </c>
    </row>
    <row r="514" spans="1:2" x14ac:dyDescent="0.25">
      <c r="A514">
        <v>864</v>
      </c>
      <c r="B514">
        <v>129900</v>
      </c>
    </row>
    <row r="515" spans="1:2" x14ac:dyDescent="0.25">
      <c r="A515">
        <v>1080</v>
      </c>
      <c r="B515">
        <v>134000</v>
      </c>
    </row>
    <row r="516" spans="1:2" x14ac:dyDescent="0.25">
      <c r="A516">
        <v>789</v>
      </c>
      <c r="B516">
        <v>96500</v>
      </c>
    </row>
    <row r="517" spans="1:2" x14ac:dyDescent="0.25">
      <c r="A517">
        <v>2020</v>
      </c>
      <c r="B517">
        <v>402861</v>
      </c>
    </row>
    <row r="518" spans="1:2" x14ac:dyDescent="0.25">
      <c r="A518">
        <v>2119</v>
      </c>
      <c r="B518">
        <v>158000</v>
      </c>
    </row>
    <row r="519" spans="1:2" x14ac:dyDescent="0.25">
      <c r="A519">
        <v>2344</v>
      </c>
      <c r="B519">
        <v>265000</v>
      </c>
    </row>
    <row r="520" spans="1:2" x14ac:dyDescent="0.25">
      <c r="A520">
        <v>1796</v>
      </c>
      <c r="B520">
        <v>211000</v>
      </c>
    </row>
    <row r="521" spans="1:2" x14ac:dyDescent="0.25">
      <c r="A521">
        <v>2080</v>
      </c>
      <c r="B521">
        <v>234000</v>
      </c>
    </row>
    <row r="522" spans="1:2" x14ac:dyDescent="0.25">
      <c r="A522">
        <v>1294</v>
      </c>
      <c r="B522">
        <v>106250</v>
      </c>
    </row>
    <row r="523" spans="1:2" x14ac:dyDescent="0.25">
      <c r="A523">
        <v>1244</v>
      </c>
      <c r="B523">
        <v>150000</v>
      </c>
    </row>
    <row r="524" spans="1:2" x14ac:dyDescent="0.25">
      <c r="A524">
        <v>1664</v>
      </c>
      <c r="B524">
        <v>159000</v>
      </c>
    </row>
    <row r="525" spans="1:2" x14ac:dyDescent="0.25">
      <c r="A525">
        <v>4676</v>
      </c>
      <c r="B525">
        <v>184750</v>
      </c>
    </row>
    <row r="526" spans="1:2" x14ac:dyDescent="0.25">
      <c r="A526">
        <v>2398</v>
      </c>
      <c r="B526">
        <v>315750</v>
      </c>
    </row>
    <row r="527" spans="1:2" x14ac:dyDescent="0.25">
      <c r="A527">
        <v>1266</v>
      </c>
      <c r="B527">
        <v>176000</v>
      </c>
    </row>
    <row r="528" spans="1:2" x14ac:dyDescent="0.25">
      <c r="A528">
        <v>928</v>
      </c>
      <c r="B528">
        <v>132000</v>
      </c>
    </row>
    <row r="529" spans="1:2" x14ac:dyDescent="0.25">
      <c r="A529">
        <v>2713</v>
      </c>
      <c r="B529">
        <v>446261</v>
      </c>
    </row>
    <row r="530" spans="1:2" x14ac:dyDescent="0.25">
      <c r="A530">
        <v>605</v>
      </c>
      <c r="B530">
        <v>86000</v>
      </c>
    </row>
    <row r="531" spans="1:2" x14ac:dyDescent="0.25">
      <c r="A531">
        <v>2515</v>
      </c>
      <c r="B531">
        <v>200624</v>
      </c>
    </row>
    <row r="532" spans="1:2" x14ac:dyDescent="0.25">
      <c r="A532">
        <v>1509</v>
      </c>
      <c r="B532">
        <v>175000</v>
      </c>
    </row>
    <row r="533" spans="1:2" x14ac:dyDescent="0.25">
      <c r="A533">
        <v>1362</v>
      </c>
      <c r="B533">
        <v>128000</v>
      </c>
    </row>
    <row r="534" spans="1:2" x14ac:dyDescent="0.25">
      <c r="A534">
        <v>827</v>
      </c>
      <c r="B534">
        <v>107500</v>
      </c>
    </row>
    <row r="535" spans="1:2" x14ac:dyDescent="0.25">
      <c r="A535">
        <v>334</v>
      </c>
      <c r="B535">
        <v>39300</v>
      </c>
    </row>
    <row r="536" spans="1:2" x14ac:dyDescent="0.25">
      <c r="A536">
        <v>1414</v>
      </c>
      <c r="B536">
        <v>178000</v>
      </c>
    </row>
    <row r="537" spans="1:2" x14ac:dyDescent="0.25">
      <c r="A537">
        <v>1347</v>
      </c>
      <c r="B537">
        <v>107500</v>
      </c>
    </row>
    <row r="538" spans="1:2" x14ac:dyDescent="0.25">
      <c r="A538">
        <v>1724</v>
      </c>
      <c r="B538">
        <v>188000</v>
      </c>
    </row>
    <row r="539" spans="1:2" x14ac:dyDescent="0.25">
      <c r="A539">
        <v>864</v>
      </c>
      <c r="B539">
        <v>111250</v>
      </c>
    </row>
    <row r="540" spans="1:2" x14ac:dyDescent="0.25">
      <c r="A540">
        <v>1159</v>
      </c>
      <c r="B540">
        <v>158000</v>
      </c>
    </row>
    <row r="541" spans="1:2" x14ac:dyDescent="0.25">
      <c r="A541">
        <v>1601</v>
      </c>
      <c r="B541">
        <v>272000</v>
      </c>
    </row>
    <row r="542" spans="1:2" x14ac:dyDescent="0.25">
      <c r="A542">
        <v>1838</v>
      </c>
      <c r="B542">
        <v>315000</v>
      </c>
    </row>
    <row r="543" spans="1:2" x14ac:dyDescent="0.25">
      <c r="A543">
        <v>2285</v>
      </c>
      <c r="B543">
        <v>248000</v>
      </c>
    </row>
    <row r="544" spans="1:2" x14ac:dyDescent="0.25">
      <c r="A544">
        <v>1680</v>
      </c>
      <c r="B544">
        <v>213250</v>
      </c>
    </row>
    <row r="545" spans="1:2" x14ac:dyDescent="0.25">
      <c r="A545">
        <v>767</v>
      </c>
      <c r="B545">
        <v>133000</v>
      </c>
    </row>
    <row r="546" spans="1:2" x14ac:dyDescent="0.25">
      <c r="A546">
        <v>1496</v>
      </c>
      <c r="B546">
        <v>179665</v>
      </c>
    </row>
    <row r="547" spans="1:2" x14ac:dyDescent="0.25">
      <c r="A547">
        <v>2183</v>
      </c>
      <c r="B547">
        <v>229000</v>
      </c>
    </row>
    <row r="548" spans="1:2" x14ac:dyDescent="0.25">
      <c r="A548">
        <v>1635</v>
      </c>
      <c r="B548">
        <v>210000</v>
      </c>
    </row>
    <row r="549" spans="1:2" x14ac:dyDescent="0.25">
      <c r="A549">
        <v>768</v>
      </c>
      <c r="B549">
        <v>129500</v>
      </c>
    </row>
    <row r="550" spans="1:2" x14ac:dyDescent="0.25">
      <c r="A550">
        <v>825</v>
      </c>
      <c r="B550">
        <v>125000</v>
      </c>
    </row>
    <row r="551" spans="1:2" x14ac:dyDescent="0.25">
      <c r="A551">
        <v>2094</v>
      </c>
      <c r="B551">
        <v>263000</v>
      </c>
    </row>
    <row r="552" spans="1:2" x14ac:dyDescent="0.25">
      <c r="A552">
        <v>1069</v>
      </c>
      <c r="B552">
        <v>140000</v>
      </c>
    </row>
    <row r="553" spans="1:2" x14ac:dyDescent="0.25">
      <c r="A553">
        <v>928</v>
      </c>
      <c r="B553">
        <v>112500</v>
      </c>
    </row>
    <row r="554" spans="1:2" x14ac:dyDescent="0.25">
      <c r="A554">
        <v>1717</v>
      </c>
      <c r="B554">
        <v>255500</v>
      </c>
    </row>
    <row r="555" spans="1:2" x14ac:dyDescent="0.25">
      <c r="A555">
        <v>1126</v>
      </c>
      <c r="B555">
        <v>108000</v>
      </c>
    </row>
    <row r="556" spans="1:2" x14ac:dyDescent="0.25">
      <c r="A556">
        <v>2046</v>
      </c>
      <c r="B556">
        <v>284000</v>
      </c>
    </row>
    <row r="557" spans="1:2" x14ac:dyDescent="0.25">
      <c r="A557">
        <v>1048</v>
      </c>
      <c r="B557">
        <v>113000</v>
      </c>
    </row>
    <row r="558" spans="1:2" x14ac:dyDescent="0.25">
      <c r="A558">
        <v>1092</v>
      </c>
      <c r="B558">
        <v>141000</v>
      </c>
    </row>
    <row r="559" spans="1:2" x14ac:dyDescent="0.25">
      <c r="A559">
        <v>1336</v>
      </c>
      <c r="B559">
        <v>108000</v>
      </c>
    </row>
    <row r="560" spans="1:2" x14ac:dyDescent="0.25">
      <c r="A560">
        <v>1446</v>
      </c>
      <c r="B560">
        <v>175000</v>
      </c>
    </row>
    <row r="561" spans="1:2" x14ac:dyDescent="0.25">
      <c r="A561">
        <v>1557</v>
      </c>
      <c r="B561">
        <v>234000</v>
      </c>
    </row>
    <row r="562" spans="1:2" x14ac:dyDescent="0.25">
      <c r="A562">
        <v>1392</v>
      </c>
      <c r="B562">
        <v>121500</v>
      </c>
    </row>
    <row r="563" spans="1:2" x14ac:dyDescent="0.25">
      <c r="A563">
        <v>1389</v>
      </c>
      <c r="B563">
        <v>170000</v>
      </c>
    </row>
    <row r="564" spans="1:2" x14ac:dyDescent="0.25">
      <c r="A564">
        <v>996</v>
      </c>
      <c r="B564">
        <v>108000</v>
      </c>
    </row>
    <row r="565" spans="1:2" x14ac:dyDescent="0.25">
      <c r="A565">
        <v>1674</v>
      </c>
      <c r="B565">
        <v>185000</v>
      </c>
    </row>
    <row r="566" spans="1:2" x14ac:dyDescent="0.25">
      <c r="A566">
        <v>2295</v>
      </c>
      <c r="B566">
        <v>268000</v>
      </c>
    </row>
    <row r="567" spans="1:2" x14ac:dyDescent="0.25">
      <c r="A567">
        <v>1647</v>
      </c>
      <c r="B567">
        <v>128000</v>
      </c>
    </row>
    <row r="568" spans="1:2" x14ac:dyDescent="0.25">
      <c r="A568">
        <v>2504</v>
      </c>
      <c r="B568">
        <v>325000</v>
      </c>
    </row>
    <row r="569" spans="1:2" x14ac:dyDescent="0.25">
      <c r="A569">
        <v>1535</v>
      </c>
      <c r="B569">
        <v>214000</v>
      </c>
    </row>
    <row r="570" spans="1:2" x14ac:dyDescent="0.25">
      <c r="A570">
        <v>2132</v>
      </c>
      <c r="B570">
        <v>316600</v>
      </c>
    </row>
    <row r="571" spans="1:2" x14ac:dyDescent="0.25">
      <c r="A571">
        <v>943</v>
      </c>
      <c r="B571">
        <v>135960</v>
      </c>
    </row>
    <row r="572" spans="1:2" x14ac:dyDescent="0.25">
      <c r="A572">
        <v>1728</v>
      </c>
      <c r="B572">
        <v>142600</v>
      </c>
    </row>
    <row r="573" spans="1:2" x14ac:dyDescent="0.25">
      <c r="A573">
        <v>864</v>
      </c>
      <c r="B573">
        <v>120000</v>
      </c>
    </row>
    <row r="574" spans="1:2" x14ac:dyDescent="0.25">
      <c r="A574">
        <v>1692</v>
      </c>
      <c r="B574">
        <v>224500</v>
      </c>
    </row>
    <row r="575" spans="1:2" x14ac:dyDescent="0.25">
      <c r="A575">
        <v>1430</v>
      </c>
      <c r="B575">
        <v>170000</v>
      </c>
    </row>
    <row r="576" spans="1:2" x14ac:dyDescent="0.25">
      <c r="A576">
        <v>1109</v>
      </c>
      <c r="B576">
        <v>139000</v>
      </c>
    </row>
    <row r="577" spans="1:2" x14ac:dyDescent="0.25">
      <c r="A577">
        <v>1216</v>
      </c>
      <c r="B577">
        <v>118500</v>
      </c>
    </row>
    <row r="578" spans="1:2" x14ac:dyDescent="0.25">
      <c r="A578">
        <v>1477</v>
      </c>
      <c r="B578">
        <v>145000</v>
      </c>
    </row>
    <row r="579" spans="1:2" x14ac:dyDescent="0.25">
      <c r="A579">
        <v>1320</v>
      </c>
      <c r="B579">
        <v>164500</v>
      </c>
    </row>
    <row r="580" spans="1:2" x14ac:dyDescent="0.25">
      <c r="A580">
        <v>1392</v>
      </c>
      <c r="B580">
        <v>146000</v>
      </c>
    </row>
    <row r="581" spans="1:2" x14ac:dyDescent="0.25">
      <c r="A581">
        <v>1795</v>
      </c>
      <c r="B581">
        <v>131500</v>
      </c>
    </row>
    <row r="582" spans="1:2" x14ac:dyDescent="0.25">
      <c r="A582">
        <v>1429</v>
      </c>
      <c r="B582">
        <v>181900</v>
      </c>
    </row>
    <row r="583" spans="1:2" x14ac:dyDescent="0.25">
      <c r="A583">
        <v>2042</v>
      </c>
      <c r="B583">
        <v>253293</v>
      </c>
    </row>
    <row r="584" spans="1:2" x14ac:dyDescent="0.25">
      <c r="A584">
        <v>816</v>
      </c>
      <c r="B584">
        <v>118500</v>
      </c>
    </row>
    <row r="585" spans="1:2" x14ac:dyDescent="0.25">
      <c r="A585">
        <v>2775</v>
      </c>
      <c r="B585">
        <v>325000</v>
      </c>
    </row>
    <row r="586" spans="1:2" x14ac:dyDescent="0.25">
      <c r="A586">
        <v>1573</v>
      </c>
      <c r="B586">
        <v>133000</v>
      </c>
    </row>
    <row r="587" spans="1:2" x14ac:dyDescent="0.25">
      <c r="A587">
        <v>2028</v>
      </c>
      <c r="B587">
        <v>369900</v>
      </c>
    </row>
    <row r="588" spans="1:2" x14ac:dyDescent="0.25">
      <c r="A588">
        <v>838</v>
      </c>
      <c r="B588">
        <v>130000</v>
      </c>
    </row>
    <row r="589" spans="1:2" x14ac:dyDescent="0.25">
      <c r="A589">
        <v>860</v>
      </c>
      <c r="B589">
        <v>137000</v>
      </c>
    </row>
    <row r="590" spans="1:2" x14ac:dyDescent="0.25">
      <c r="A590">
        <v>1473</v>
      </c>
      <c r="B590">
        <v>143000</v>
      </c>
    </row>
    <row r="591" spans="1:2" x14ac:dyDescent="0.25">
      <c r="A591">
        <v>935</v>
      </c>
      <c r="B591">
        <v>79500</v>
      </c>
    </row>
    <row r="592" spans="1:2" x14ac:dyDescent="0.25">
      <c r="A592">
        <v>1582</v>
      </c>
      <c r="B592">
        <v>185900</v>
      </c>
    </row>
    <row r="593" spans="1:2" x14ac:dyDescent="0.25">
      <c r="A593">
        <v>2296</v>
      </c>
      <c r="B593">
        <v>451950</v>
      </c>
    </row>
    <row r="594" spans="1:2" x14ac:dyDescent="0.25">
      <c r="A594">
        <v>816</v>
      </c>
      <c r="B594">
        <v>138000</v>
      </c>
    </row>
    <row r="595" spans="1:2" x14ac:dyDescent="0.25">
      <c r="A595">
        <v>848</v>
      </c>
      <c r="B595">
        <v>140000</v>
      </c>
    </row>
    <row r="596" spans="1:2" x14ac:dyDescent="0.25">
      <c r="A596">
        <v>924</v>
      </c>
      <c r="B596">
        <v>110000</v>
      </c>
    </row>
    <row r="597" spans="1:2" x14ac:dyDescent="0.25">
      <c r="A597">
        <v>1826</v>
      </c>
      <c r="B597">
        <v>319000</v>
      </c>
    </row>
    <row r="598" spans="1:2" x14ac:dyDescent="0.25">
      <c r="A598">
        <v>1368</v>
      </c>
      <c r="B598">
        <v>114504</v>
      </c>
    </row>
    <row r="599" spans="1:2" x14ac:dyDescent="0.25">
      <c r="A599">
        <v>1402</v>
      </c>
      <c r="B599">
        <v>194201</v>
      </c>
    </row>
    <row r="600" spans="1:2" x14ac:dyDescent="0.25">
      <c r="A600">
        <v>1647</v>
      </c>
      <c r="B600">
        <v>217500</v>
      </c>
    </row>
    <row r="601" spans="1:2" x14ac:dyDescent="0.25">
      <c r="A601">
        <v>1556</v>
      </c>
      <c r="B601">
        <v>151000</v>
      </c>
    </row>
    <row r="602" spans="1:2" x14ac:dyDescent="0.25">
      <c r="A602">
        <v>1904</v>
      </c>
      <c r="B602">
        <v>275000</v>
      </c>
    </row>
    <row r="603" spans="1:2" x14ac:dyDescent="0.25">
      <c r="A603">
        <v>1375</v>
      </c>
      <c r="B603">
        <v>141000</v>
      </c>
    </row>
    <row r="604" spans="1:2" x14ac:dyDescent="0.25">
      <c r="A604">
        <v>1915</v>
      </c>
      <c r="B604">
        <v>220000</v>
      </c>
    </row>
    <row r="605" spans="1:2" x14ac:dyDescent="0.25">
      <c r="A605">
        <v>1200</v>
      </c>
      <c r="B605">
        <v>151000</v>
      </c>
    </row>
    <row r="606" spans="1:2" x14ac:dyDescent="0.25">
      <c r="A606">
        <v>1494</v>
      </c>
      <c r="B606">
        <v>221000</v>
      </c>
    </row>
    <row r="607" spans="1:2" x14ac:dyDescent="0.25">
      <c r="A607">
        <v>1986</v>
      </c>
      <c r="B607">
        <v>205000</v>
      </c>
    </row>
    <row r="608" spans="1:2" x14ac:dyDescent="0.25">
      <c r="A608">
        <v>1040</v>
      </c>
      <c r="B608">
        <v>152000</v>
      </c>
    </row>
    <row r="609" spans="1:2" x14ac:dyDescent="0.25">
      <c r="A609">
        <v>2008</v>
      </c>
      <c r="B609">
        <v>225000</v>
      </c>
    </row>
    <row r="610" spans="1:2" x14ac:dyDescent="0.25">
      <c r="A610">
        <v>3194</v>
      </c>
      <c r="B610">
        <v>359100</v>
      </c>
    </row>
    <row r="611" spans="1:2" x14ac:dyDescent="0.25">
      <c r="A611">
        <v>1029</v>
      </c>
      <c r="B611">
        <v>118500</v>
      </c>
    </row>
    <row r="612" spans="1:2" x14ac:dyDescent="0.25">
      <c r="A612">
        <v>2153</v>
      </c>
      <c r="B612">
        <v>313000</v>
      </c>
    </row>
    <row r="613" spans="1:2" x14ac:dyDescent="0.25">
      <c r="A613">
        <v>1032</v>
      </c>
      <c r="B613">
        <v>148000</v>
      </c>
    </row>
    <row r="614" spans="1:2" x14ac:dyDescent="0.25">
      <c r="A614">
        <v>1872</v>
      </c>
      <c r="B614">
        <v>261500</v>
      </c>
    </row>
    <row r="615" spans="1:2" x14ac:dyDescent="0.25">
      <c r="A615">
        <v>1120</v>
      </c>
      <c r="B615">
        <v>147000</v>
      </c>
    </row>
    <row r="616" spans="1:2" x14ac:dyDescent="0.25">
      <c r="A616">
        <v>630</v>
      </c>
      <c r="B616">
        <v>75500</v>
      </c>
    </row>
    <row r="617" spans="1:2" x14ac:dyDescent="0.25">
      <c r="A617">
        <v>1054</v>
      </c>
      <c r="B617">
        <v>137500</v>
      </c>
    </row>
    <row r="618" spans="1:2" x14ac:dyDescent="0.25">
      <c r="A618">
        <v>1509</v>
      </c>
      <c r="B618">
        <v>183200</v>
      </c>
    </row>
    <row r="619" spans="1:2" x14ac:dyDescent="0.25">
      <c r="A619">
        <v>832</v>
      </c>
      <c r="B619">
        <v>105500</v>
      </c>
    </row>
    <row r="620" spans="1:2" x14ac:dyDescent="0.25">
      <c r="A620">
        <v>1828</v>
      </c>
      <c r="B620">
        <v>314813</v>
      </c>
    </row>
    <row r="621" spans="1:2" x14ac:dyDescent="0.25">
      <c r="A621">
        <v>2262</v>
      </c>
      <c r="B621">
        <v>305000</v>
      </c>
    </row>
    <row r="622" spans="1:2" x14ac:dyDescent="0.25">
      <c r="A622">
        <v>864</v>
      </c>
      <c r="B622">
        <v>67000</v>
      </c>
    </row>
    <row r="623" spans="1:2" x14ac:dyDescent="0.25">
      <c r="A623">
        <v>2614</v>
      </c>
      <c r="B623">
        <v>240000</v>
      </c>
    </row>
    <row r="624" spans="1:2" x14ac:dyDescent="0.25">
      <c r="A624">
        <v>980</v>
      </c>
      <c r="B624">
        <v>135000</v>
      </c>
    </row>
    <row r="625" spans="1:2" x14ac:dyDescent="0.25">
      <c r="A625">
        <v>1512</v>
      </c>
      <c r="B625">
        <v>168500</v>
      </c>
    </row>
    <row r="626" spans="1:2" x14ac:dyDescent="0.25">
      <c r="A626">
        <v>1790</v>
      </c>
      <c r="B626">
        <v>165150</v>
      </c>
    </row>
    <row r="627" spans="1:2" x14ac:dyDescent="0.25">
      <c r="A627">
        <v>1116</v>
      </c>
      <c r="B627">
        <v>160000</v>
      </c>
    </row>
    <row r="628" spans="1:2" x14ac:dyDescent="0.25">
      <c r="A628">
        <v>1422</v>
      </c>
      <c r="B628">
        <v>139900</v>
      </c>
    </row>
    <row r="629" spans="1:2" x14ac:dyDescent="0.25">
      <c r="A629">
        <v>1520</v>
      </c>
      <c r="B629">
        <v>153000</v>
      </c>
    </row>
    <row r="630" spans="1:2" x14ac:dyDescent="0.25">
      <c r="A630">
        <v>2080</v>
      </c>
      <c r="B630">
        <v>135000</v>
      </c>
    </row>
    <row r="631" spans="1:2" x14ac:dyDescent="0.25">
      <c r="A631">
        <v>1350</v>
      </c>
      <c r="B631">
        <v>168500</v>
      </c>
    </row>
    <row r="632" spans="1:2" x14ac:dyDescent="0.25">
      <c r="A632">
        <v>1750</v>
      </c>
      <c r="B632">
        <v>124000</v>
      </c>
    </row>
    <row r="633" spans="1:2" x14ac:dyDescent="0.25">
      <c r="A633">
        <v>1554</v>
      </c>
      <c r="B633">
        <v>209500</v>
      </c>
    </row>
    <row r="634" spans="1:2" x14ac:dyDescent="0.25">
      <c r="A634">
        <v>1411</v>
      </c>
      <c r="B634">
        <v>82500</v>
      </c>
    </row>
    <row r="635" spans="1:2" x14ac:dyDescent="0.25">
      <c r="A635">
        <v>1056</v>
      </c>
      <c r="B635">
        <v>139400</v>
      </c>
    </row>
    <row r="636" spans="1:2" x14ac:dyDescent="0.25">
      <c r="A636">
        <v>1056</v>
      </c>
      <c r="B636">
        <v>144000</v>
      </c>
    </row>
    <row r="637" spans="1:2" x14ac:dyDescent="0.25">
      <c r="A637">
        <v>3395</v>
      </c>
      <c r="B637">
        <v>200000</v>
      </c>
    </row>
    <row r="638" spans="1:2" x14ac:dyDescent="0.25">
      <c r="A638">
        <v>800</v>
      </c>
      <c r="B638">
        <v>60000</v>
      </c>
    </row>
    <row r="639" spans="1:2" x14ac:dyDescent="0.25">
      <c r="A639">
        <v>1387</v>
      </c>
      <c r="B639">
        <v>93000</v>
      </c>
    </row>
    <row r="640" spans="1:2" x14ac:dyDescent="0.25">
      <c r="A640">
        <v>796</v>
      </c>
      <c r="B640">
        <v>85000</v>
      </c>
    </row>
    <row r="641" spans="1:2" x14ac:dyDescent="0.25">
      <c r="A641">
        <v>1567</v>
      </c>
      <c r="B641">
        <v>264561</v>
      </c>
    </row>
    <row r="642" spans="1:2" x14ac:dyDescent="0.25">
      <c r="A642">
        <v>1518</v>
      </c>
      <c r="B642">
        <v>274000</v>
      </c>
    </row>
    <row r="643" spans="1:2" x14ac:dyDescent="0.25">
      <c r="A643">
        <v>1929</v>
      </c>
      <c r="B643">
        <v>226000</v>
      </c>
    </row>
    <row r="644" spans="1:2" x14ac:dyDescent="0.25">
      <c r="A644">
        <v>2704</v>
      </c>
      <c r="B644">
        <v>345000</v>
      </c>
    </row>
    <row r="645" spans="1:2" x14ac:dyDescent="0.25">
      <c r="A645">
        <v>1620</v>
      </c>
      <c r="B645">
        <v>152000</v>
      </c>
    </row>
    <row r="646" spans="1:2" x14ac:dyDescent="0.25">
      <c r="A646">
        <v>1766</v>
      </c>
      <c r="B646">
        <v>370878</v>
      </c>
    </row>
    <row r="647" spans="1:2" x14ac:dyDescent="0.25">
      <c r="A647">
        <v>981</v>
      </c>
      <c r="B647">
        <v>143250</v>
      </c>
    </row>
    <row r="648" spans="1:2" x14ac:dyDescent="0.25">
      <c r="A648">
        <v>1048</v>
      </c>
      <c r="B648">
        <v>98300</v>
      </c>
    </row>
    <row r="649" spans="1:2" x14ac:dyDescent="0.25">
      <c r="A649">
        <v>1094</v>
      </c>
      <c r="B649">
        <v>155000</v>
      </c>
    </row>
    <row r="650" spans="1:2" x14ac:dyDescent="0.25">
      <c r="A650">
        <v>1839</v>
      </c>
      <c r="B650">
        <v>155000</v>
      </c>
    </row>
    <row r="651" spans="1:2" x14ac:dyDescent="0.25">
      <c r="A651">
        <v>630</v>
      </c>
      <c r="B651">
        <v>84500</v>
      </c>
    </row>
    <row r="652" spans="1:2" x14ac:dyDescent="0.25">
      <c r="A652">
        <v>1665</v>
      </c>
      <c r="B652">
        <v>205950</v>
      </c>
    </row>
    <row r="653" spans="1:2" x14ac:dyDescent="0.25">
      <c r="A653">
        <v>1510</v>
      </c>
      <c r="B653">
        <v>108000</v>
      </c>
    </row>
    <row r="654" spans="1:2" x14ac:dyDescent="0.25">
      <c r="A654">
        <v>1716</v>
      </c>
      <c r="B654">
        <v>191000</v>
      </c>
    </row>
    <row r="655" spans="1:2" x14ac:dyDescent="0.25">
      <c r="A655">
        <v>1469</v>
      </c>
      <c r="B655">
        <v>135000</v>
      </c>
    </row>
    <row r="656" spans="1:2" x14ac:dyDescent="0.25">
      <c r="A656">
        <v>2113</v>
      </c>
      <c r="B656">
        <v>350000</v>
      </c>
    </row>
    <row r="657" spans="1:2" x14ac:dyDescent="0.25">
      <c r="A657">
        <v>1092</v>
      </c>
      <c r="B657">
        <v>88000</v>
      </c>
    </row>
    <row r="658" spans="1:2" x14ac:dyDescent="0.25">
      <c r="A658">
        <v>1053</v>
      </c>
      <c r="B658">
        <v>145500</v>
      </c>
    </row>
    <row r="659" spans="1:2" x14ac:dyDescent="0.25">
      <c r="A659">
        <v>1502</v>
      </c>
      <c r="B659">
        <v>149000</v>
      </c>
    </row>
    <row r="660" spans="1:2" x14ac:dyDescent="0.25">
      <c r="A660">
        <v>1458</v>
      </c>
      <c r="B660">
        <v>97500</v>
      </c>
    </row>
    <row r="661" spans="1:2" x14ac:dyDescent="0.25">
      <c r="A661">
        <v>1486</v>
      </c>
      <c r="B661">
        <v>167000</v>
      </c>
    </row>
    <row r="662" spans="1:2" x14ac:dyDescent="0.25">
      <c r="A662">
        <v>1935</v>
      </c>
      <c r="B662">
        <v>197900</v>
      </c>
    </row>
    <row r="663" spans="1:2" x14ac:dyDescent="0.25">
      <c r="A663">
        <v>2448</v>
      </c>
      <c r="B663">
        <v>402000</v>
      </c>
    </row>
    <row r="664" spans="1:2" x14ac:dyDescent="0.25">
      <c r="A664">
        <v>1392</v>
      </c>
      <c r="B664">
        <v>110000</v>
      </c>
    </row>
    <row r="665" spans="1:2" x14ac:dyDescent="0.25">
      <c r="A665">
        <v>1181</v>
      </c>
      <c r="B665">
        <v>137500</v>
      </c>
    </row>
    <row r="666" spans="1:2" x14ac:dyDescent="0.25">
      <c r="A666">
        <v>2097</v>
      </c>
      <c r="B666">
        <v>423000</v>
      </c>
    </row>
    <row r="667" spans="1:2" x14ac:dyDescent="0.25">
      <c r="A667">
        <v>1936</v>
      </c>
      <c r="B667">
        <v>230500</v>
      </c>
    </row>
    <row r="668" spans="1:2" x14ac:dyDescent="0.25">
      <c r="A668">
        <v>2380</v>
      </c>
      <c r="B668">
        <v>129000</v>
      </c>
    </row>
    <row r="669" spans="1:2" x14ac:dyDescent="0.25">
      <c r="A669">
        <v>1679</v>
      </c>
      <c r="B669">
        <v>193500</v>
      </c>
    </row>
    <row r="670" spans="1:2" x14ac:dyDescent="0.25">
      <c r="A670">
        <v>1437</v>
      </c>
      <c r="B670">
        <v>168000</v>
      </c>
    </row>
    <row r="671" spans="1:2" x14ac:dyDescent="0.25">
      <c r="A671">
        <v>1180</v>
      </c>
      <c r="B671">
        <v>137500</v>
      </c>
    </row>
    <row r="672" spans="1:2" x14ac:dyDescent="0.25">
      <c r="A672">
        <v>1476</v>
      </c>
      <c r="B672">
        <v>173500</v>
      </c>
    </row>
    <row r="673" spans="1:2" x14ac:dyDescent="0.25">
      <c r="A673">
        <v>1369</v>
      </c>
      <c r="B673">
        <v>103600</v>
      </c>
    </row>
    <row r="674" spans="1:2" x14ac:dyDescent="0.25">
      <c r="A674">
        <v>1208</v>
      </c>
      <c r="B674">
        <v>165000</v>
      </c>
    </row>
    <row r="675" spans="1:2" x14ac:dyDescent="0.25">
      <c r="A675">
        <v>1839</v>
      </c>
      <c r="B675">
        <v>257500</v>
      </c>
    </row>
    <row r="676" spans="1:2" x14ac:dyDescent="0.25">
      <c r="A676">
        <v>1136</v>
      </c>
      <c r="B676">
        <v>140000</v>
      </c>
    </row>
    <row r="677" spans="1:2" x14ac:dyDescent="0.25">
      <c r="A677">
        <v>1441</v>
      </c>
      <c r="B677">
        <v>148500</v>
      </c>
    </row>
    <row r="678" spans="1:2" x14ac:dyDescent="0.25">
      <c r="A678">
        <v>1774</v>
      </c>
      <c r="B678">
        <v>87000</v>
      </c>
    </row>
    <row r="679" spans="1:2" x14ac:dyDescent="0.25">
      <c r="A679">
        <v>792</v>
      </c>
      <c r="B679">
        <v>109500</v>
      </c>
    </row>
    <row r="680" spans="1:2" x14ac:dyDescent="0.25">
      <c r="A680">
        <v>2046</v>
      </c>
      <c r="B680">
        <v>372500</v>
      </c>
    </row>
    <row r="681" spans="1:2" x14ac:dyDescent="0.25">
      <c r="A681">
        <v>988</v>
      </c>
      <c r="B681">
        <v>128500</v>
      </c>
    </row>
    <row r="682" spans="1:2" x14ac:dyDescent="0.25">
      <c r="A682">
        <v>923</v>
      </c>
      <c r="B682">
        <v>143000</v>
      </c>
    </row>
    <row r="683" spans="1:2" x14ac:dyDescent="0.25">
      <c r="A683">
        <v>1520</v>
      </c>
      <c r="B683">
        <v>159434</v>
      </c>
    </row>
    <row r="684" spans="1:2" x14ac:dyDescent="0.25">
      <c r="A684">
        <v>1291</v>
      </c>
      <c r="B684">
        <v>173000</v>
      </c>
    </row>
    <row r="685" spans="1:2" x14ac:dyDescent="0.25">
      <c r="A685">
        <v>1668</v>
      </c>
      <c r="B685">
        <v>285000</v>
      </c>
    </row>
    <row r="686" spans="1:2" x14ac:dyDescent="0.25">
      <c r="A686">
        <v>1839</v>
      </c>
      <c r="B686">
        <v>221000</v>
      </c>
    </row>
    <row r="687" spans="1:2" x14ac:dyDescent="0.25">
      <c r="A687">
        <v>2090</v>
      </c>
      <c r="B687">
        <v>207500</v>
      </c>
    </row>
    <row r="688" spans="1:2" x14ac:dyDescent="0.25">
      <c r="A688">
        <v>1761</v>
      </c>
      <c r="B688">
        <v>227875</v>
      </c>
    </row>
    <row r="689" spans="1:2" x14ac:dyDescent="0.25">
      <c r="A689">
        <v>1102</v>
      </c>
      <c r="B689">
        <v>148800</v>
      </c>
    </row>
    <row r="690" spans="1:2" x14ac:dyDescent="0.25">
      <c r="A690">
        <v>1419</v>
      </c>
      <c r="B690">
        <v>392000</v>
      </c>
    </row>
    <row r="691" spans="1:2" x14ac:dyDescent="0.25">
      <c r="A691">
        <v>1362</v>
      </c>
      <c r="B691">
        <v>194700</v>
      </c>
    </row>
    <row r="692" spans="1:2" x14ac:dyDescent="0.25">
      <c r="A692">
        <v>848</v>
      </c>
      <c r="B692">
        <v>141000</v>
      </c>
    </row>
    <row r="693" spans="1:2" x14ac:dyDescent="0.25">
      <c r="A693">
        <v>4316</v>
      </c>
      <c r="B693">
        <v>755000</v>
      </c>
    </row>
    <row r="694" spans="1:2" x14ac:dyDescent="0.25">
      <c r="A694">
        <v>2519</v>
      </c>
      <c r="B694">
        <v>335000</v>
      </c>
    </row>
    <row r="695" spans="1:2" x14ac:dyDescent="0.25">
      <c r="A695">
        <v>1073</v>
      </c>
      <c r="B695">
        <v>108480</v>
      </c>
    </row>
    <row r="696" spans="1:2" x14ac:dyDescent="0.25">
      <c r="A696">
        <v>1539</v>
      </c>
      <c r="B696">
        <v>141500</v>
      </c>
    </row>
    <row r="697" spans="1:2" x14ac:dyDescent="0.25">
      <c r="A697">
        <v>1137</v>
      </c>
      <c r="B697">
        <v>176000</v>
      </c>
    </row>
    <row r="698" spans="1:2" x14ac:dyDescent="0.25">
      <c r="A698">
        <v>616</v>
      </c>
      <c r="B698">
        <v>89000</v>
      </c>
    </row>
    <row r="699" spans="1:2" x14ac:dyDescent="0.25">
      <c r="A699">
        <v>1148</v>
      </c>
      <c r="B699">
        <v>123500</v>
      </c>
    </row>
    <row r="700" spans="1:2" x14ac:dyDescent="0.25">
      <c r="A700">
        <v>894</v>
      </c>
      <c r="B700">
        <v>138500</v>
      </c>
    </row>
    <row r="701" spans="1:2" x14ac:dyDescent="0.25">
      <c r="A701">
        <v>1391</v>
      </c>
      <c r="B701">
        <v>196000</v>
      </c>
    </row>
    <row r="702" spans="1:2" x14ac:dyDescent="0.25">
      <c r="A702">
        <v>1800</v>
      </c>
      <c r="B702">
        <v>312500</v>
      </c>
    </row>
    <row r="703" spans="1:2" x14ac:dyDescent="0.25">
      <c r="A703">
        <v>1164</v>
      </c>
      <c r="B703">
        <v>140000</v>
      </c>
    </row>
    <row r="704" spans="1:2" x14ac:dyDescent="0.25">
      <c r="A704">
        <v>2576</v>
      </c>
      <c r="B704">
        <v>361919</v>
      </c>
    </row>
    <row r="705" spans="1:2" x14ac:dyDescent="0.25">
      <c r="A705">
        <v>1812</v>
      </c>
      <c r="B705">
        <v>140000</v>
      </c>
    </row>
    <row r="706" spans="1:2" x14ac:dyDescent="0.25">
      <c r="A706">
        <v>1484</v>
      </c>
      <c r="B706">
        <v>213000</v>
      </c>
    </row>
    <row r="707" spans="1:2" x14ac:dyDescent="0.25">
      <c r="A707">
        <v>1092</v>
      </c>
      <c r="B707">
        <v>55000</v>
      </c>
    </row>
    <row r="708" spans="1:2" x14ac:dyDescent="0.25">
      <c r="A708">
        <v>1824</v>
      </c>
      <c r="B708">
        <v>302000</v>
      </c>
    </row>
    <row r="709" spans="1:2" x14ac:dyDescent="0.25">
      <c r="A709">
        <v>1324</v>
      </c>
      <c r="B709">
        <v>254000</v>
      </c>
    </row>
    <row r="710" spans="1:2" x14ac:dyDescent="0.25">
      <c r="A710">
        <v>1456</v>
      </c>
      <c r="B710">
        <v>179540</v>
      </c>
    </row>
    <row r="711" spans="1:2" x14ac:dyDescent="0.25">
      <c r="A711">
        <v>904</v>
      </c>
      <c r="B711">
        <v>109900</v>
      </c>
    </row>
    <row r="712" spans="1:2" x14ac:dyDescent="0.25">
      <c r="A712">
        <v>729</v>
      </c>
      <c r="B712">
        <v>52000</v>
      </c>
    </row>
    <row r="713" spans="1:2" x14ac:dyDescent="0.25">
      <c r="A713">
        <v>1178</v>
      </c>
      <c r="B713">
        <v>102776</v>
      </c>
    </row>
    <row r="714" spans="1:2" x14ac:dyDescent="0.25">
      <c r="A714">
        <v>1228</v>
      </c>
      <c r="B714">
        <v>189000</v>
      </c>
    </row>
    <row r="715" spans="1:2" x14ac:dyDescent="0.25">
      <c r="A715">
        <v>960</v>
      </c>
      <c r="B715">
        <v>129000</v>
      </c>
    </row>
    <row r="716" spans="1:2" x14ac:dyDescent="0.25">
      <c r="A716">
        <v>1479</v>
      </c>
      <c r="B716">
        <v>130500</v>
      </c>
    </row>
    <row r="717" spans="1:2" x14ac:dyDescent="0.25">
      <c r="A717">
        <v>1350</v>
      </c>
      <c r="B717">
        <v>165000</v>
      </c>
    </row>
    <row r="718" spans="1:2" x14ac:dyDescent="0.25">
      <c r="A718">
        <v>2554</v>
      </c>
      <c r="B718">
        <v>159500</v>
      </c>
    </row>
    <row r="719" spans="1:2" x14ac:dyDescent="0.25">
      <c r="A719">
        <v>1178</v>
      </c>
      <c r="B719">
        <v>157000</v>
      </c>
    </row>
    <row r="720" spans="1:2" x14ac:dyDescent="0.25">
      <c r="A720">
        <v>2418</v>
      </c>
      <c r="B720">
        <v>341000</v>
      </c>
    </row>
    <row r="721" spans="1:2" x14ac:dyDescent="0.25">
      <c r="A721">
        <v>971</v>
      </c>
      <c r="B721">
        <v>128500</v>
      </c>
    </row>
    <row r="722" spans="1:2" x14ac:dyDescent="0.25">
      <c r="A722">
        <v>1742</v>
      </c>
      <c r="B722">
        <v>275000</v>
      </c>
    </row>
    <row r="723" spans="1:2" x14ac:dyDescent="0.25">
      <c r="A723">
        <v>848</v>
      </c>
      <c r="B723">
        <v>143000</v>
      </c>
    </row>
    <row r="724" spans="1:2" x14ac:dyDescent="0.25">
      <c r="A724">
        <v>864</v>
      </c>
      <c r="B724">
        <v>124500</v>
      </c>
    </row>
    <row r="725" spans="1:2" x14ac:dyDescent="0.25">
      <c r="A725">
        <v>1470</v>
      </c>
      <c r="B725">
        <v>135000</v>
      </c>
    </row>
    <row r="726" spans="1:2" x14ac:dyDescent="0.25">
      <c r="A726">
        <v>1698</v>
      </c>
      <c r="B726">
        <v>320000</v>
      </c>
    </row>
    <row r="727" spans="1:2" x14ac:dyDescent="0.25">
      <c r="A727">
        <v>864</v>
      </c>
      <c r="B727">
        <v>120500</v>
      </c>
    </row>
    <row r="728" spans="1:2" x14ac:dyDescent="0.25">
      <c r="A728">
        <v>1680</v>
      </c>
      <c r="B728">
        <v>222000</v>
      </c>
    </row>
    <row r="729" spans="1:2" x14ac:dyDescent="0.25">
      <c r="A729">
        <v>1232</v>
      </c>
      <c r="B729">
        <v>194500</v>
      </c>
    </row>
    <row r="730" spans="1:2" x14ac:dyDescent="0.25">
      <c r="A730">
        <v>1776</v>
      </c>
      <c r="B730">
        <v>110000</v>
      </c>
    </row>
    <row r="731" spans="1:2" x14ac:dyDescent="0.25">
      <c r="A731">
        <v>1208</v>
      </c>
      <c r="B731">
        <v>103000</v>
      </c>
    </row>
    <row r="732" spans="1:2" x14ac:dyDescent="0.25">
      <c r="A732">
        <v>1616</v>
      </c>
      <c r="B732">
        <v>236500</v>
      </c>
    </row>
    <row r="733" spans="1:2" x14ac:dyDescent="0.25">
      <c r="A733">
        <v>1146</v>
      </c>
      <c r="B733">
        <v>187500</v>
      </c>
    </row>
    <row r="734" spans="1:2" x14ac:dyDescent="0.25">
      <c r="A734">
        <v>2031</v>
      </c>
      <c r="B734">
        <v>222500</v>
      </c>
    </row>
    <row r="735" spans="1:2" x14ac:dyDescent="0.25">
      <c r="A735">
        <v>1144</v>
      </c>
      <c r="B735">
        <v>131400</v>
      </c>
    </row>
    <row r="736" spans="1:2" x14ac:dyDescent="0.25">
      <c r="A736">
        <v>948</v>
      </c>
      <c r="B736">
        <v>108000</v>
      </c>
    </row>
    <row r="737" spans="1:2" x14ac:dyDescent="0.25">
      <c r="A737">
        <v>1768</v>
      </c>
      <c r="B737">
        <v>163000</v>
      </c>
    </row>
    <row r="738" spans="1:2" x14ac:dyDescent="0.25">
      <c r="A738">
        <v>1040</v>
      </c>
      <c r="B738">
        <v>93500</v>
      </c>
    </row>
    <row r="739" spans="1:2" x14ac:dyDescent="0.25">
      <c r="A739">
        <v>1801</v>
      </c>
      <c r="B739">
        <v>239900</v>
      </c>
    </row>
    <row r="740" spans="1:2" x14ac:dyDescent="0.25">
      <c r="A740">
        <v>1200</v>
      </c>
      <c r="B740">
        <v>179000</v>
      </c>
    </row>
    <row r="741" spans="1:2" x14ac:dyDescent="0.25">
      <c r="A741">
        <v>1728</v>
      </c>
      <c r="B741">
        <v>190000</v>
      </c>
    </row>
    <row r="742" spans="1:2" x14ac:dyDescent="0.25">
      <c r="A742">
        <v>1432</v>
      </c>
      <c r="B742">
        <v>132000</v>
      </c>
    </row>
    <row r="743" spans="1:2" x14ac:dyDescent="0.25">
      <c r="A743">
        <v>912</v>
      </c>
      <c r="B743">
        <v>142000</v>
      </c>
    </row>
    <row r="744" spans="1:2" x14ac:dyDescent="0.25">
      <c r="A744">
        <v>1349</v>
      </c>
      <c r="B744">
        <v>179000</v>
      </c>
    </row>
    <row r="745" spans="1:2" x14ac:dyDescent="0.25">
      <c r="A745">
        <v>1464</v>
      </c>
      <c r="B745">
        <v>175000</v>
      </c>
    </row>
    <row r="746" spans="1:2" x14ac:dyDescent="0.25">
      <c r="A746">
        <v>1337</v>
      </c>
      <c r="B746">
        <v>180000</v>
      </c>
    </row>
    <row r="747" spans="1:2" x14ac:dyDescent="0.25">
      <c r="A747">
        <v>2715</v>
      </c>
      <c r="B747">
        <v>299800</v>
      </c>
    </row>
    <row r="748" spans="1:2" x14ac:dyDescent="0.25">
      <c r="A748">
        <v>2256</v>
      </c>
      <c r="B748">
        <v>236000</v>
      </c>
    </row>
    <row r="749" spans="1:2" x14ac:dyDescent="0.25">
      <c r="A749">
        <v>2640</v>
      </c>
      <c r="B749">
        <v>265979</v>
      </c>
    </row>
    <row r="750" spans="1:2" x14ac:dyDescent="0.25">
      <c r="A750">
        <v>1720</v>
      </c>
      <c r="B750">
        <v>260400</v>
      </c>
    </row>
    <row r="751" spans="1:2" x14ac:dyDescent="0.25">
      <c r="A751">
        <v>1529</v>
      </c>
      <c r="B751">
        <v>98000</v>
      </c>
    </row>
    <row r="752" spans="1:2" x14ac:dyDescent="0.25">
      <c r="A752">
        <v>1140</v>
      </c>
      <c r="B752">
        <v>96500</v>
      </c>
    </row>
    <row r="753" spans="1:2" x14ac:dyDescent="0.25">
      <c r="A753">
        <v>1320</v>
      </c>
      <c r="B753">
        <v>162000</v>
      </c>
    </row>
    <row r="754" spans="1:2" x14ac:dyDescent="0.25">
      <c r="A754">
        <v>1494</v>
      </c>
      <c r="B754">
        <v>217000</v>
      </c>
    </row>
    <row r="755" spans="1:2" x14ac:dyDescent="0.25">
      <c r="A755">
        <v>2098</v>
      </c>
      <c r="B755">
        <v>275500</v>
      </c>
    </row>
    <row r="756" spans="1:2" x14ac:dyDescent="0.25">
      <c r="A756">
        <v>1026</v>
      </c>
      <c r="B756">
        <v>156000</v>
      </c>
    </row>
    <row r="757" spans="1:2" x14ac:dyDescent="0.25">
      <c r="A757">
        <v>1471</v>
      </c>
      <c r="B757">
        <v>172500</v>
      </c>
    </row>
    <row r="758" spans="1:2" x14ac:dyDescent="0.25">
      <c r="A758">
        <v>1768</v>
      </c>
      <c r="B758">
        <v>212000</v>
      </c>
    </row>
    <row r="759" spans="1:2" x14ac:dyDescent="0.25">
      <c r="A759">
        <v>1386</v>
      </c>
      <c r="B759">
        <v>158900</v>
      </c>
    </row>
    <row r="760" spans="1:2" x14ac:dyDescent="0.25">
      <c r="A760">
        <v>1501</v>
      </c>
      <c r="B760">
        <v>179400</v>
      </c>
    </row>
    <row r="761" spans="1:2" x14ac:dyDescent="0.25">
      <c r="A761">
        <v>2531</v>
      </c>
      <c r="B761">
        <v>290000</v>
      </c>
    </row>
    <row r="762" spans="1:2" x14ac:dyDescent="0.25">
      <c r="A762">
        <v>864</v>
      </c>
      <c r="B762">
        <v>127500</v>
      </c>
    </row>
    <row r="763" spans="1:2" x14ac:dyDescent="0.25">
      <c r="A763">
        <v>1301</v>
      </c>
      <c r="B763">
        <v>100000</v>
      </c>
    </row>
    <row r="764" spans="1:2" x14ac:dyDescent="0.25">
      <c r="A764">
        <v>1547</v>
      </c>
      <c r="B764">
        <v>215200</v>
      </c>
    </row>
    <row r="765" spans="1:2" x14ac:dyDescent="0.25">
      <c r="A765">
        <v>2365</v>
      </c>
      <c r="B765">
        <v>337000</v>
      </c>
    </row>
    <row r="766" spans="1:2" x14ac:dyDescent="0.25">
      <c r="A766">
        <v>1494</v>
      </c>
      <c r="B766">
        <v>270000</v>
      </c>
    </row>
    <row r="767" spans="1:2" x14ac:dyDescent="0.25">
      <c r="A767">
        <v>1506</v>
      </c>
      <c r="B767">
        <v>264132</v>
      </c>
    </row>
    <row r="768" spans="1:2" x14ac:dyDescent="0.25">
      <c r="A768">
        <v>1714</v>
      </c>
      <c r="B768">
        <v>196500</v>
      </c>
    </row>
    <row r="769" spans="1:2" x14ac:dyDescent="0.25">
      <c r="A769">
        <v>1750</v>
      </c>
      <c r="B769">
        <v>160000</v>
      </c>
    </row>
    <row r="770" spans="1:2" x14ac:dyDescent="0.25">
      <c r="A770">
        <v>1836</v>
      </c>
      <c r="B770">
        <v>216837</v>
      </c>
    </row>
    <row r="771" spans="1:2" x14ac:dyDescent="0.25">
      <c r="A771">
        <v>3279</v>
      </c>
      <c r="B771">
        <v>538000</v>
      </c>
    </row>
    <row r="772" spans="1:2" x14ac:dyDescent="0.25">
      <c r="A772">
        <v>858</v>
      </c>
      <c r="B772">
        <v>134900</v>
      </c>
    </row>
    <row r="773" spans="1:2" x14ac:dyDescent="0.25">
      <c r="A773">
        <v>1220</v>
      </c>
      <c r="B773">
        <v>102000</v>
      </c>
    </row>
    <row r="774" spans="1:2" x14ac:dyDescent="0.25">
      <c r="A774">
        <v>1117</v>
      </c>
      <c r="B774">
        <v>107000</v>
      </c>
    </row>
    <row r="775" spans="1:2" x14ac:dyDescent="0.25">
      <c r="A775">
        <v>912</v>
      </c>
      <c r="B775">
        <v>114500</v>
      </c>
    </row>
    <row r="776" spans="1:2" x14ac:dyDescent="0.25">
      <c r="A776">
        <v>1973</v>
      </c>
      <c r="B776">
        <v>395000</v>
      </c>
    </row>
    <row r="777" spans="1:2" x14ac:dyDescent="0.25">
      <c r="A777">
        <v>1204</v>
      </c>
      <c r="B777">
        <v>162000</v>
      </c>
    </row>
    <row r="778" spans="1:2" x14ac:dyDescent="0.25">
      <c r="A778">
        <v>1614</v>
      </c>
      <c r="B778">
        <v>221500</v>
      </c>
    </row>
    <row r="779" spans="1:2" x14ac:dyDescent="0.25">
      <c r="A779">
        <v>894</v>
      </c>
      <c r="B779">
        <v>142500</v>
      </c>
    </row>
    <row r="780" spans="1:2" x14ac:dyDescent="0.25">
      <c r="A780">
        <v>2020</v>
      </c>
      <c r="B780">
        <v>144000</v>
      </c>
    </row>
    <row r="781" spans="1:2" x14ac:dyDescent="0.25">
      <c r="A781">
        <v>1004</v>
      </c>
      <c r="B781">
        <v>135000</v>
      </c>
    </row>
    <row r="782" spans="1:2" x14ac:dyDescent="0.25">
      <c r="A782">
        <v>1253</v>
      </c>
      <c r="B782">
        <v>176000</v>
      </c>
    </row>
    <row r="783" spans="1:2" x14ac:dyDescent="0.25">
      <c r="A783">
        <v>1603</v>
      </c>
      <c r="B783">
        <v>175900</v>
      </c>
    </row>
    <row r="784" spans="1:2" x14ac:dyDescent="0.25">
      <c r="A784">
        <v>1430</v>
      </c>
      <c r="B784">
        <v>187100</v>
      </c>
    </row>
    <row r="785" spans="1:2" x14ac:dyDescent="0.25">
      <c r="A785">
        <v>1110</v>
      </c>
      <c r="B785">
        <v>165500</v>
      </c>
    </row>
    <row r="786" spans="1:2" x14ac:dyDescent="0.25">
      <c r="A786">
        <v>1484</v>
      </c>
      <c r="B786">
        <v>128000</v>
      </c>
    </row>
    <row r="787" spans="1:2" x14ac:dyDescent="0.25">
      <c r="A787">
        <v>1342</v>
      </c>
      <c r="B787">
        <v>161500</v>
      </c>
    </row>
    <row r="788" spans="1:2" x14ac:dyDescent="0.25">
      <c r="A788">
        <v>1652</v>
      </c>
      <c r="B788">
        <v>139000</v>
      </c>
    </row>
    <row r="789" spans="1:2" x14ac:dyDescent="0.25">
      <c r="A789">
        <v>2084</v>
      </c>
      <c r="B789">
        <v>233000</v>
      </c>
    </row>
    <row r="790" spans="1:2" x14ac:dyDescent="0.25">
      <c r="A790">
        <v>901</v>
      </c>
      <c r="B790">
        <v>107900</v>
      </c>
    </row>
    <row r="791" spans="1:2" x14ac:dyDescent="0.25">
      <c r="A791">
        <v>2087</v>
      </c>
      <c r="B791">
        <v>187500</v>
      </c>
    </row>
    <row r="792" spans="1:2" x14ac:dyDescent="0.25">
      <c r="A792">
        <v>1145</v>
      </c>
      <c r="B792">
        <v>160200</v>
      </c>
    </row>
    <row r="793" spans="1:2" x14ac:dyDescent="0.25">
      <c r="A793">
        <v>1062</v>
      </c>
      <c r="B793">
        <v>146800</v>
      </c>
    </row>
    <row r="794" spans="1:2" x14ac:dyDescent="0.25">
      <c r="A794">
        <v>2013</v>
      </c>
      <c r="B794">
        <v>269790</v>
      </c>
    </row>
    <row r="795" spans="1:2" x14ac:dyDescent="0.25">
      <c r="A795">
        <v>1496</v>
      </c>
      <c r="B795">
        <v>225000</v>
      </c>
    </row>
    <row r="796" spans="1:2" x14ac:dyDescent="0.25">
      <c r="A796">
        <v>1895</v>
      </c>
      <c r="B796">
        <v>194500</v>
      </c>
    </row>
    <row r="797" spans="1:2" x14ac:dyDescent="0.25">
      <c r="A797">
        <v>1564</v>
      </c>
      <c r="B797">
        <v>171000</v>
      </c>
    </row>
    <row r="798" spans="1:2" x14ac:dyDescent="0.25">
      <c r="A798">
        <v>1285</v>
      </c>
      <c r="B798">
        <v>143500</v>
      </c>
    </row>
    <row r="799" spans="1:2" x14ac:dyDescent="0.25">
      <c r="A799">
        <v>773</v>
      </c>
      <c r="B799">
        <v>110000</v>
      </c>
    </row>
    <row r="800" spans="1:2" x14ac:dyDescent="0.25">
      <c r="A800">
        <v>3140</v>
      </c>
      <c r="B800">
        <v>485000</v>
      </c>
    </row>
    <row r="801" spans="1:2" x14ac:dyDescent="0.25">
      <c r="A801">
        <v>1768</v>
      </c>
      <c r="B801">
        <v>175000</v>
      </c>
    </row>
    <row r="802" spans="1:2" x14ac:dyDescent="0.25">
      <c r="A802">
        <v>1688</v>
      </c>
      <c r="B802">
        <v>200000</v>
      </c>
    </row>
    <row r="803" spans="1:2" x14ac:dyDescent="0.25">
      <c r="A803">
        <v>1196</v>
      </c>
      <c r="B803">
        <v>109900</v>
      </c>
    </row>
    <row r="804" spans="1:2" x14ac:dyDescent="0.25">
      <c r="A804">
        <v>1456</v>
      </c>
      <c r="B804">
        <v>189000</v>
      </c>
    </row>
    <row r="805" spans="1:2" x14ac:dyDescent="0.25">
      <c r="A805">
        <v>2822</v>
      </c>
      <c r="B805">
        <v>582933</v>
      </c>
    </row>
    <row r="806" spans="1:2" x14ac:dyDescent="0.25">
      <c r="A806">
        <v>1128</v>
      </c>
      <c r="B806">
        <v>118000</v>
      </c>
    </row>
    <row r="807" spans="1:2" x14ac:dyDescent="0.25">
      <c r="A807">
        <v>1428</v>
      </c>
      <c r="B807">
        <v>227680</v>
      </c>
    </row>
    <row r="808" spans="1:2" x14ac:dyDescent="0.25">
      <c r="A808">
        <v>980</v>
      </c>
      <c r="B808">
        <v>135500</v>
      </c>
    </row>
    <row r="809" spans="1:2" x14ac:dyDescent="0.25">
      <c r="A809">
        <v>1576</v>
      </c>
      <c r="B809">
        <v>223500</v>
      </c>
    </row>
    <row r="810" spans="1:2" x14ac:dyDescent="0.25">
      <c r="A810">
        <v>1086</v>
      </c>
      <c r="B810">
        <v>159950</v>
      </c>
    </row>
    <row r="811" spans="1:2" x14ac:dyDescent="0.25">
      <c r="A811">
        <v>2138</v>
      </c>
      <c r="B811">
        <v>106000</v>
      </c>
    </row>
    <row r="812" spans="1:2" x14ac:dyDescent="0.25">
      <c r="A812">
        <v>1309</v>
      </c>
      <c r="B812">
        <v>181000</v>
      </c>
    </row>
    <row r="813" spans="1:2" x14ac:dyDescent="0.25">
      <c r="A813">
        <v>848</v>
      </c>
      <c r="B813">
        <v>144500</v>
      </c>
    </row>
    <row r="814" spans="1:2" x14ac:dyDescent="0.25">
      <c r="A814">
        <v>1044</v>
      </c>
      <c r="B814">
        <v>55993</v>
      </c>
    </row>
    <row r="815" spans="1:2" x14ac:dyDescent="0.25">
      <c r="A815">
        <v>1442</v>
      </c>
      <c r="B815">
        <v>157900</v>
      </c>
    </row>
    <row r="816" spans="1:2" x14ac:dyDescent="0.25">
      <c r="A816">
        <v>1250</v>
      </c>
      <c r="B816">
        <v>116000</v>
      </c>
    </row>
    <row r="817" spans="1:2" x14ac:dyDescent="0.25">
      <c r="A817">
        <v>1661</v>
      </c>
      <c r="B817">
        <v>224900</v>
      </c>
    </row>
    <row r="818" spans="1:2" x14ac:dyDescent="0.25">
      <c r="A818">
        <v>1008</v>
      </c>
      <c r="B818">
        <v>137000</v>
      </c>
    </row>
    <row r="819" spans="1:2" x14ac:dyDescent="0.25">
      <c r="A819">
        <v>1689</v>
      </c>
      <c r="B819">
        <v>271000</v>
      </c>
    </row>
    <row r="820" spans="1:2" x14ac:dyDescent="0.25">
      <c r="A820">
        <v>1052</v>
      </c>
      <c r="B820">
        <v>155000</v>
      </c>
    </row>
    <row r="821" spans="1:2" x14ac:dyDescent="0.25">
      <c r="A821">
        <v>1358</v>
      </c>
      <c r="B821">
        <v>224000</v>
      </c>
    </row>
    <row r="822" spans="1:2" x14ac:dyDescent="0.25">
      <c r="A822">
        <v>1640</v>
      </c>
      <c r="B822">
        <v>183000</v>
      </c>
    </row>
    <row r="823" spans="1:2" x14ac:dyDescent="0.25">
      <c r="A823">
        <v>936</v>
      </c>
      <c r="B823">
        <v>93000</v>
      </c>
    </row>
    <row r="824" spans="1:2" x14ac:dyDescent="0.25">
      <c r="A824">
        <v>1733</v>
      </c>
      <c r="B824">
        <v>225000</v>
      </c>
    </row>
    <row r="825" spans="1:2" x14ac:dyDescent="0.25">
      <c r="A825">
        <v>1489</v>
      </c>
      <c r="B825">
        <v>139500</v>
      </c>
    </row>
    <row r="826" spans="1:2" x14ac:dyDescent="0.25">
      <c r="A826">
        <v>1489</v>
      </c>
      <c r="B826">
        <v>232600</v>
      </c>
    </row>
    <row r="827" spans="1:2" x14ac:dyDescent="0.25">
      <c r="A827">
        <v>2084</v>
      </c>
      <c r="B827">
        <v>385000</v>
      </c>
    </row>
    <row r="828" spans="1:2" x14ac:dyDescent="0.25">
      <c r="A828">
        <v>784</v>
      </c>
      <c r="B828">
        <v>109500</v>
      </c>
    </row>
    <row r="829" spans="1:2" x14ac:dyDescent="0.25">
      <c r="A829">
        <v>1434</v>
      </c>
      <c r="B829">
        <v>189000</v>
      </c>
    </row>
    <row r="830" spans="1:2" x14ac:dyDescent="0.25">
      <c r="A830">
        <v>2126</v>
      </c>
      <c r="B830">
        <v>185000</v>
      </c>
    </row>
    <row r="831" spans="1:2" x14ac:dyDescent="0.25">
      <c r="A831">
        <v>1223</v>
      </c>
      <c r="B831">
        <v>147400</v>
      </c>
    </row>
    <row r="832" spans="1:2" x14ac:dyDescent="0.25">
      <c r="A832">
        <v>1392</v>
      </c>
      <c r="B832">
        <v>166000</v>
      </c>
    </row>
    <row r="833" spans="1:2" x14ac:dyDescent="0.25">
      <c r="A833">
        <v>1200</v>
      </c>
      <c r="B833">
        <v>151000</v>
      </c>
    </row>
    <row r="834" spans="1:2" x14ac:dyDescent="0.25">
      <c r="A834">
        <v>1829</v>
      </c>
      <c r="B834">
        <v>237000</v>
      </c>
    </row>
    <row r="835" spans="1:2" x14ac:dyDescent="0.25">
      <c r="A835">
        <v>1516</v>
      </c>
      <c r="B835">
        <v>167000</v>
      </c>
    </row>
    <row r="836" spans="1:2" x14ac:dyDescent="0.25">
      <c r="A836">
        <v>1144</v>
      </c>
      <c r="B836">
        <v>139950</v>
      </c>
    </row>
    <row r="837" spans="1:2" x14ac:dyDescent="0.25">
      <c r="A837">
        <v>1067</v>
      </c>
      <c r="B837">
        <v>128000</v>
      </c>
    </row>
    <row r="838" spans="1:2" x14ac:dyDescent="0.25">
      <c r="A838">
        <v>1559</v>
      </c>
      <c r="B838">
        <v>153500</v>
      </c>
    </row>
    <row r="839" spans="1:2" x14ac:dyDescent="0.25">
      <c r="A839">
        <v>987</v>
      </c>
      <c r="B839">
        <v>100000</v>
      </c>
    </row>
    <row r="840" spans="1:2" x14ac:dyDescent="0.25">
      <c r="A840">
        <v>1099</v>
      </c>
      <c r="B840">
        <v>144000</v>
      </c>
    </row>
    <row r="841" spans="1:2" x14ac:dyDescent="0.25">
      <c r="A841">
        <v>1200</v>
      </c>
      <c r="B841">
        <v>130500</v>
      </c>
    </row>
    <row r="842" spans="1:2" x14ac:dyDescent="0.25">
      <c r="A842">
        <v>1482</v>
      </c>
      <c r="B842">
        <v>140000</v>
      </c>
    </row>
    <row r="843" spans="1:2" x14ac:dyDescent="0.25">
      <c r="A843">
        <v>1539</v>
      </c>
      <c r="B843">
        <v>157500</v>
      </c>
    </row>
    <row r="844" spans="1:2" x14ac:dyDescent="0.25">
      <c r="A844">
        <v>1165</v>
      </c>
      <c r="B844">
        <v>174900</v>
      </c>
    </row>
    <row r="845" spans="1:2" x14ac:dyDescent="0.25">
      <c r="A845">
        <v>1800</v>
      </c>
      <c r="B845">
        <v>141000</v>
      </c>
    </row>
    <row r="846" spans="1:2" x14ac:dyDescent="0.25">
      <c r="A846">
        <v>1416</v>
      </c>
      <c r="B846">
        <v>153900</v>
      </c>
    </row>
    <row r="847" spans="1:2" x14ac:dyDescent="0.25">
      <c r="A847">
        <v>1701</v>
      </c>
      <c r="B847">
        <v>171000</v>
      </c>
    </row>
    <row r="848" spans="1:2" x14ac:dyDescent="0.25">
      <c r="A848">
        <v>1775</v>
      </c>
      <c r="B848">
        <v>213000</v>
      </c>
    </row>
    <row r="849" spans="1:2" x14ac:dyDescent="0.25">
      <c r="A849">
        <v>864</v>
      </c>
      <c r="B849">
        <v>133500</v>
      </c>
    </row>
    <row r="850" spans="1:2" x14ac:dyDescent="0.25">
      <c r="A850">
        <v>2358</v>
      </c>
      <c r="B850">
        <v>240000</v>
      </c>
    </row>
    <row r="851" spans="1:2" x14ac:dyDescent="0.25">
      <c r="A851">
        <v>1855</v>
      </c>
      <c r="B851">
        <v>187000</v>
      </c>
    </row>
    <row r="852" spans="1:2" x14ac:dyDescent="0.25">
      <c r="A852">
        <v>848</v>
      </c>
      <c r="B852">
        <v>131500</v>
      </c>
    </row>
    <row r="853" spans="1:2" x14ac:dyDescent="0.25">
      <c r="A853">
        <v>1456</v>
      </c>
      <c r="B853">
        <v>215000</v>
      </c>
    </row>
    <row r="854" spans="1:2" x14ac:dyDescent="0.25">
      <c r="A854">
        <v>1646</v>
      </c>
      <c r="B854">
        <v>164000</v>
      </c>
    </row>
    <row r="855" spans="1:2" x14ac:dyDescent="0.25">
      <c r="A855">
        <v>1445</v>
      </c>
      <c r="B855">
        <v>158000</v>
      </c>
    </row>
    <row r="856" spans="1:2" x14ac:dyDescent="0.25">
      <c r="A856">
        <v>1779</v>
      </c>
      <c r="B856">
        <v>170000</v>
      </c>
    </row>
    <row r="857" spans="1:2" x14ac:dyDescent="0.25">
      <c r="A857">
        <v>1040</v>
      </c>
      <c r="B857">
        <v>127000</v>
      </c>
    </row>
    <row r="858" spans="1:2" x14ac:dyDescent="0.25">
      <c r="A858">
        <v>1026</v>
      </c>
      <c r="B858">
        <v>147000</v>
      </c>
    </row>
    <row r="859" spans="1:2" x14ac:dyDescent="0.25">
      <c r="A859">
        <v>1481</v>
      </c>
      <c r="B859">
        <v>174000</v>
      </c>
    </row>
    <row r="860" spans="1:2" x14ac:dyDescent="0.25">
      <c r="A860">
        <v>1370</v>
      </c>
      <c r="B860">
        <v>152000</v>
      </c>
    </row>
    <row r="861" spans="1:2" x14ac:dyDescent="0.25">
      <c r="A861">
        <v>2654</v>
      </c>
      <c r="B861">
        <v>250000</v>
      </c>
    </row>
    <row r="862" spans="1:2" x14ac:dyDescent="0.25">
      <c r="A862">
        <v>1426</v>
      </c>
      <c r="B862">
        <v>189950</v>
      </c>
    </row>
    <row r="863" spans="1:2" x14ac:dyDescent="0.25">
      <c r="A863">
        <v>1039</v>
      </c>
      <c r="B863">
        <v>131500</v>
      </c>
    </row>
    <row r="864" spans="1:2" x14ac:dyDescent="0.25">
      <c r="A864">
        <v>1097</v>
      </c>
      <c r="B864">
        <v>152000</v>
      </c>
    </row>
    <row r="865" spans="1:2" x14ac:dyDescent="0.25">
      <c r="A865">
        <v>1148</v>
      </c>
      <c r="B865">
        <v>132500</v>
      </c>
    </row>
    <row r="866" spans="1:2" x14ac:dyDescent="0.25">
      <c r="A866">
        <v>1372</v>
      </c>
      <c r="B866">
        <v>250580</v>
      </c>
    </row>
    <row r="867" spans="1:2" x14ac:dyDescent="0.25">
      <c r="A867">
        <v>1002</v>
      </c>
      <c r="B867">
        <v>148500</v>
      </c>
    </row>
    <row r="868" spans="1:2" x14ac:dyDescent="0.25">
      <c r="A868">
        <v>1646</v>
      </c>
      <c r="B868">
        <v>248900</v>
      </c>
    </row>
    <row r="869" spans="1:2" x14ac:dyDescent="0.25">
      <c r="A869">
        <v>1120</v>
      </c>
      <c r="B869">
        <v>129000</v>
      </c>
    </row>
    <row r="870" spans="1:2" x14ac:dyDescent="0.25">
      <c r="A870">
        <v>2320</v>
      </c>
      <c r="B870">
        <v>169000</v>
      </c>
    </row>
    <row r="871" spans="1:2" x14ac:dyDescent="0.25">
      <c r="A871">
        <v>1949</v>
      </c>
      <c r="B871">
        <v>236000</v>
      </c>
    </row>
    <row r="872" spans="1:2" x14ac:dyDescent="0.25">
      <c r="A872">
        <v>894</v>
      </c>
      <c r="B872">
        <v>109500</v>
      </c>
    </row>
    <row r="873" spans="1:2" x14ac:dyDescent="0.25">
      <c r="A873">
        <v>1682</v>
      </c>
      <c r="B873">
        <v>200500</v>
      </c>
    </row>
    <row r="874" spans="1:2" x14ac:dyDescent="0.25">
      <c r="A874">
        <v>910</v>
      </c>
      <c r="B874">
        <v>116000</v>
      </c>
    </row>
    <row r="875" spans="1:2" x14ac:dyDescent="0.25">
      <c r="A875">
        <v>1268</v>
      </c>
      <c r="B875">
        <v>133000</v>
      </c>
    </row>
    <row r="876" spans="1:2" x14ac:dyDescent="0.25">
      <c r="A876">
        <v>1131</v>
      </c>
      <c r="B876">
        <v>66500</v>
      </c>
    </row>
    <row r="877" spans="1:2" x14ac:dyDescent="0.25">
      <c r="A877">
        <v>2610</v>
      </c>
      <c r="B877">
        <v>303477</v>
      </c>
    </row>
    <row r="878" spans="1:2" x14ac:dyDescent="0.25">
      <c r="A878">
        <v>1040</v>
      </c>
      <c r="B878">
        <v>132250</v>
      </c>
    </row>
    <row r="879" spans="1:2" x14ac:dyDescent="0.25">
      <c r="A879">
        <v>2224</v>
      </c>
      <c r="B879">
        <v>350000</v>
      </c>
    </row>
    <row r="880" spans="1:2" x14ac:dyDescent="0.25">
      <c r="A880">
        <v>1155</v>
      </c>
      <c r="B880">
        <v>148000</v>
      </c>
    </row>
    <row r="881" spans="1:2" x14ac:dyDescent="0.25">
      <c r="A881">
        <v>864</v>
      </c>
      <c r="B881">
        <v>136500</v>
      </c>
    </row>
    <row r="882" spans="1:2" x14ac:dyDescent="0.25">
      <c r="A882">
        <v>1090</v>
      </c>
      <c r="B882">
        <v>157000</v>
      </c>
    </row>
    <row r="883" spans="1:2" x14ac:dyDescent="0.25">
      <c r="A883">
        <v>1717</v>
      </c>
      <c r="B883">
        <v>187500</v>
      </c>
    </row>
    <row r="884" spans="1:2" x14ac:dyDescent="0.25">
      <c r="A884">
        <v>1593</v>
      </c>
      <c r="B884">
        <v>178000</v>
      </c>
    </row>
    <row r="885" spans="1:2" x14ac:dyDescent="0.25">
      <c r="A885">
        <v>2230</v>
      </c>
      <c r="B885">
        <v>118500</v>
      </c>
    </row>
    <row r="886" spans="1:2" x14ac:dyDescent="0.25">
      <c r="A886">
        <v>892</v>
      </c>
      <c r="B886">
        <v>100000</v>
      </c>
    </row>
    <row r="887" spans="1:2" x14ac:dyDescent="0.25">
      <c r="A887">
        <v>1709</v>
      </c>
      <c r="B887">
        <v>328900</v>
      </c>
    </row>
    <row r="888" spans="1:2" x14ac:dyDescent="0.25">
      <c r="A888">
        <v>1712</v>
      </c>
      <c r="B888">
        <v>145000</v>
      </c>
    </row>
    <row r="889" spans="1:2" x14ac:dyDescent="0.25">
      <c r="A889">
        <v>1393</v>
      </c>
      <c r="B889">
        <v>135500</v>
      </c>
    </row>
    <row r="890" spans="1:2" x14ac:dyDescent="0.25">
      <c r="A890">
        <v>2217</v>
      </c>
      <c r="B890">
        <v>268000</v>
      </c>
    </row>
    <row r="891" spans="1:2" x14ac:dyDescent="0.25">
      <c r="A891">
        <v>1505</v>
      </c>
      <c r="B891">
        <v>149500</v>
      </c>
    </row>
    <row r="892" spans="1:2" x14ac:dyDescent="0.25">
      <c r="A892">
        <v>924</v>
      </c>
      <c r="B892">
        <v>122900</v>
      </c>
    </row>
    <row r="893" spans="1:2" x14ac:dyDescent="0.25">
      <c r="A893">
        <v>1683</v>
      </c>
      <c r="B893">
        <v>172500</v>
      </c>
    </row>
    <row r="894" spans="1:2" x14ac:dyDescent="0.25">
      <c r="A894">
        <v>1068</v>
      </c>
      <c r="B894">
        <v>154500</v>
      </c>
    </row>
    <row r="895" spans="1:2" x14ac:dyDescent="0.25">
      <c r="A895">
        <v>1383</v>
      </c>
      <c r="B895">
        <v>165000</v>
      </c>
    </row>
    <row r="896" spans="1:2" x14ac:dyDescent="0.25">
      <c r="A896">
        <v>1535</v>
      </c>
      <c r="B896">
        <v>118858</v>
      </c>
    </row>
    <row r="897" spans="1:2" x14ac:dyDescent="0.25">
      <c r="A897">
        <v>1796</v>
      </c>
      <c r="B897">
        <v>140000</v>
      </c>
    </row>
    <row r="898" spans="1:2" x14ac:dyDescent="0.25">
      <c r="A898">
        <v>951</v>
      </c>
      <c r="B898">
        <v>106500</v>
      </c>
    </row>
    <row r="899" spans="1:2" x14ac:dyDescent="0.25">
      <c r="A899">
        <v>2240</v>
      </c>
      <c r="B899">
        <v>142953</v>
      </c>
    </row>
    <row r="900" spans="1:2" x14ac:dyDescent="0.25">
      <c r="A900">
        <v>2364</v>
      </c>
      <c r="B900">
        <v>611657</v>
      </c>
    </row>
    <row r="901" spans="1:2" x14ac:dyDescent="0.25">
      <c r="A901">
        <v>1236</v>
      </c>
      <c r="B901">
        <v>135000</v>
      </c>
    </row>
    <row r="902" spans="1:2" x14ac:dyDescent="0.25">
      <c r="A902">
        <v>858</v>
      </c>
      <c r="B902">
        <v>110000</v>
      </c>
    </row>
    <row r="903" spans="1:2" x14ac:dyDescent="0.25">
      <c r="A903">
        <v>1306</v>
      </c>
      <c r="B903">
        <v>153000</v>
      </c>
    </row>
    <row r="904" spans="1:2" x14ac:dyDescent="0.25">
      <c r="A904">
        <v>1509</v>
      </c>
      <c r="B904">
        <v>180000</v>
      </c>
    </row>
    <row r="905" spans="1:2" x14ac:dyDescent="0.25">
      <c r="A905">
        <v>1670</v>
      </c>
      <c r="B905">
        <v>240000</v>
      </c>
    </row>
    <row r="906" spans="1:2" x14ac:dyDescent="0.25">
      <c r="A906">
        <v>902</v>
      </c>
      <c r="B906">
        <v>125500</v>
      </c>
    </row>
    <row r="907" spans="1:2" x14ac:dyDescent="0.25">
      <c r="A907">
        <v>1063</v>
      </c>
      <c r="B907">
        <v>128000</v>
      </c>
    </row>
    <row r="908" spans="1:2" x14ac:dyDescent="0.25">
      <c r="A908">
        <v>1636</v>
      </c>
      <c r="B908">
        <v>255000</v>
      </c>
    </row>
    <row r="909" spans="1:2" x14ac:dyDescent="0.25">
      <c r="A909">
        <v>2057</v>
      </c>
      <c r="B909">
        <v>250000</v>
      </c>
    </row>
    <row r="910" spans="1:2" x14ac:dyDescent="0.25">
      <c r="A910">
        <v>902</v>
      </c>
      <c r="B910">
        <v>131000</v>
      </c>
    </row>
    <row r="911" spans="1:2" x14ac:dyDescent="0.25">
      <c r="A911">
        <v>1484</v>
      </c>
      <c r="B911">
        <v>174000</v>
      </c>
    </row>
    <row r="912" spans="1:2" x14ac:dyDescent="0.25">
      <c r="A912">
        <v>2274</v>
      </c>
      <c r="B912">
        <v>154300</v>
      </c>
    </row>
    <row r="913" spans="1:2" x14ac:dyDescent="0.25">
      <c r="A913">
        <v>1268</v>
      </c>
      <c r="B913">
        <v>143500</v>
      </c>
    </row>
    <row r="914" spans="1:2" x14ac:dyDescent="0.25">
      <c r="A914">
        <v>1015</v>
      </c>
      <c r="B914">
        <v>88000</v>
      </c>
    </row>
    <row r="915" spans="1:2" x14ac:dyDescent="0.25">
      <c r="A915">
        <v>2002</v>
      </c>
      <c r="B915">
        <v>145000</v>
      </c>
    </row>
    <row r="916" spans="1:2" x14ac:dyDescent="0.25">
      <c r="A916">
        <v>1224</v>
      </c>
      <c r="B916">
        <v>173733</v>
      </c>
    </row>
    <row r="917" spans="1:2" x14ac:dyDescent="0.25">
      <c r="A917">
        <v>1092</v>
      </c>
      <c r="B917">
        <v>75000</v>
      </c>
    </row>
    <row r="918" spans="1:2" x14ac:dyDescent="0.25">
      <c r="A918">
        <v>480</v>
      </c>
      <c r="B918">
        <v>35311</v>
      </c>
    </row>
    <row r="919" spans="1:2" x14ac:dyDescent="0.25">
      <c r="A919">
        <v>1229</v>
      </c>
      <c r="B919">
        <v>135000</v>
      </c>
    </row>
    <row r="920" spans="1:2" x14ac:dyDescent="0.25">
      <c r="A920">
        <v>2127</v>
      </c>
      <c r="B920">
        <v>238000</v>
      </c>
    </row>
    <row r="921" spans="1:2" x14ac:dyDescent="0.25">
      <c r="A921">
        <v>1414</v>
      </c>
      <c r="B921">
        <v>176500</v>
      </c>
    </row>
    <row r="922" spans="1:2" x14ac:dyDescent="0.25">
      <c r="A922">
        <v>1721</v>
      </c>
      <c r="B922">
        <v>201000</v>
      </c>
    </row>
    <row r="923" spans="1:2" x14ac:dyDescent="0.25">
      <c r="A923">
        <v>2200</v>
      </c>
      <c r="B923">
        <v>145900</v>
      </c>
    </row>
    <row r="924" spans="1:2" x14ac:dyDescent="0.25">
      <c r="A924">
        <v>1316</v>
      </c>
      <c r="B924">
        <v>169990</v>
      </c>
    </row>
    <row r="925" spans="1:2" x14ac:dyDescent="0.25">
      <c r="A925">
        <v>1617</v>
      </c>
      <c r="B925">
        <v>193000</v>
      </c>
    </row>
    <row r="926" spans="1:2" x14ac:dyDescent="0.25">
      <c r="A926">
        <v>1686</v>
      </c>
      <c r="B926">
        <v>207500</v>
      </c>
    </row>
    <row r="927" spans="1:2" x14ac:dyDescent="0.25">
      <c r="A927">
        <v>1126</v>
      </c>
      <c r="B927">
        <v>175000</v>
      </c>
    </row>
    <row r="928" spans="1:2" x14ac:dyDescent="0.25">
      <c r="A928">
        <v>2374</v>
      </c>
      <c r="B928">
        <v>285000</v>
      </c>
    </row>
    <row r="929" spans="1:2" x14ac:dyDescent="0.25">
      <c r="A929">
        <v>1978</v>
      </c>
      <c r="B929">
        <v>176000</v>
      </c>
    </row>
    <row r="930" spans="1:2" x14ac:dyDescent="0.25">
      <c r="A930">
        <v>1788</v>
      </c>
      <c r="B930">
        <v>236500</v>
      </c>
    </row>
    <row r="931" spans="1:2" x14ac:dyDescent="0.25">
      <c r="A931">
        <v>2236</v>
      </c>
      <c r="B931">
        <v>222000</v>
      </c>
    </row>
    <row r="932" spans="1:2" x14ac:dyDescent="0.25">
      <c r="A932">
        <v>1466</v>
      </c>
      <c r="B932">
        <v>201000</v>
      </c>
    </row>
    <row r="933" spans="1:2" x14ac:dyDescent="0.25">
      <c r="A933">
        <v>925</v>
      </c>
      <c r="B933">
        <v>117500</v>
      </c>
    </row>
    <row r="934" spans="1:2" x14ac:dyDescent="0.25">
      <c r="A934">
        <v>1905</v>
      </c>
      <c r="B934">
        <v>320000</v>
      </c>
    </row>
    <row r="935" spans="1:2" x14ac:dyDescent="0.25">
      <c r="A935">
        <v>1500</v>
      </c>
      <c r="B935">
        <v>190000</v>
      </c>
    </row>
    <row r="936" spans="1:2" x14ac:dyDescent="0.25">
      <c r="A936">
        <v>2069</v>
      </c>
      <c r="B936">
        <v>242000</v>
      </c>
    </row>
    <row r="937" spans="1:2" x14ac:dyDescent="0.25">
      <c r="A937">
        <v>747</v>
      </c>
      <c r="B937">
        <v>79900</v>
      </c>
    </row>
    <row r="938" spans="1:2" x14ac:dyDescent="0.25">
      <c r="A938">
        <v>1200</v>
      </c>
      <c r="B938">
        <v>184900</v>
      </c>
    </row>
    <row r="939" spans="1:2" x14ac:dyDescent="0.25">
      <c r="A939">
        <v>1971</v>
      </c>
      <c r="B939">
        <v>253000</v>
      </c>
    </row>
    <row r="940" spans="1:2" x14ac:dyDescent="0.25">
      <c r="A940">
        <v>1962</v>
      </c>
      <c r="B940">
        <v>239799</v>
      </c>
    </row>
    <row r="941" spans="1:2" x14ac:dyDescent="0.25">
      <c r="A941">
        <v>2403</v>
      </c>
      <c r="B941">
        <v>244400</v>
      </c>
    </row>
    <row r="942" spans="1:2" x14ac:dyDescent="0.25">
      <c r="A942">
        <v>1728</v>
      </c>
      <c r="B942">
        <v>150900</v>
      </c>
    </row>
    <row r="943" spans="1:2" x14ac:dyDescent="0.25">
      <c r="A943">
        <v>2060</v>
      </c>
      <c r="B943">
        <v>214000</v>
      </c>
    </row>
    <row r="944" spans="1:2" x14ac:dyDescent="0.25">
      <c r="A944">
        <v>1440</v>
      </c>
      <c r="B944">
        <v>150000</v>
      </c>
    </row>
    <row r="945" spans="1:2" x14ac:dyDescent="0.25">
      <c r="A945">
        <v>1632</v>
      </c>
      <c r="B945">
        <v>143000</v>
      </c>
    </row>
    <row r="946" spans="1:2" x14ac:dyDescent="0.25">
      <c r="A946">
        <v>1344</v>
      </c>
      <c r="B946">
        <v>137500</v>
      </c>
    </row>
    <row r="947" spans="1:2" x14ac:dyDescent="0.25">
      <c r="A947">
        <v>1869</v>
      </c>
      <c r="B947">
        <v>124900</v>
      </c>
    </row>
    <row r="948" spans="1:2" x14ac:dyDescent="0.25">
      <c r="A948">
        <v>1144</v>
      </c>
      <c r="B948">
        <v>143000</v>
      </c>
    </row>
    <row r="949" spans="1:2" x14ac:dyDescent="0.25">
      <c r="A949">
        <v>1629</v>
      </c>
      <c r="B949">
        <v>270000</v>
      </c>
    </row>
    <row r="950" spans="1:2" x14ac:dyDescent="0.25">
      <c r="A950">
        <v>1776</v>
      </c>
      <c r="B950">
        <v>192500</v>
      </c>
    </row>
    <row r="951" spans="1:2" x14ac:dyDescent="0.25">
      <c r="A951">
        <v>1381</v>
      </c>
      <c r="B951">
        <v>197500</v>
      </c>
    </row>
    <row r="952" spans="1:2" x14ac:dyDescent="0.25">
      <c r="A952">
        <v>864</v>
      </c>
      <c r="B952">
        <v>129000</v>
      </c>
    </row>
    <row r="953" spans="1:2" x14ac:dyDescent="0.25">
      <c r="A953">
        <v>965</v>
      </c>
      <c r="B953">
        <v>119900</v>
      </c>
    </row>
    <row r="954" spans="1:2" x14ac:dyDescent="0.25">
      <c r="A954">
        <v>768</v>
      </c>
      <c r="B954">
        <v>133900</v>
      </c>
    </row>
    <row r="955" spans="1:2" x14ac:dyDescent="0.25">
      <c r="A955">
        <v>1968</v>
      </c>
      <c r="B955">
        <v>172000</v>
      </c>
    </row>
    <row r="956" spans="1:2" x14ac:dyDescent="0.25">
      <c r="A956">
        <v>980</v>
      </c>
      <c r="B956">
        <v>127500</v>
      </c>
    </row>
    <row r="957" spans="1:2" x14ac:dyDescent="0.25">
      <c r="A957">
        <v>1958</v>
      </c>
      <c r="B957">
        <v>145000</v>
      </c>
    </row>
    <row r="958" spans="1:2" x14ac:dyDescent="0.25">
      <c r="A958">
        <v>1229</v>
      </c>
      <c r="B958">
        <v>124000</v>
      </c>
    </row>
    <row r="959" spans="1:2" x14ac:dyDescent="0.25">
      <c r="A959">
        <v>1057</v>
      </c>
      <c r="B959">
        <v>132000</v>
      </c>
    </row>
    <row r="960" spans="1:2" x14ac:dyDescent="0.25">
      <c r="A960">
        <v>1337</v>
      </c>
      <c r="B960">
        <v>185000</v>
      </c>
    </row>
    <row r="961" spans="1:2" x14ac:dyDescent="0.25">
      <c r="A961">
        <v>1416</v>
      </c>
      <c r="B961">
        <v>155000</v>
      </c>
    </row>
    <row r="962" spans="1:2" x14ac:dyDescent="0.25">
      <c r="A962">
        <v>858</v>
      </c>
      <c r="B962">
        <v>116500</v>
      </c>
    </row>
    <row r="963" spans="1:2" x14ac:dyDescent="0.25">
      <c r="A963">
        <v>2872</v>
      </c>
      <c r="B963">
        <v>272000</v>
      </c>
    </row>
    <row r="964" spans="1:2" x14ac:dyDescent="0.25">
      <c r="A964">
        <v>1548</v>
      </c>
      <c r="B964">
        <v>155000</v>
      </c>
    </row>
    <row r="965" spans="1:2" x14ac:dyDescent="0.25">
      <c r="A965">
        <v>1800</v>
      </c>
      <c r="B965">
        <v>239000</v>
      </c>
    </row>
    <row r="966" spans="1:2" x14ac:dyDescent="0.25">
      <c r="A966">
        <v>1894</v>
      </c>
      <c r="B966">
        <v>214900</v>
      </c>
    </row>
    <row r="967" spans="1:2" x14ac:dyDescent="0.25">
      <c r="A967">
        <v>1484</v>
      </c>
      <c r="B967">
        <v>178900</v>
      </c>
    </row>
    <row r="968" spans="1:2" x14ac:dyDescent="0.25">
      <c r="A968">
        <v>1308</v>
      </c>
      <c r="B968">
        <v>160000</v>
      </c>
    </row>
    <row r="969" spans="1:2" x14ac:dyDescent="0.25">
      <c r="A969">
        <v>1098</v>
      </c>
      <c r="B969">
        <v>135000</v>
      </c>
    </row>
    <row r="970" spans="1:2" x14ac:dyDescent="0.25">
      <c r="A970">
        <v>968</v>
      </c>
      <c r="B970">
        <v>37900</v>
      </c>
    </row>
    <row r="971" spans="1:2" x14ac:dyDescent="0.25">
      <c r="A971">
        <v>1095</v>
      </c>
      <c r="B971">
        <v>140000</v>
      </c>
    </row>
    <row r="972" spans="1:2" x14ac:dyDescent="0.25">
      <c r="A972">
        <v>1192</v>
      </c>
      <c r="B972">
        <v>135000</v>
      </c>
    </row>
    <row r="973" spans="1:2" x14ac:dyDescent="0.25">
      <c r="A973">
        <v>1626</v>
      </c>
      <c r="B973">
        <v>173000</v>
      </c>
    </row>
    <row r="974" spans="1:2" x14ac:dyDescent="0.25">
      <c r="A974">
        <v>918</v>
      </c>
      <c r="B974">
        <v>99500</v>
      </c>
    </row>
    <row r="975" spans="1:2" x14ac:dyDescent="0.25">
      <c r="A975">
        <v>1428</v>
      </c>
      <c r="B975">
        <v>182000</v>
      </c>
    </row>
    <row r="976" spans="1:2" x14ac:dyDescent="0.25">
      <c r="A976">
        <v>2019</v>
      </c>
      <c r="B976">
        <v>167500</v>
      </c>
    </row>
    <row r="977" spans="1:2" x14ac:dyDescent="0.25">
      <c r="A977">
        <v>1382</v>
      </c>
      <c r="B977">
        <v>165000</v>
      </c>
    </row>
    <row r="978" spans="1:2" x14ac:dyDescent="0.25">
      <c r="A978">
        <v>869</v>
      </c>
      <c r="B978">
        <v>85500</v>
      </c>
    </row>
    <row r="979" spans="1:2" x14ac:dyDescent="0.25">
      <c r="A979">
        <v>1241</v>
      </c>
      <c r="B979">
        <v>199900</v>
      </c>
    </row>
    <row r="980" spans="1:2" x14ac:dyDescent="0.25">
      <c r="A980">
        <v>894</v>
      </c>
      <c r="B980">
        <v>110000</v>
      </c>
    </row>
    <row r="981" spans="1:2" x14ac:dyDescent="0.25">
      <c r="A981">
        <v>1121</v>
      </c>
      <c r="B981">
        <v>139000</v>
      </c>
    </row>
    <row r="982" spans="1:2" x14ac:dyDescent="0.25">
      <c r="A982">
        <v>999</v>
      </c>
      <c r="B982">
        <v>178400</v>
      </c>
    </row>
    <row r="983" spans="1:2" x14ac:dyDescent="0.25">
      <c r="A983">
        <v>2612</v>
      </c>
      <c r="B983">
        <v>336000</v>
      </c>
    </row>
    <row r="984" spans="1:2" x14ac:dyDescent="0.25">
      <c r="A984">
        <v>1266</v>
      </c>
      <c r="B984">
        <v>159895</v>
      </c>
    </row>
    <row r="985" spans="1:2" x14ac:dyDescent="0.25">
      <c r="A985">
        <v>2290</v>
      </c>
      <c r="B985">
        <v>255900</v>
      </c>
    </row>
    <row r="986" spans="1:2" x14ac:dyDescent="0.25">
      <c r="A986">
        <v>1734</v>
      </c>
      <c r="B986">
        <v>126000</v>
      </c>
    </row>
    <row r="987" spans="1:2" x14ac:dyDescent="0.25">
      <c r="A987">
        <v>1164</v>
      </c>
      <c r="B987">
        <v>125000</v>
      </c>
    </row>
    <row r="988" spans="1:2" x14ac:dyDescent="0.25">
      <c r="A988">
        <v>1635</v>
      </c>
      <c r="B988">
        <v>117000</v>
      </c>
    </row>
    <row r="989" spans="1:2" x14ac:dyDescent="0.25">
      <c r="A989">
        <v>1940</v>
      </c>
      <c r="B989">
        <v>395192</v>
      </c>
    </row>
    <row r="990" spans="1:2" x14ac:dyDescent="0.25">
      <c r="A990">
        <v>2030</v>
      </c>
      <c r="B990">
        <v>195000</v>
      </c>
    </row>
    <row r="991" spans="1:2" x14ac:dyDescent="0.25">
      <c r="A991">
        <v>1576</v>
      </c>
      <c r="B991">
        <v>197000</v>
      </c>
    </row>
    <row r="992" spans="1:2" x14ac:dyDescent="0.25">
      <c r="A992">
        <v>2392</v>
      </c>
      <c r="B992">
        <v>348000</v>
      </c>
    </row>
    <row r="993" spans="1:2" x14ac:dyDescent="0.25">
      <c r="A993">
        <v>1742</v>
      </c>
      <c r="B993">
        <v>168000</v>
      </c>
    </row>
    <row r="994" spans="1:2" x14ac:dyDescent="0.25">
      <c r="A994">
        <v>1851</v>
      </c>
      <c r="B994">
        <v>187000</v>
      </c>
    </row>
    <row r="995" spans="1:2" x14ac:dyDescent="0.25">
      <c r="A995">
        <v>1500</v>
      </c>
      <c r="B995">
        <v>173900</v>
      </c>
    </row>
    <row r="996" spans="1:2" x14ac:dyDescent="0.25">
      <c r="A996">
        <v>1718</v>
      </c>
      <c r="B996">
        <v>337500</v>
      </c>
    </row>
    <row r="997" spans="1:2" x14ac:dyDescent="0.25">
      <c r="A997">
        <v>1230</v>
      </c>
      <c r="B997">
        <v>121600</v>
      </c>
    </row>
    <row r="998" spans="1:2" x14ac:dyDescent="0.25">
      <c r="A998">
        <v>1050</v>
      </c>
      <c r="B998">
        <v>136500</v>
      </c>
    </row>
    <row r="999" spans="1:2" x14ac:dyDescent="0.25">
      <c r="A999">
        <v>1442</v>
      </c>
      <c r="B999">
        <v>185000</v>
      </c>
    </row>
    <row r="1000" spans="1:2" x14ac:dyDescent="0.25">
      <c r="A1000">
        <v>1077</v>
      </c>
      <c r="B1000">
        <v>91000</v>
      </c>
    </row>
    <row r="1001" spans="1:2" x14ac:dyDescent="0.25">
      <c r="A1001">
        <v>1208</v>
      </c>
      <c r="B1001">
        <v>206000</v>
      </c>
    </row>
    <row r="1002" spans="1:2" x14ac:dyDescent="0.25">
      <c r="A1002">
        <v>944</v>
      </c>
      <c r="B1002">
        <v>82000</v>
      </c>
    </row>
    <row r="1003" spans="1:2" x14ac:dyDescent="0.25">
      <c r="A1003">
        <v>691</v>
      </c>
      <c r="B1003">
        <v>86000</v>
      </c>
    </row>
    <row r="1004" spans="1:2" x14ac:dyDescent="0.25">
      <c r="A1004">
        <v>1574</v>
      </c>
      <c r="B1004">
        <v>232000</v>
      </c>
    </row>
    <row r="1005" spans="1:2" x14ac:dyDescent="0.25">
      <c r="A1005">
        <v>1680</v>
      </c>
      <c r="B1005">
        <v>136905</v>
      </c>
    </row>
    <row r="1006" spans="1:2" x14ac:dyDescent="0.25">
      <c r="A1006">
        <v>1504</v>
      </c>
      <c r="B1006">
        <v>181000</v>
      </c>
    </row>
    <row r="1007" spans="1:2" x14ac:dyDescent="0.25">
      <c r="A1007">
        <v>985</v>
      </c>
      <c r="B1007">
        <v>149900</v>
      </c>
    </row>
    <row r="1008" spans="1:2" x14ac:dyDescent="0.25">
      <c r="A1008">
        <v>1657</v>
      </c>
      <c r="B1008">
        <v>163500</v>
      </c>
    </row>
    <row r="1009" spans="1:2" x14ac:dyDescent="0.25">
      <c r="A1009">
        <v>1092</v>
      </c>
      <c r="B1009">
        <v>88000</v>
      </c>
    </row>
    <row r="1010" spans="1:2" x14ac:dyDescent="0.25">
      <c r="A1010">
        <v>1710</v>
      </c>
      <c r="B1010">
        <v>240000</v>
      </c>
    </row>
    <row r="1011" spans="1:2" x14ac:dyDescent="0.25">
      <c r="A1011">
        <v>1522</v>
      </c>
      <c r="B1011">
        <v>102000</v>
      </c>
    </row>
    <row r="1012" spans="1:2" x14ac:dyDescent="0.25">
      <c r="A1012">
        <v>1271</v>
      </c>
      <c r="B1012">
        <v>135000</v>
      </c>
    </row>
    <row r="1013" spans="1:2" x14ac:dyDescent="0.25">
      <c r="A1013">
        <v>1664</v>
      </c>
      <c r="B1013">
        <v>100000</v>
      </c>
    </row>
    <row r="1014" spans="1:2" x14ac:dyDescent="0.25">
      <c r="A1014">
        <v>1502</v>
      </c>
      <c r="B1014">
        <v>165000</v>
      </c>
    </row>
    <row r="1015" spans="1:2" x14ac:dyDescent="0.25">
      <c r="A1015">
        <v>1022</v>
      </c>
      <c r="B1015">
        <v>85000</v>
      </c>
    </row>
    <row r="1016" spans="1:2" x14ac:dyDescent="0.25">
      <c r="A1016">
        <v>1082</v>
      </c>
      <c r="B1016">
        <v>119200</v>
      </c>
    </row>
    <row r="1017" spans="1:2" x14ac:dyDescent="0.25">
      <c r="A1017">
        <v>1665</v>
      </c>
      <c r="B1017">
        <v>227000</v>
      </c>
    </row>
    <row r="1018" spans="1:2" x14ac:dyDescent="0.25">
      <c r="A1018">
        <v>1504</v>
      </c>
      <c r="B1018">
        <v>203000</v>
      </c>
    </row>
    <row r="1019" spans="1:2" x14ac:dyDescent="0.25">
      <c r="A1019">
        <v>1360</v>
      </c>
      <c r="B1019">
        <v>187500</v>
      </c>
    </row>
    <row r="1020" spans="1:2" x14ac:dyDescent="0.25">
      <c r="A1020">
        <v>1472</v>
      </c>
      <c r="B1020">
        <v>160000</v>
      </c>
    </row>
    <row r="1021" spans="1:2" x14ac:dyDescent="0.25">
      <c r="A1021">
        <v>1506</v>
      </c>
      <c r="B1021">
        <v>213490</v>
      </c>
    </row>
    <row r="1022" spans="1:2" x14ac:dyDescent="0.25">
      <c r="A1022">
        <v>1132</v>
      </c>
      <c r="B1022">
        <v>176000</v>
      </c>
    </row>
    <row r="1023" spans="1:2" x14ac:dyDescent="0.25">
      <c r="A1023">
        <v>1220</v>
      </c>
      <c r="B1023">
        <v>194000</v>
      </c>
    </row>
    <row r="1024" spans="1:2" x14ac:dyDescent="0.25">
      <c r="A1024">
        <v>1248</v>
      </c>
      <c r="B1024">
        <v>87000</v>
      </c>
    </row>
    <row r="1025" spans="1:2" x14ac:dyDescent="0.25">
      <c r="A1025">
        <v>1504</v>
      </c>
      <c r="B1025">
        <v>191000</v>
      </c>
    </row>
    <row r="1026" spans="1:2" x14ac:dyDescent="0.25">
      <c r="A1026">
        <v>2898</v>
      </c>
      <c r="B1026">
        <v>287000</v>
      </c>
    </row>
    <row r="1027" spans="1:2" x14ac:dyDescent="0.25">
      <c r="A1027">
        <v>882</v>
      </c>
      <c r="B1027">
        <v>112500</v>
      </c>
    </row>
    <row r="1028" spans="1:2" x14ac:dyDescent="0.25">
      <c r="A1028">
        <v>1264</v>
      </c>
      <c r="B1028">
        <v>167500</v>
      </c>
    </row>
    <row r="1029" spans="1:2" x14ac:dyDescent="0.25">
      <c r="A1029">
        <v>1646</v>
      </c>
      <c r="B1029">
        <v>293077</v>
      </c>
    </row>
    <row r="1030" spans="1:2" x14ac:dyDescent="0.25">
      <c r="A1030">
        <v>1376</v>
      </c>
      <c r="B1030">
        <v>105000</v>
      </c>
    </row>
    <row r="1031" spans="1:2" x14ac:dyDescent="0.25">
      <c r="A1031">
        <v>1218</v>
      </c>
      <c r="B1031">
        <v>118000</v>
      </c>
    </row>
    <row r="1032" spans="1:2" x14ac:dyDescent="0.25">
      <c r="A1032">
        <v>1928</v>
      </c>
      <c r="B1032">
        <v>160000</v>
      </c>
    </row>
    <row r="1033" spans="1:2" x14ac:dyDescent="0.25">
      <c r="A1033">
        <v>3082</v>
      </c>
      <c r="B1033">
        <v>197000</v>
      </c>
    </row>
    <row r="1034" spans="1:2" x14ac:dyDescent="0.25">
      <c r="A1034">
        <v>2520</v>
      </c>
      <c r="B1034">
        <v>310000</v>
      </c>
    </row>
    <row r="1035" spans="1:2" x14ac:dyDescent="0.25">
      <c r="A1035">
        <v>1654</v>
      </c>
      <c r="B1035">
        <v>230000</v>
      </c>
    </row>
    <row r="1036" spans="1:2" x14ac:dyDescent="0.25">
      <c r="A1036">
        <v>954</v>
      </c>
      <c r="B1036">
        <v>119750</v>
      </c>
    </row>
    <row r="1037" spans="1:2" x14ac:dyDescent="0.25">
      <c r="A1037">
        <v>845</v>
      </c>
      <c r="B1037">
        <v>84000</v>
      </c>
    </row>
    <row r="1038" spans="1:2" x14ac:dyDescent="0.25">
      <c r="A1038">
        <v>1620</v>
      </c>
      <c r="B1038">
        <v>315500</v>
      </c>
    </row>
    <row r="1039" spans="1:2" x14ac:dyDescent="0.25">
      <c r="A1039">
        <v>2263</v>
      </c>
      <c r="B1039">
        <v>287000</v>
      </c>
    </row>
    <row r="1040" spans="1:2" x14ac:dyDescent="0.25">
      <c r="A1040">
        <v>1344</v>
      </c>
      <c r="B1040">
        <v>97000</v>
      </c>
    </row>
    <row r="1041" spans="1:2" x14ac:dyDescent="0.25">
      <c r="A1041">
        <v>630</v>
      </c>
      <c r="B1041">
        <v>80000</v>
      </c>
    </row>
    <row r="1042" spans="1:2" x14ac:dyDescent="0.25">
      <c r="A1042">
        <v>1803</v>
      </c>
      <c r="B1042">
        <v>155000</v>
      </c>
    </row>
    <row r="1043" spans="1:2" x14ac:dyDescent="0.25">
      <c r="A1043">
        <v>1632</v>
      </c>
      <c r="B1043">
        <v>173000</v>
      </c>
    </row>
    <row r="1044" spans="1:2" x14ac:dyDescent="0.25">
      <c r="A1044">
        <v>1306</v>
      </c>
      <c r="B1044">
        <v>196000</v>
      </c>
    </row>
    <row r="1045" spans="1:2" x14ac:dyDescent="0.25">
      <c r="A1045">
        <v>2329</v>
      </c>
      <c r="B1045">
        <v>262280</v>
      </c>
    </row>
    <row r="1046" spans="1:2" x14ac:dyDescent="0.25">
      <c r="A1046">
        <v>2524</v>
      </c>
      <c r="B1046">
        <v>278000</v>
      </c>
    </row>
    <row r="1047" spans="1:2" x14ac:dyDescent="0.25">
      <c r="A1047">
        <v>1733</v>
      </c>
      <c r="B1047">
        <v>139600</v>
      </c>
    </row>
    <row r="1048" spans="1:2" x14ac:dyDescent="0.25">
      <c r="A1048">
        <v>2868</v>
      </c>
      <c r="B1048">
        <v>556581</v>
      </c>
    </row>
    <row r="1049" spans="1:2" x14ac:dyDescent="0.25">
      <c r="A1049">
        <v>990</v>
      </c>
      <c r="B1049">
        <v>145000</v>
      </c>
    </row>
    <row r="1050" spans="1:2" x14ac:dyDescent="0.25">
      <c r="A1050">
        <v>1771</v>
      </c>
      <c r="B1050">
        <v>115000</v>
      </c>
    </row>
    <row r="1051" spans="1:2" x14ac:dyDescent="0.25">
      <c r="A1051">
        <v>930</v>
      </c>
      <c r="B1051">
        <v>84900</v>
      </c>
    </row>
    <row r="1052" spans="1:2" x14ac:dyDescent="0.25">
      <c r="A1052">
        <v>1302</v>
      </c>
      <c r="B1052">
        <v>176485</v>
      </c>
    </row>
    <row r="1053" spans="1:2" x14ac:dyDescent="0.25">
      <c r="A1053">
        <v>1316</v>
      </c>
      <c r="B1053">
        <v>200141</v>
      </c>
    </row>
    <row r="1054" spans="1:2" x14ac:dyDescent="0.25">
      <c r="A1054">
        <v>1977</v>
      </c>
      <c r="B1054">
        <v>165000</v>
      </c>
    </row>
    <row r="1055" spans="1:2" x14ac:dyDescent="0.25">
      <c r="A1055">
        <v>1526</v>
      </c>
      <c r="B1055">
        <v>144500</v>
      </c>
    </row>
    <row r="1056" spans="1:2" x14ac:dyDescent="0.25">
      <c r="A1056">
        <v>1989</v>
      </c>
      <c r="B1056">
        <v>255000</v>
      </c>
    </row>
    <row r="1057" spans="1:2" x14ac:dyDescent="0.25">
      <c r="A1057">
        <v>1523</v>
      </c>
      <c r="B1057">
        <v>180000</v>
      </c>
    </row>
    <row r="1058" spans="1:2" x14ac:dyDescent="0.25">
      <c r="A1058">
        <v>1364</v>
      </c>
      <c r="B1058">
        <v>185850</v>
      </c>
    </row>
    <row r="1059" spans="1:2" x14ac:dyDescent="0.25">
      <c r="A1059">
        <v>1850</v>
      </c>
      <c r="B1059">
        <v>248000</v>
      </c>
    </row>
    <row r="1060" spans="1:2" x14ac:dyDescent="0.25">
      <c r="A1060">
        <v>2184</v>
      </c>
      <c r="B1060">
        <v>335000</v>
      </c>
    </row>
    <row r="1061" spans="1:2" x14ac:dyDescent="0.25">
      <c r="A1061">
        <v>1991</v>
      </c>
      <c r="B1061">
        <v>220000</v>
      </c>
    </row>
    <row r="1062" spans="1:2" x14ac:dyDescent="0.25">
      <c r="A1062">
        <v>1338</v>
      </c>
      <c r="B1062">
        <v>213500</v>
      </c>
    </row>
    <row r="1063" spans="1:2" x14ac:dyDescent="0.25">
      <c r="A1063">
        <v>894</v>
      </c>
      <c r="B1063">
        <v>81000</v>
      </c>
    </row>
    <row r="1064" spans="1:2" x14ac:dyDescent="0.25">
      <c r="A1064">
        <v>2337</v>
      </c>
      <c r="B1064">
        <v>90000</v>
      </c>
    </row>
    <row r="1065" spans="1:2" x14ac:dyDescent="0.25">
      <c r="A1065">
        <v>1103</v>
      </c>
      <c r="B1065">
        <v>110500</v>
      </c>
    </row>
    <row r="1066" spans="1:2" x14ac:dyDescent="0.25">
      <c r="A1066">
        <v>1154</v>
      </c>
      <c r="B1066">
        <v>154000</v>
      </c>
    </row>
    <row r="1067" spans="1:2" x14ac:dyDescent="0.25">
      <c r="A1067">
        <v>2260</v>
      </c>
      <c r="B1067">
        <v>328000</v>
      </c>
    </row>
    <row r="1068" spans="1:2" x14ac:dyDescent="0.25">
      <c r="A1068">
        <v>1571</v>
      </c>
      <c r="B1068">
        <v>178000</v>
      </c>
    </row>
    <row r="1069" spans="1:2" x14ac:dyDescent="0.25">
      <c r="A1069">
        <v>1611</v>
      </c>
      <c r="B1069">
        <v>167900</v>
      </c>
    </row>
    <row r="1070" spans="1:2" x14ac:dyDescent="0.25">
      <c r="A1070">
        <v>2521</v>
      </c>
      <c r="B1070">
        <v>151400</v>
      </c>
    </row>
    <row r="1071" spans="1:2" x14ac:dyDescent="0.25">
      <c r="A1071">
        <v>893</v>
      </c>
      <c r="B1071">
        <v>135000</v>
      </c>
    </row>
    <row r="1072" spans="1:2" x14ac:dyDescent="0.25">
      <c r="A1072">
        <v>1048</v>
      </c>
      <c r="B1072">
        <v>135000</v>
      </c>
    </row>
    <row r="1073" spans="1:2" x14ac:dyDescent="0.25">
      <c r="A1073">
        <v>1556</v>
      </c>
      <c r="B1073">
        <v>154000</v>
      </c>
    </row>
    <row r="1074" spans="1:2" x14ac:dyDescent="0.25">
      <c r="A1074">
        <v>1456</v>
      </c>
      <c r="B1074">
        <v>91500</v>
      </c>
    </row>
    <row r="1075" spans="1:2" x14ac:dyDescent="0.25">
      <c r="A1075">
        <v>1426</v>
      </c>
      <c r="B1075">
        <v>159500</v>
      </c>
    </row>
    <row r="1076" spans="1:2" x14ac:dyDescent="0.25">
      <c r="A1076">
        <v>1240</v>
      </c>
      <c r="B1076">
        <v>194000</v>
      </c>
    </row>
    <row r="1077" spans="1:2" x14ac:dyDescent="0.25">
      <c r="A1077">
        <v>1740</v>
      </c>
      <c r="B1077">
        <v>219500</v>
      </c>
    </row>
    <row r="1078" spans="1:2" x14ac:dyDescent="0.25">
      <c r="A1078">
        <v>1466</v>
      </c>
      <c r="B1078">
        <v>170000</v>
      </c>
    </row>
    <row r="1079" spans="1:2" x14ac:dyDescent="0.25">
      <c r="A1079">
        <v>1096</v>
      </c>
      <c r="B1079">
        <v>138800</v>
      </c>
    </row>
    <row r="1080" spans="1:2" x14ac:dyDescent="0.25">
      <c r="A1080">
        <v>848</v>
      </c>
      <c r="B1080">
        <v>155900</v>
      </c>
    </row>
    <row r="1081" spans="1:2" x14ac:dyDescent="0.25">
      <c r="A1081">
        <v>990</v>
      </c>
      <c r="B1081">
        <v>126000</v>
      </c>
    </row>
    <row r="1082" spans="1:2" x14ac:dyDescent="0.25">
      <c r="A1082">
        <v>1258</v>
      </c>
      <c r="B1082">
        <v>145000</v>
      </c>
    </row>
    <row r="1083" spans="1:2" x14ac:dyDescent="0.25">
      <c r="A1083">
        <v>1040</v>
      </c>
      <c r="B1083">
        <v>133000</v>
      </c>
    </row>
    <row r="1084" spans="1:2" x14ac:dyDescent="0.25">
      <c r="A1084">
        <v>1459</v>
      </c>
      <c r="B1084">
        <v>192000</v>
      </c>
    </row>
    <row r="1085" spans="1:2" x14ac:dyDescent="0.25">
      <c r="A1085">
        <v>1251</v>
      </c>
      <c r="B1085">
        <v>160000</v>
      </c>
    </row>
    <row r="1086" spans="1:2" x14ac:dyDescent="0.25">
      <c r="A1086">
        <v>1498</v>
      </c>
      <c r="B1086">
        <v>187500</v>
      </c>
    </row>
    <row r="1087" spans="1:2" x14ac:dyDescent="0.25">
      <c r="A1087">
        <v>996</v>
      </c>
      <c r="B1087">
        <v>147000</v>
      </c>
    </row>
    <row r="1088" spans="1:2" x14ac:dyDescent="0.25">
      <c r="A1088">
        <v>1092</v>
      </c>
      <c r="B1088">
        <v>83500</v>
      </c>
    </row>
    <row r="1089" spans="1:2" x14ac:dyDescent="0.25">
      <c r="A1089">
        <v>1953</v>
      </c>
      <c r="B1089">
        <v>252000</v>
      </c>
    </row>
    <row r="1090" spans="1:2" x14ac:dyDescent="0.25">
      <c r="A1090">
        <v>1709</v>
      </c>
      <c r="B1090">
        <v>137500</v>
      </c>
    </row>
    <row r="1091" spans="1:2" x14ac:dyDescent="0.25">
      <c r="A1091">
        <v>1247</v>
      </c>
      <c r="B1091">
        <v>197000</v>
      </c>
    </row>
    <row r="1092" spans="1:2" x14ac:dyDescent="0.25">
      <c r="A1092">
        <v>1040</v>
      </c>
      <c r="B1092">
        <v>92900</v>
      </c>
    </row>
    <row r="1093" spans="1:2" x14ac:dyDescent="0.25">
      <c r="A1093">
        <v>1252</v>
      </c>
      <c r="B1093">
        <v>160000</v>
      </c>
    </row>
    <row r="1094" spans="1:2" x14ac:dyDescent="0.25">
      <c r="A1094">
        <v>1694</v>
      </c>
      <c r="B1094">
        <v>136500</v>
      </c>
    </row>
    <row r="1095" spans="1:2" x14ac:dyDescent="0.25">
      <c r="A1095">
        <v>1200</v>
      </c>
      <c r="B1095">
        <v>146000</v>
      </c>
    </row>
    <row r="1096" spans="1:2" x14ac:dyDescent="0.25">
      <c r="A1096">
        <v>936</v>
      </c>
      <c r="B1096">
        <v>129000</v>
      </c>
    </row>
    <row r="1097" spans="1:2" x14ac:dyDescent="0.25">
      <c r="A1097">
        <v>1314</v>
      </c>
      <c r="B1097">
        <v>176432</v>
      </c>
    </row>
    <row r="1098" spans="1:2" x14ac:dyDescent="0.25">
      <c r="A1098">
        <v>1355</v>
      </c>
      <c r="B1098">
        <v>127000</v>
      </c>
    </row>
    <row r="1099" spans="1:2" x14ac:dyDescent="0.25">
      <c r="A1099">
        <v>1088</v>
      </c>
      <c r="B1099">
        <v>170000</v>
      </c>
    </row>
    <row r="1100" spans="1:2" x14ac:dyDescent="0.25">
      <c r="A1100">
        <v>1324</v>
      </c>
      <c r="B1100">
        <v>128000</v>
      </c>
    </row>
    <row r="1101" spans="1:2" x14ac:dyDescent="0.25">
      <c r="A1101">
        <v>1601</v>
      </c>
      <c r="B1101">
        <v>157000</v>
      </c>
    </row>
    <row r="1102" spans="1:2" x14ac:dyDescent="0.25">
      <c r="A1102">
        <v>438</v>
      </c>
      <c r="B1102">
        <v>60000</v>
      </c>
    </row>
    <row r="1103" spans="1:2" x14ac:dyDescent="0.25">
      <c r="A1103">
        <v>950</v>
      </c>
      <c r="B1103">
        <v>119500</v>
      </c>
    </row>
    <row r="1104" spans="1:2" x14ac:dyDescent="0.25">
      <c r="A1104">
        <v>1134</v>
      </c>
      <c r="B1104">
        <v>135000</v>
      </c>
    </row>
    <row r="1105" spans="1:2" x14ac:dyDescent="0.25">
      <c r="A1105">
        <v>1194</v>
      </c>
      <c r="B1105">
        <v>159500</v>
      </c>
    </row>
    <row r="1106" spans="1:2" x14ac:dyDescent="0.25">
      <c r="A1106">
        <v>1302</v>
      </c>
      <c r="B1106">
        <v>106000</v>
      </c>
    </row>
    <row r="1107" spans="1:2" x14ac:dyDescent="0.25">
      <c r="A1107">
        <v>2622</v>
      </c>
      <c r="B1107">
        <v>325000</v>
      </c>
    </row>
    <row r="1108" spans="1:2" x14ac:dyDescent="0.25">
      <c r="A1108">
        <v>1442</v>
      </c>
      <c r="B1108">
        <v>179900</v>
      </c>
    </row>
    <row r="1109" spans="1:2" x14ac:dyDescent="0.25">
      <c r="A1109">
        <v>2021</v>
      </c>
      <c r="B1109">
        <v>274725</v>
      </c>
    </row>
    <row r="1110" spans="1:2" x14ac:dyDescent="0.25">
      <c r="A1110">
        <v>1690</v>
      </c>
      <c r="B1110">
        <v>181000</v>
      </c>
    </row>
    <row r="1111" spans="1:2" x14ac:dyDescent="0.25">
      <c r="A1111">
        <v>1836</v>
      </c>
      <c r="B1111">
        <v>280000</v>
      </c>
    </row>
    <row r="1112" spans="1:2" x14ac:dyDescent="0.25">
      <c r="A1112">
        <v>1658</v>
      </c>
      <c r="B1112">
        <v>188000</v>
      </c>
    </row>
    <row r="1113" spans="1:2" x14ac:dyDescent="0.25">
      <c r="A1113">
        <v>1964</v>
      </c>
      <c r="B1113">
        <v>205000</v>
      </c>
    </row>
    <row r="1114" spans="1:2" x14ac:dyDescent="0.25">
      <c r="A1114">
        <v>816</v>
      </c>
      <c r="B1114">
        <v>129900</v>
      </c>
    </row>
    <row r="1115" spans="1:2" x14ac:dyDescent="0.25">
      <c r="A1115">
        <v>1008</v>
      </c>
      <c r="B1115">
        <v>134500</v>
      </c>
    </row>
    <row r="1116" spans="1:2" x14ac:dyDescent="0.25">
      <c r="A1116">
        <v>833</v>
      </c>
      <c r="B1116">
        <v>117000</v>
      </c>
    </row>
    <row r="1117" spans="1:2" x14ac:dyDescent="0.25">
      <c r="A1117">
        <v>1734</v>
      </c>
      <c r="B1117">
        <v>318000</v>
      </c>
    </row>
    <row r="1118" spans="1:2" x14ac:dyDescent="0.25">
      <c r="A1118">
        <v>1419</v>
      </c>
      <c r="B1118">
        <v>184100</v>
      </c>
    </row>
    <row r="1119" spans="1:2" x14ac:dyDescent="0.25">
      <c r="A1119">
        <v>894</v>
      </c>
      <c r="B1119">
        <v>130000</v>
      </c>
    </row>
    <row r="1120" spans="1:2" x14ac:dyDescent="0.25">
      <c r="A1120">
        <v>1601</v>
      </c>
      <c r="B1120">
        <v>140000</v>
      </c>
    </row>
    <row r="1121" spans="1:2" x14ac:dyDescent="0.25">
      <c r="A1121">
        <v>1040</v>
      </c>
      <c r="B1121">
        <v>133700</v>
      </c>
    </row>
    <row r="1122" spans="1:2" x14ac:dyDescent="0.25">
      <c r="A1122">
        <v>1012</v>
      </c>
      <c r="B1122">
        <v>118400</v>
      </c>
    </row>
    <row r="1123" spans="1:2" x14ac:dyDescent="0.25">
      <c r="A1123">
        <v>1552</v>
      </c>
      <c r="B1123">
        <v>212900</v>
      </c>
    </row>
    <row r="1124" spans="1:2" x14ac:dyDescent="0.25">
      <c r="A1124">
        <v>960</v>
      </c>
      <c r="B1124">
        <v>112000</v>
      </c>
    </row>
    <row r="1125" spans="1:2" x14ac:dyDescent="0.25">
      <c r="A1125">
        <v>698</v>
      </c>
      <c r="B1125">
        <v>118000</v>
      </c>
    </row>
    <row r="1126" spans="1:2" x14ac:dyDescent="0.25">
      <c r="A1126">
        <v>1482</v>
      </c>
      <c r="B1126">
        <v>163900</v>
      </c>
    </row>
    <row r="1127" spans="1:2" x14ac:dyDescent="0.25">
      <c r="A1127">
        <v>1005</v>
      </c>
      <c r="B1127">
        <v>115000</v>
      </c>
    </row>
    <row r="1128" spans="1:2" x14ac:dyDescent="0.25">
      <c r="A1128">
        <v>1555</v>
      </c>
      <c r="B1128">
        <v>174000</v>
      </c>
    </row>
    <row r="1129" spans="1:2" x14ac:dyDescent="0.25">
      <c r="A1129">
        <v>1530</v>
      </c>
      <c r="B1129">
        <v>259000</v>
      </c>
    </row>
    <row r="1130" spans="1:2" x14ac:dyDescent="0.25">
      <c r="A1130">
        <v>1959</v>
      </c>
      <c r="B1130">
        <v>215000</v>
      </c>
    </row>
    <row r="1131" spans="1:2" x14ac:dyDescent="0.25">
      <c r="A1131">
        <v>936</v>
      </c>
      <c r="B1131">
        <v>140000</v>
      </c>
    </row>
    <row r="1132" spans="1:2" x14ac:dyDescent="0.25">
      <c r="A1132">
        <v>1981</v>
      </c>
      <c r="B1132">
        <v>135000</v>
      </c>
    </row>
    <row r="1133" spans="1:2" x14ac:dyDescent="0.25">
      <c r="A1133">
        <v>974</v>
      </c>
      <c r="B1133">
        <v>93500</v>
      </c>
    </row>
    <row r="1134" spans="1:2" x14ac:dyDescent="0.25">
      <c r="A1134">
        <v>2210</v>
      </c>
      <c r="B1134">
        <v>117500</v>
      </c>
    </row>
    <row r="1135" spans="1:2" x14ac:dyDescent="0.25">
      <c r="A1135">
        <v>2020</v>
      </c>
      <c r="B1135">
        <v>239500</v>
      </c>
    </row>
    <row r="1136" spans="1:2" x14ac:dyDescent="0.25">
      <c r="A1136">
        <v>1600</v>
      </c>
      <c r="B1136">
        <v>169000</v>
      </c>
    </row>
    <row r="1137" spans="1:2" x14ac:dyDescent="0.25">
      <c r="A1137">
        <v>986</v>
      </c>
      <c r="B1137">
        <v>102000</v>
      </c>
    </row>
    <row r="1138" spans="1:2" x14ac:dyDescent="0.25">
      <c r="A1138">
        <v>1252</v>
      </c>
      <c r="B1138">
        <v>119000</v>
      </c>
    </row>
    <row r="1139" spans="1:2" x14ac:dyDescent="0.25">
      <c r="A1139">
        <v>1020</v>
      </c>
      <c r="B1139">
        <v>94000</v>
      </c>
    </row>
    <row r="1140" spans="1:2" x14ac:dyDescent="0.25">
      <c r="A1140">
        <v>1567</v>
      </c>
      <c r="B1140">
        <v>196000</v>
      </c>
    </row>
    <row r="1141" spans="1:2" x14ac:dyDescent="0.25">
      <c r="A1141">
        <v>1167</v>
      </c>
      <c r="B1141">
        <v>144000</v>
      </c>
    </row>
    <row r="1142" spans="1:2" x14ac:dyDescent="0.25">
      <c r="A1142">
        <v>952</v>
      </c>
      <c r="B1142">
        <v>139000</v>
      </c>
    </row>
    <row r="1143" spans="1:2" x14ac:dyDescent="0.25">
      <c r="A1143">
        <v>1868</v>
      </c>
      <c r="B1143">
        <v>197500</v>
      </c>
    </row>
    <row r="1144" spans="1:2" x14ac:dyDescent="0.25">
      <c r="A1144">
        <v>2828</v>
      </c>
      <c r="B1144">
        <v>424870</v>
      </c>
    </row>
    <row r="1145" spans="1:2" x14ac:dyDescent="0.25">
      <c r="A1145">
        <v>1006</v>
      </c>
      <c r="B1145">
        <v>80000</v>
      </c>
    </row>
    <row r="1146" spans="1:2" x14ac:dyDescent="0.25">
      <c r="A1146">
        <v>924</v>
      </c>
      <c r="B1146">
        <v>80000</v>
      </c>
    </row>
    <row r="1147" spans="1:2" x14ac:dyDescent="0.25">
      <c r="A1147">
        <v>1576</v>
      </c>
      <c r="B1147">
        <v>149000</v>
      </c>
    </row>
    <row r="1148" spans="1:2" x14ac:dyDescent="0.25">
      <c r="A1148">
        <v>1298</v>
      </c>
      <c r="B1148">
        <v>180000</v>
      </c>
    </row>
    <row r="1149" spans="1:2" x14ac:dyDescent="0.25">
      <c r="A1149">
        <v>1564</v>
      </c>
      <c r="B1149">
        <v>174500</v>
      </c>
    </row>
    <row r="1150" spans="1:2" x14ac:dyDescent="0.25">
      <c r="A1150">
        <v>1111</v>
      </c>
      <c r="B1150">
        <v>116900</v>
      </c>
    </row>
    <row r="1151" spans="1:2" x14ac:dyDescent="0.25">
      <c r="A1151">
        <v>1482</v>
      </c>
      <c r="B1151">
        <v>143000</v>
      </c>
    </row>
    <row r="1152" spans="1:2" x14ac:dyDescent="0.25">
      <c r="A1152">
        <v>932</v>
      </c>
      <c r="B1152">
        <v>124000</v>
      </c>
    </row>
    <row r="1153" spans="1:2" x14ac:dyDescent="0.25">
      <c r="A1153">
        <v>1466</v>
      </c>
      <c r="B1153">
        <v>149900</v>
      </c>
    </row>
    <row r="1154" spans="1:2" x14ac:dyDescent="0.25">
      <c r="A1154">
        <v>1811</v>
      </c>
      <c r="B1154">
        <v>230000</v>
      </c>
    </row>
    <row r="1155" spans="1:2" x14ac:dyDescent="0.25">
      <c r="A1155">
        <v>816</v>
      </c>
      <c r="B1155">
        <v>120500</v>
      </c>
    </row>
    <row r="1156" spans="1:2" x14ac:dyDescent="0.25">
      <c r="A1156">
        <v>1820</v>
      </c>
      <c r="B1156">
        <v>201800</v>
      </c>
    </row>
    <row r="1157" spans="1:2" x14ac:dyDescent="0.25">
      <c r="A1157">
        <v>1437</v>
      </c>
      <c r="B1157">
        <v>218000</v>
      </c>
    </row>
    <row r="1158" spans="1:2" x14ac:dyDescent="0.25">
      <c r="A1158">
        <v>1265</v>
      </c>
      <c r="B1158">
        <v>179900</v>
      </c>
    </row>
    <row r="1159" spans="1:2" x14ac:dyDescent="0.25">
      <c r="A1159">
        <v>1314</v>
      </c>
      <c r="B1159">
        <v>230000</v>
      </c>
    </row>
    <row r="1160" spans="1:2" x14ac:dyDescent="0.25">
      <c r="A1160">
        <v>1580</v>
      </c>
      <c r="B1160">
        <v>235128</v>
      </c>
    </row>
    <row r="1161" spans="1:2" x14ac:dyDescent="0.25">
      <c r="A1161">
        <v>1876</v>
      </c>
      <c r="B1161">
        <v>185000</v>
      </c>
    </row>
    <row r="1162" spans="1:2" x14ac:dyDescent="0.25">
      <c r="A1162">
        <v>1456</v>
      </c>
      <c r="B1162">
        <v>146000</v>
      </c>
    </row>
    <row r="1163" spans="1:2" x14ac:dyDescent="0.25">
      <c r="A1163">
        <v>1640</v>
      </c>
      <c r="B1163">
        <v>224000</v>
      </c>
    </row>
    <row r="1164" spans="1:2" x14ac:dyDescent="0.25">
      <c r="A1164">
        <v>894</v>
      </c>
      <c r="B1164">
        <v>129000</v>
      </c>
    </row>
    <row r="1165" spans="1:2" x14ac:dyDescent="0.25">
      <c r="A1165">
        <v>1258</v>
      </c>
      <c r="B1165">
        <v>108959</v>
      </c>
    </row>
    <row r="1166" spans="1:2" x14ac:dyDescent="0.25">
      <c r="A1166">
        <v>1432</v>
      </c>
      <c r="B1166">
        <v>194000</v>
      </c>
    </row>
    <row r="1167" spans="1:2" x14ac:dyDescent="0.25">
      <c r="A1167">
        <v>1502</v>
      </c>
      <c r="B1167">
        <v>233170</v>
      </c>
    </row>
    <row r="1168" spans="1:2" x14ac:dyDescent="0.25">
      <c r="A1168">
        <v>1694</v>
      </c>
      <c r="B1168">
        <v>245350</v>
      </c>
    </row>
    <row r="1169" spans="1:2" x14ac:dyDescent="0.25">
      <c r="A1169">
        <v>1671</v>
      </c>
      <c r="B1169">
        <v>173000</v>
      </c>
    </row>
    <row r="1170" spans="1:2" x14ac:dyDescent="0.25">
      <c r="A1170">
        <v>2108</v>
      </c>
      <c r="B1170">
        <v>235000</v>
      </c>
    </row>
    <row r="1171" spans="1:2" x14ac:dyDescent="0.25">
      <c r="A1171">
        <v>3627</v>
      </c>
      <c r="B1171">
        <v>625000</v>
      </c>
    </row>
    <row r="1172" spans="1:2" x14ac:dyDescent="0.25">
      <c r="A1172">
        <v>1118</v>
      </c>
      <c r="B1172">
        <v>171000</v>
      </c>
    </row>
    <row r="1173" spans="1:2" x14ac:dyDescent="0.25">
      <c r="A1173">
        <v>1261</v>
      </c>
      <c r="B1173">
        <v>163000</v>
      </c>
    </row>
    <row r="1174" spans="1:2" x14ac:dyDescent="0.25">
      <c r="A1174">
        <v>1250</v>
      </c>
      <c r="B1174">
        <v>171900</v>
      </c>
    </row>
    <row r="1175" spans="1:2" x14ac:dyDescent="0.25">
      <c r="A1175">
        <v>3086</v>
      </c>
      <c r="B1175">
        <v>200500</v>
      </c>
    </row>
    <row r="1176" spans="1:2" x14ac:dyDescent="0.25">
      <c r="A1176">
        <v>2345</v>
      </c>
      <c r="B1176">
        <v>239000</v>
      </c>
    </row>
    <row r="1177" spans="1:2" x14ac:dyDescent="0.25">
      <c r="A1177">
        <v>2872</v>
      </c>
      <c r="B1177">
        <v>285000</v>
      </c>
    </row>
    <row r="1178" spans="1:2" x14ac:dyDescent="0.25">
      <c r="A1178">
        <v>923</v>
      </c>
      <c r="B1178">
        <v>119500</v>
      </c>
    </row>
    <row r="1179" spans="1:2" x14ac:dyDescent="0.25">
      <c r="A1179">
        <v>1224</v>
      </c>
      <c r="B1179">
        <v>115000</v>
      </c>
    </row>
    <row r="1180" spans="1:2" x14ac:dyDescent="0.25">
      <c r="A1180">
        <v>1343</v>
      </c>
      <c r="B1180">
        <v>154900</v>
      </c>
    </row>
    <row r="1181" spans="1:2" x14ac:dyDescent="0.25">
      <c r="A1181">
        <v>1124</v>
      </c>
      <c r="B1181">
        <v>93000</v>
      </c>
    </row>
    <row r="1182" spans="1:2" x14ac:dyDescent="0.25">
      <c r="A1182">
        <v>2514</v>
      </c>
      <c r="B1182">
        <v>250000</v>
      </c>
    </row>
    <row r="1183" spans="1:2" x14ac:dyDescent="0.25">
      <c r="A1183">
        <v>1652</v>
      </c>
      <c r="B1183">
        <v>392500</v>
      </c>
    </row>
    <row r="1184" spans="1:2" x14ac:dyDescent="0.25">
      <c r="A1184">
        <v>4476</v>
      </c>
      <c r="B1184">
        <v>745000</v>
      </c>
    </row>
    <row r="1185" spans="1:2" x14ac:dyDescent="0.25">
      <c r="A1185">
        <v>1130</v>
      </c>
      <c r="B1185">
        <v>120000</v>
      </c>
    </row>
    <row r="1186" spans="1:2" x14ac:dyDescent="0.25">
      <c r="A1186">
        <v>1572</v>
      </c>
      <c r="B1186">
        <v>186700</v>
      </c>
    </row>
    <row r="1187" spans="1:2" x14ac:dyDescent="0.25">
      <c r="A1187">
        <v>1221</v>
      </c>
      <c r="B1187">
        <v>104900</v>
      </c>
    </row>
    <row r="1188" spans="1:2" x14ac:dyDescent="0.25">
      <c r="A1188">
        <v>1699</v>
      </c>
      <c r="B1188">
        <v>95000</v>
      </c>
    </row>
    <row r="1189" spans="1:2" x14ac:dyDescent="0.25">
      <c r="A1189">
        <v>1624</v>
      </c>
      <c r="B1189">
        <v>262000</v>
      </c>
    </row>
    <row r="1190" spans="1:2" x14ac:dyDescent="0.25">
      <c r="A1190">
        <v>1660</v>
      </c>
      <c r="B1190">
        <v>195000</v>
      </c>
    </row>
    <row r="1191" spans="1:2" x14ac:dyDescent="0.25">
      <c r="A1191">
        <v>1804</v>
      </c>
      <c r="B1191">
        <v>189000</v>
      </c>
    </row>
    <row r="1192" spans="1:2" x14ac:dyDescent="0.25">
      <c r="A1192">
        <v>1622</v>
      </c>
      <c r="B1192">
        <v>168000</v>
      </c>
    </row>
    <row r="1193" spans="1:2" x14ac:dyDescent="0.25">
      <c r="A1193">
        <v>1441</v>
      </c>
      <c r="B1193">
        <v>174000</v>
      </c>
    </row>
    <row r="1194" spans="1:2" x14ac:dyDescent="0.25">
      <c r="A1194">
        <v>1472</v>
      </c>
      <c r="B1194">
        <v>125000</v>
      </c>
    </row>
    <row r="1195" spans="1:2" x14ac:dyDescent="0.25">
      <c r="A1195">
        <v>1224</v>
      </c>
      <c r="B1195">
        <v>165000</v>
      </c>
    </row>
    <row r="1196" spans="1:2" x14ac:dyDescent="0.25">
      <c r="A1196">
        <v>1352</v>
      </c>
      <c r="B1196">
        <v>158000</v>
      </c>
    </row>
    <row r="1197" spans="1:2" x14ac:dyDescent="0.25">
      <c r="A1197">
        <v>1456</v>
      </c>
      <c r="B1197">
        <v>176000</v>
      </c>
    </row>
    <row r="1198" spans="1:2" x14ac:dyDescent="0.25">
      <c r="A1198">
        <v>1863</v>
      </c>
      <c r="B1198">
        <v>219210</v>
      </c>
    </row>
    <row r="1199" spans="1:2" x14ac:dyDescent="0.25">
      <c r="A1199">
        <v>1690</v>
      </c>
      <c r="B1199">
        <v>144000</v>
      </c>
    </row>
    <row r="1200" spans="1:2" x14ac:dyDescent="0.25">
      <c r="A1200">
        <v>1212</v>
      </c>
      <c r="B1200">
        <v>178000</v>
      </c>
    </row>
    <row r="1201" spans="1:2" x14ac:dyDescent="0.25">
      <c r="A1201">
        <v>1382</v>
      </c>
      <c r="B1201">
        <v>148000</v>
      </c>
    </row>
    <row r="1202" spans="1:2" x14ac:dyDescent="0.25">
      <c r="A1202">
        <v>864</v>
      </c>
      <c r="B1202">
        <v>116050</v>
      </c>
    </row>
    <row r="1203" spans="1:2" x14ac:dyDescent="0.25">
      <c r="A1203">
        <v>1779</v>
      </c>
      <c r="B1203">
        <v>197900</v>
      </c>
    </row>
    <row r="1204" spans="1:2" x14ac:dyDescent="0.25">
      <c r="A1204">
        <v>1348</v>
      </c>
      <c r="B1204">
        <v>117000</v>
      </c>
    </row>
    <row r="1205" spans="1:2" x14ac:dyDescent="0.25">
      <c r="A1205">
        <v>1630</v>
      </c>
      <c r="B1205">
        <v>213000</v>
      </c>
    </row>
    <row r="1206" spans="1:2" x14ac:dyDescent="0.25">
      <c r="A1206">
        <v>1074</v>
      </c>
      <c r="B1206">
        <v>153500</v>
      </c>
    </row>
    <row r="1207" spans="1:2" x14ac:dyDescent="0.25">
      <c r="A1207">
        <v>2196</v>
      </c>
      <c r="B1207">
        <v>271900</v>
      </c>
    </row>
    <row r="1208" spans="1:2" x14ac:dyDescent="0.25">
      <c r="A1208">
        <v>1056</v>
      </c>
      <c r="B1208">
        <v>107000</v>
      </c>
    </row>
    <row r="1209" spans="1:2" x14ac:dyDescent="0.25">
      <c r="A1209">
        <v>1700</v>
      </c>
      <c r="B1209">
        <v>200000</v>
      </c>
    </row>
    <row r="1210" spans="1:2" x14ac:dyDescent="0.25">
      <c r="A1210">
        <v>1283</v>
      </c>
      <c r="B1210">
        <v>140000</v>
      </c>
    </row>
    <row r="1211" spans="1:2" x14ac:dyDescent="0.25">
      <c r="A1211">
        <v>1660</v>
      </c>
      <c r="B1211">
        <v>290000</v>
      </c>
    </row>
    <row r="1212" spans="1:2" x14ac:dyDescent="0.25">
      <c r="A1212">
        <v>1845</v>
      </c>
      <c r="B1212">
        <v>189000</v>
      </c>
    </row>
    <row r="1213" spans="1:2" x14ac:dyDescent="0.25">
      <c r="A1213">
        <v>1752</v>
      </c>
      <c r="B1213">
        <v>164000</v>
      </c>
    </row>
    <row r="1214" spans="1:2" x14ac:dyDescent="0.25">
      <c r="A1214">
        <v>672</v>
      </c>
      <c r="B1214">
        <v>113000</v>
      </c>
    </row>
    <row r="1215" spans="1:2" x14ac:dyDescent="0.25">
      <c r="A1215">
        <v>960</v>
      </c>
      <c r="B1215">
        <v>145000</v>
      </c>
    </row>
    <row r="1216" spans="1:2" x14ac:dyDescent="0.25">
      <c r="A1216">
        <v>999</v>
      </c>
      <c r="B1216">
        <v>134500</v>
      </c>
    </row>
    <row r="1217" spans="1:2" x14ac:dyDescent="0.25">
      <c r="A1217">
        <v>894</v>
      </c>
      <c r="B1217">
        <v>125000</v>
      </c>
    </row>
    <row r="1218" spans="1:2" x14ac:dyDescent="0.25">
      <c r="A1218">
        <v>1902</v>
      </c>
      <c r="B1218">
        <v>112000</v>
      </c>
    </row>
    <row r="1219" spans="1:2" x14ac:dyDescent="0.25">
      <c r="A1219">
        <v>1314</v>
      </c>
      <c r="B1219">
        <v>229456</v>
      </c>
    </row>
    <row r="1220" spans="1:2" x14ac:dyDescent="0.25">
      <c r="A1220">
        <v>912</v>
      </c>
      <c r="B1220">
        <v>80500</v>
      </c>
    </row>
    <row r="1221" spans="1:2" x14ac:dyDescent="0.25">
      <c r="A1221">
        <v>1218</v>
      </c>
      <c r="B1221">
        <v>91500</v>
      </c>
    </row>
    <row r="1222" spans="1:2" x14ac:dyDescent="0.25">
      <c r="A1222">
        <v>912</v>
      </c>
      <c r="B1222">
        <v>115000</v>
      </c>
    </row>
    <row r="1223" spans="1:2" x14ac:dyDescent="0.25">
      <c r="A1223">
        <v>1211</v>
      </c>
      <c r="B1223">
        <v>134000</v>
      </c>
    </row>
    <row r="1224" spans="1:2" x14ac:dyDescent="0.25">
      <c r="A1224">
        <v>1846</v>
      </c>
      <c r="B1224">
        <v>143000</v>
      </c>
    </row>
    <row r="1225" spans="1:2" x14ac:dyDescent="0.25">
      <c r="A1225">
        <v>2136</v>
      </c>
      <c r="B1225">
        <v>137900</v>
      </c>
    </row>
    <row r="1226" spans="1:2" x14ac:dyDescent="0.25">
      <c r="A1226">
        <v>1490</v>
      </c>
      <c r="B1226">
        <v>184000</v>
      </c>
    </row>
    <row r="1227" spans="1:2" x14ac:dyDescent="0.25">
      <c r="A1227">
        <v>1138</v>
      </c>
      <c r="B1227">
        <v>145000</v>
      </c>
    </row>
    <row r="1228" spans="1:2" x14ac:dyDescent="0.25">
      <c r="A1228">
        <v>1933</v>
      </c>
      <c r="B1228">
        <v>214000</v>
      </c>
    </row>
    <row r="1229" spans="1:2" x14ac:dyDescent="0.25">
      <c r="A1229">
        <v>912</v>
      </c>
      <c r="B1229">
        <v>147000</v>
      </c>
    </row>
    <row r="1230" spans="1:2" x14ac:dyDescent="0.25">
      <c r="A1230">
        <v>1702</v>
      </c>
      <c r="B1230">
        <v>367294</v>
      </c>
    </row>
    <row r="1231" spans="1:2" x14ac:dyDescent="0.25">
      <c r="A1231">
        <v>1507</v>
      </c>
      <c r="B1231">
        <v>127000</v>
      </c>
    </row>
    <row r="1232" spans="1:2" x14ac:dyDescent="0.25">
      <c r="A1232">
        <v>2620</v>
      </c>
      <c r="B1232">
        <v>190000</v>
      </c>
    </row>
    <row r="1233" spans="1:2" x14ac:dyDescent="0.25">
      <c r="A1233">
        <v>1190</v>
      </c>
      <c r="B1233">
        <v>132500</v>
      </c>
    </row>
    <row r="1234" spans="1:2" x14ac:dyDescent="0.25">
      <c r="A1234">
        <v>1224</v>
      </c>
      <c r="B1234">
        <v>101800</v>
      </c>
    </row>
    <row r="1235" spans="1:2" x14ac:dyDescent="0.25">
      <c r="A1235">
        <v>1188</v>
      </c>
      <c r="B1235">
        <v>142000</v>
      </c>
    </row>
    <row r="1236" spans="1:2" x14ac:dyDescent="0.25">
      <c r="A1236">
        <v>1964</v>
      </c>
      <c r="B1236">
        <v>130000</v>
      </c>
    </row>
    <row r="1237" spans="1:2" x14ac:dyDescent="0.25">
      <c r="A1237">
        <v>1784</v>
      </c>
      <c r="B1237">
        <v>138887</v>
      </c>
    </row>
    <row r="1238" spans="1:2" x14ac:dyDescent="0.25">
      <c r="A1238">
        <v>1626</v>
      </c>
      <c r="B1238">
        <v>175500</v>
      </c>
    </row>
    <row r="1239" spans="1:2" x14ac:dyDescent="0.25">
      <c r="A1239">
        <v>1948</v>
      </c>
      <c r="B1239">
        <v>195000</v>
      </c>
    </row>
    <row r="1240" spans="1:2" x14ac:dyDescent="0.25">
      <c r="A1240">
        <v>1141</v>
      </c>
      <c r="B1240">
        <v>142500</v>
      </c>
    </row>
    <row r="1241" spans="1:2" x14ac:dyDescent="0.25">
      <c r="A1241">
        <v>1484</v>
      </c>
      <c r="B1241">
        <v>265900</v>
      </c>
    </row>
    <row r="1242" spans="1:2" x14ac:dyDescent="0.25">
      <c r="A1242">
        <v>1768</v>
      </c>
      <c r="B1242">
        <v>224900</v>
      </c>
    </row>
    <row r="1243" spans="1:2" x14ac:dyDescent="0.25">
      <c r="A1243">
        <v>1689</v>
      </c>
      <c r="B1243">
        <v>248328</v>
      </c>
    </row>
    <row r="1244" spans="1:2" x14ac:dyDescent="0.25">
      <c r="A1244">
        <v>1173</v>
      </c>
      <c r="B1244">
        <v>170000</v>
      </c>
    </row>
    <row r="1245" spans="1:2" x14ac:dyDescent="0.25">
      <c r="A1245">
        <v>2076</v>
      </c>
      <c r="B1245">
        <v>465000</v>
      </c>
    </row>
    <row r="1246" spans="1:2" x14ac:dyDescent="0.25">
      <c r="A1246">
        <v>1517</v>
      </c>
      <c r="B1246">
        <v>230000</v>
      </c>
    </row>
    <row r="1247" spans="1:2" x14ac:dyDescent="0.25">
      <c r="A1247">
        <v>1868</v>
      </c>
      <c r="B1247">
        <v>178000</v>
      </c>
    </row>
    <row r="1248" spans="1:2" x14ac:dyDescent="0.25">
      <c r="A1248">
        <v>1553</v>
      </c>
      <c r="B1248">
        <v>186500</v>
      </c>
    </row>
    <row r="1249" spans="1:2" x14ac:dyDescent="0.25">
      <c r="A1249">
        <v>1034</v>
      </c>
      <c r="B1249">
        <v>169900</v>
      </c>
    </row>
    <row r="1250" spans="1:2" x14ac:dyDescent="0.25">
      <c r="A1250">
        <v>2058</v>
      </c>
      <c r="B1250">
        <v>129500</v>
      </c>
    </row>
    <row r="1251" spans="1:2" x14ac:dyDescent="0.25">
      <c r="A1251">
        <v>988</v>
      </c>
      <c r="B1251">
        <v>119000</v>
      </c>
    </row>
    <row r="1252" spans="1:2" x14ac:dyDescent="0.25">
      <c r="A1252">
        <v>2110</v>
      </c>
      <c r="B1252">
        <v>244000</v>
      </c>
    </row>
    <row r="1253" spans="1:2" x14ac:dyDescent="0.25">
      <c r="A1253">
        <v>1405</v>
      </c>
      <c r="B1253">
        <v>171750</v>
      </c>
    </row>
    <row r="1254" spans="1:2" x14ac:dyDescent="0.25">
      <c r="A1254">
        <v>874</v>
      </c>
      <c r="B1254">
        <v>130000</v>
      </c>
    </row>
    <row r="1255" spans="1:2" x14ac:dyDescent="0.25">
      <c r="A1255">
        <v>2167</v>
      </c>
      <c r="B1255">
        <v>294000</v>
      </c>
    </row>
    <row r="1256" spans="1:2" x14ac:dyDescent="0.25">
      <c r="A1256">
        <v>1656</v>
      </c>
      <c r="B1256">
        <v>165400</v>
      </c>
    </row>
    <row r="1257" spans="1:2" x14ac:dyDescent="0.25">
      <c r="A1257">
        <v>1367</v>
      </c>
      <c r="B1257">
        <v>127500</v>
      </c>
    </row>
    <row r="1258" spans="1:2" x14ac:dyDescent="0.25">
      <c r="A1258">
        <v>1987</v>
      </c>
      <c r="B1258">
        <v>301500</v>
      </c>
    </row>
    <row r="1259" spans="1:2" x14ac:dyDescent="0.25">
      <c r="A1259">
        <v>864</v>
      </c>
      <c r="B1259">
        <v>99900</v>
      </c>
    </row>
    <row r="1260" spans="1:2" x14ac:dyDescent="0.25">
      <c r="A1260">
        <v>1166</v>
      </c>
      <c r="B1260">
        <v>190000</v>
      </c>
    </row>
    <row r="1261" spans="1:2" x14ac:dyDescent="0.25">
      <c r="A1261">
        <v>1054</v>
      </c>
      <c r="B1261">
        <v>151000</v>
      </c>
    </row>
    <row r="1262" spans="1:2" x14ac:dyDescent="0.25">
      <c r="A1262">
        <v>1675</v>
      </c>
      <c r="B1262">
        <v>181000</v>
      </c>
    </row>
    <row r="1263" spans="1:2" x14ac:dyDescent="0.25">
      <c r="A1263">
        <v>1050</v>
      </c>
      <c r="B1263">
        <v>128900</v>
      </c>
    </row>
    <row r="1264" spans="1:2" x14ac:dyDescent="0.25">
      <c r="A1264">
        <v>1788</v>
      </c>
      <c r="B1264">
        <v>161500</v>
      </c>
    </row>
    <row r="1265" spans="1:2" x14ac:dyDescent="0.25">
      <c r="A1265">
        <v>1824</v>
      </c>
      <c r="B1265">
        <v>180500</v>
      </c>
    </row>
    <row r="1266" spans="1:2" x14ac:dyDescent="0.25">
      <c r="A1266">
        <v>1337</v>
      </c>
      <c r="B1266">
        <v>181000</v>
      </c>
    </row>
    <row r="1267" spans="1:2" x14ac:dyDescent="0.25">
      <c r="A1267">
        <v>1452</v>
      </c>
      <c r="B1267">
        <v>183900</v>
      </c>
    </row>
    <row r="1268" spans="1:2" x14ac:dyDescent="0.25">
      <c r="A1268">
        <v>1889</v>
      </c>
      <c r="B1268">
        <v>122000</v>
      </c>
    </row>
    <row r="1269" spans="1:2" x14ac:dyDescent="0.25">
      <c r="A1269">
        <v>2018</v>
      </c>
      <c r="B1269">
        <v>378500</v>
      </c>
    </row>
    <row r="1270" spans="1:2" x14ac:dyDescent="0.25">
      <c r="A1270">
        <v>3447</v>
      </c>
      <c r="B1270">
        <v>381000</v>
      </c>
    </row>
    <row r="1271" spans="1:2" x14ac:dyDescent="0.25">
      <c r="A1271">
        <v>1524</v>
      </c>
      <c r="B1271">
        <v>144000</v>
      </c>
    </row>
    <row r="1272" spans="1:2" x14ac:dyDescent="0.25">
      <c r="A1272">
        <v>1524</v>
      </c>
      <c r="B1272">
        <v>260000</v>
      </c>
    </row>
    <row r="1273" spans="1:2" x14ac:dyDescent="0.25">
      <c r="A1273">
        <v>1489</v>
      </c>
      <c r="B1273">
        <v>185750</v>
      </c>
    </row>
    <row r="1274" spans="1:2" x14ac:dyDescent="0.25">
      <c r="A1274">
        <v>935</v>
      </c>
      <c r="B1274">
        <v>137000</v>
      </c>
    </row>
    <row r="1275" spans="1:2" x14ac:dyDescent="0.25">
      <c r="A1275">
        <v>1357</v>
      </c>
      <c r="B1275">
        <v>177000</v>
      </c>
    </row>
    <row r="1276" spans="1:2" x14ac:dyDescent="0.25">
      <c r="A1276">
        <v>1250</v>
      </c>
      <c r="B1276">
        <v>139000</v>
      </c>
    </row>
    <row r="1277" spans="1:2" x14ac:dyDescent="0.25">
      <c r="A1277">
        <v>1920</v>
      </c>
      <c r="B1277">
        <v>137000</v>
      </c>
    </row>
    <row r="1278" spans="1:2" x14ac:dyDescent="0.25">
      <c r="A1278">
        <v>1395</v>
      </c>
      <c r="B1278">
        <v>162000</v>
      </c>
    </row>
    <row r="1279" spans="1:2" x14ac:dyDescent="0.25">
      <c r="A1279">
        <v>1724</v>
      </c>
      <c r="B1279">
        <v>197900</v>
      </c>
    </row>
    <row r="1280" spans="1:2" x14ac:dyDescent="0.25">
      <c r="A1280">
        <v>2031</v>
      </c>
      <c r="B1280">
        <v>237000</v>
      </c>
    </row>
    <row r="1281" spans="1:2" x14ac:dyDescent="0.25">
      <c r="A1281">
        <v>1128</v>
      </c>
      <c r="B1281">
        <v>68400</v>
      </c>
    </row>
    <row r="1282" spans="1:2" x14ac:dyDescent="0.25">
      <c r="A1282">
        <v>1573</v>
      </c>
      <c r="B1282">
        <v>227000</v>
      </c>
    </row>
    <row r="1283" spans="1:2" x14ac:dyDescent="0.25">
      <c r="A1283">
        <v>1339</v>
      </c>
      <c r="B1283">
        <v>180000</v>
      </c>
    </row>
    <row r="1284" spans="1:2" x14ac:dyDescent="0.25">
      <c r="A1284">
        <v>1040</v>
      </c>
      <c r="B1284">
        <v>150500</v>
      </c>
    </row>
    <row r="1285" spans="1:2" x14ac:dyDescent="0.25">
      <c r="A1285">
        <v>1824</v>
      </c>
      <c r="B1285">
        <v>139000</v>
      </c>
    </row>
    <row r="1286" spans="1:2" x14ac:dyDescent="0.25">
      <c r="A1286">
        <v>2447</v>
      </c>
      <c r="B1286">
        <v>169000</v>
      </c>
    </row>
    <row r="1287" spans="1:2" x14ac:dyDescent="0.25">
      <c r="A1287">
        <v>1412</v>
      </c>
      <c r="B1287">
        <v>132500</v>
      </c>
    </row>
    <row r="1288" spans="1:2" x14ac:dyDescent="0.25">
      <c r="A1288">
        <v>1328</v>
      </c>
      <c r="B1288">
        <v>143000</v>
      </c>
    </row>
    <row r="1289" spans="1:2" x14ac:dyDescent="0.25">
      <c r="A1289">
        <v>1582</v>
      </c>
      <c r="B1289">
        <v>190000</v>
      </c>
    </row>
    <row r="1290" spans="1:2" x14ac:dyDescent="0.25">
      <c r="A1290">
        <v>1659</v>
      </c>
      <c r="B1290">
        <v>278000</v>
      </c>
    </row>
    <row r="1291" spans="1:2" x14ac:dyDescent="0.25">
      <c r="A1291">
        <v>1970</v>
      </c>
      <c r="B1291">
        <v>281000</v>
      </c>
    </row>
    <row r="1292" spans="1:2" x14ac:dyDescent="0.25">
      <c r="A1292">
        <v>1152</v>
      </c>
      <c r="B1292">
        <v>180500</v>
      </c>
    </row>
    <row r="1293" spans="1:2" x14ac:dyDescent="0.25">
      <c r="A1293">
        <v>1302</v>
      </c>
      <c r="B1293">
        <v>119500</v>
      </c>
    </row>
    <row r="1294" spans="1:2" x14ac:dyDescent="0.25">
      <c r="A1294">
        <v>2372</v>
      </c>
      <c r="B1294">
        <v>107500</v>
      </c>
    </row>
    <row r="1295" spans="1:2" x14ac:dyDescent="0.25">
      <c r="A1295">
        <v>1664</v>
      </c>
      <c r="B1295">
        <v>162900</v>
      </c>
    </row>
    <row r="1296" spans="1:2" x14ac:dyDescent="0.25">
      <c r="A1296">
        <v>864</v>
      </c>
      <c r="B1296">
        <v>115000</v>
      </c>
    </row>
    <row r="1297" spans="1:2" x14ac:dyDescent="0.25">
      <c r="A1297">
        <v>1052</v>
      </c>
      <c r="B1297">
        <v>138500</v>
      </c>
    </row>
    <row r="1298" spans="1:2" x14ac:dyDescent="0.25">
      <c r="A1298">
        <v>1128</v>
      </c>
      <c r="B1298">
        <v>155000</v>
      </c>
    </row>
    <row r="1299" spans="1:2" x14ac:dyDescent="0.25">
      <c r="A1299">
        <v>1072</v>
      </c>
      <c r="B1299">
        <v>140000</v>
      </c>
    </row>
    <row r="1300" spans="1:2" x14ac:dyDescent="0.25">
      <c r="A1300">
        <v>5642</v>
      </c>
      <c r="B1300">
        <v>160000</v>
      </c>
    </row>
    <row r="1301" spans="1:2" x14ac:dyDescent="0.25">
      <c r="A1301">
        <v>1246</v>
      </c>
      <c r="B1301">
        <v>154000</v>
      </c>
    </row>
    <row r="1302" spans="1:2" x14ac:dyDescent="0.25">
      <c r="A1302">
        <v>1983</v>
      </c>
      <c r="B1302">
        <v>225000</v>
      </c>
    </row>
    <row r="1303" spans="1:2" x14ac:dyDescent="0.25">
      <c r="A1303">
        <v>1494</v>
      </c>
      <c r="B1303">
        <v>177500</v>
      </c>
    </row>
    <row r="1304" spans="1:2" x14ac:dyDescent="0.25">
      <c r="A1304">
        <v>2526</v>
      </c>
      <c r="B1304">
        <v>290000</v>
      </c>
    </row>
    <row r="1305" spans="1:2" x14ac:dyDescent="0.25">
      <c r="A1305">
        <v>1616</v>
      </c>
      <c r="B1305">
        <v>232000</v>
      </c>
    </row>
    <row r="1306" spans="1:2" x14ac:dyDescent="0.25">
      <c r="A1306">
        <v>1708</v>
      </c>
      <c r="B1306">
        <v>130000</v>
      </c>
    </row>
    <row r="1307" spans="1:2" x14ac:dyDescent="0.25">
      <c r="A1307">
        <v>1652</v>
      </c>
      <c r="B1307">
        <v>325000</v>
      </c>
    </row>
    <row r="1308" spans="1:2" x14ac:dyDescent="0.25">
      <c r="A1308">
        <v>1368</v>
      </c>
      <c r="B1308">
        <v>202500</v>
      </c>
    </row>
    <row r="1309" spans="1:2" x14ac:dyDescent="0.25">
      <c r="A1309">
        <v>990</v>
      </c>
      <c r="B1309">
        <v>138000</v>
      </c>
    </row>
    <row r="1310" spans="1:2" x14ac:dyDescent="0.25">
      <c r="A1310">
        <v>1122</v>
      </c>
      <c r="B1310">
        <v>147000</v>
      </c>
    </row>
    <row r="1311" spans="1:2" x14ac:dyDescent="0.25">
      <c r="A1311">
        <v>1294</v>
      </c>
      <c r="B1311">
        <v>179200</v>
      </c>
    </row>
    <row r="1312" spans="1:2" x14ac:dyDescent="0.25">
      <c r="A1312">
        <v>1902</v>
      </c>
      <c r="B1312">
        <v>335000</v>
      </c>
    </row>
    <row r="1313" spans="1:2" x14ac:dyDescent="0.25">
      <c r="A1313">
        <v>1274</v>
      </c>
      <c r="B1313">
        <v>203000</v>
      </c>
    </row>
    <row r="1314" spans="1:2" x14ac:dyDescent="0.25">
      <c r="A1314">
        <v>2810</v>
      </c>
      <c r="B1314">
        <v>302000</v>
      </c>
    </row>
    <row r="1315" spans="1:2" x14ac:dyDescent="0.25">
      <c r="A1315">
        <v>2599</v>
      </c>
      <c r="B1315">
        <v>333168</v>
      </c>
    </row>
    <row r="1316" spans="1:2" x14ac:dyDescent="0.25">
      <c r="A1316">
        <v>948</v>
      </c>
      <c r="B1316">
        <v>119000</v>
      </c>
    </row>
    <row r="1317" spans="1:2" x14ac:dyDescent="0.25">
      <c r="A1317">
        <v>2112</v>
      </c>
      <c r="B1317">
        <v>206900</v>
      </c>
    </row>
    <row r="1318" spans="1:2" x14ac:dyDescent="0.25">
      <c r="A1318">
        <v>1630</v>
      </c>
      <c r="B1318">
        <v>295493</v>
      </c>
    </row>
    <row r="1319" spans="1:2" x14ac:dyDescent="0.25">
      <c r="A1319">
        <v>1352</v>
      </c>
      <c r="B1319">
        <v>208900</v>
      </c>
    </row>
    <row r="1320" spans="1:2" x14ac:dyDescent="0.25">
      <c r="A1320">
        <v>1787</v>
      </c>
      <c r="B1320">
        <v>275000</v>
      </c>
    </row>
    <row r="1321" spans="1:2" x14ac:dyDescent="0.25">
      <c r="A1321">
        <v>948</v>
      </c>
      <c r="B1321">
        <v>111000</v>
      </c>
    </row>
    <row r="1322" spans="1:2" x14ac:dyDescent="0.25">
      <c r="A1322">
        <v>1478</v>
      </c>
      <c r="B1322">
        <v>156500</v>
      </c>
    </row>
    <row r="1323" spans="1:2" x14ac:dyDescent="0.25">
      <c r="A1323">
        <v>720</v>
      </c>
      <c r="B1323">
        <v>72500</v>
      </c>
    </row>
    <row r="1324" spans="1:2" x14ac:dyDescent="0.25">
      <c r="A1324">
        <v>1923</v>
      </c>
      <c r="B1324">
        <v>190000</v>
      </c>
    </row>
    <row r="1325" spans="1:2" x14ac:dyDescent="0.25">
      <c r="A1325">
        <v>708</v>
      </c>
      <c r="B1325">
        <v>82500</v>
      </c>
    </row>
    <row r="1326" spans="1:2" x14ac:dyDescent="0.25">
      <c r="A1326">
        <v>1795</v>
      </c>
      <c r="B1326">
        <v>147000</v>
      </c>
    </row>
    <row r="1327" spans="1:2" x14ac:dyDescent="0.25">
      <c r="A1327">
        <v>796</v>
      </c>
      <c r="B1327">
        <v>55000</v>
      </c>
    </row>
    <row r="1328" spans="1:2" x14ac:dyDescent="0.25">
      <c r="A1328">
        <v>774</v>
      </c>
      <c r="B1328">
        <v>79000</v>
      </c>
    </row>
    <row r="1329" spans="1:2" x14ac:dyDescent="0.25">
      <c r="A1329">
        <v>816</v>
      </c>
      <c r="B1329">
        <v>130500</v>
      </c>
    </row>
    <row r="1330" spans="1:2" x14ac:dyDescent="0.25">
      <c r="A1330">
        <v>2792</v>
      </c>
      <c r="B1330">
        <v>256000</v>
      </c>
    </row>
    <row r="1331" spans="1:2" x14ac:dyDescent="0.25">
      <c r="A1331">
        <v>1632</v>
      </c>
      <c r="B1331">
        <v>176500</v>
      </c>
    </row>
    <row r="1332" spans="1:2" x14ac:dyDescent="0.25">
      <c r="A1332">
        <v>1588</v>
      </c>
      <c r="B1332">
        <v>227000</v>
      </c>
    </row>
    <row r="1333" spans="1:2" x14ac:dyDescent="0.25">
      <c r="A1333">
        <v>954</v>
      </c>
      <c r="B1333">
        <v>132500</v>
      </c>
    </row>
    <row r="1334" spans="1:2" x14ac:dyDescent="0.25">
      <c r="A1334">
        <v>816</v>
      </c>
      <c r="B1334">
        <v>100000</v>
      </c>
    </row>
    <row r="1335" spans="1:2" x14ac:dyDescent="0.25">
      <c r="A1335">
        <v>1360</v>
      </c>
      <c r="B1335">
        <v>125500</v>
      </c>
    </row>
    <row r="1336" spans="1:2" x14ac:dyDescent="0.25">
      <c r="A1336">
        <v>1365</v>
      </c>
      <c r="B1336">
        <v>125000</v>
      </c>
    </row>
    <row r="1337" spans="1:2" x14ac:dyDescent="0.25">
      <c r="A1337">
        <v>1334</v>
      </c>
      <c r="B1337">
        <v>167900</v>
      </c>
    </row>
    <row r="1338" spans="1:2" x14ac:dyDescent="0.25">
      <c r="A1338">
        <v>1656</v>
      </c>
      <c r="B1338">
        <v>135000</v>
      </c>
    </row>
    <row r="1339" spans="1:2" x14ac:dyDescent="0.25">
      <c r="A1339">
        <v>693</v>
      </c>
      <c r="B1339">
        <v>52500</v>
      </c>
    </row>
    <row r="1340" spans="1:2" x14ac:dyDescent="0.25">
      <c r="A1340">
        <v>1861</v>
      </c>
      <c r="B1340">
        <v>200000</v>
      </c>
    </row>
    <row r="1341" spans="1:2" x14ac:dyDescent="0.25">
      <c r="A1341">
        <v>864</v>
      </c>
      <c r="B1341">
        <v>128500</v>
      </c>
    </row>
    <row r="1342" spans="1:2" x14ac:dyDescent="0.25">
      <c r="A1342">
        <v>872</v>
      </c>
      <c r="B1342">
        <v>123000</v>
      </c>
    </row>
    <row r="1343" spans="1:2" x14ac:dyDescent="0.25">
      <c r="A1343">
        <v>1114</v>
      </c>
      <c r="B1343">
        <v>155000</v>
      </c>
    </row>
    <row r="1344" spans="1:2" x14ac:dyDescent="0.25">
      <c r="A1344">
        <v>2169</v>
      </c>
      <c r="B1344">
        <v>228500</v>
      </c>
    </row>
    <row r="1345" spans="1:2" x14ac:dyDescent="0.25">
      <c r="A1345">
        <v>1913</v>
      </c>
      <c r="B1345">
        <v>177000</v>
      </c>
    </row>
    <row r="1346" spans="1:2" x14ac:dyDescent="0.25">
      <c r="A1346">
        <v>1456</v>
      </c>
      <c r="B1346">
        <v>155835</v>
      </c>
    </row>
    <row r="1347" spans="1:2" x14ac:dyDescent="0.25">
      <c r="A1347">
        <v>960</v>
      </c>
      <c r="B1347">
        <v>108500</v>
      </c>
    </row>
    <row r="1348" spans="1:2" x14ac:dyDescent="0.25">
      <c r="A1348">
        <v>2156</v>
      </c>
      <c r="B1348">
        <v>262500</v>
      </c>
    </row>
    <row r="1349" spans="1:2" x14ac:dyDescent="0.25">
      <c r="A1349">
        <v>1776</v>
      </c>
      <c r="B1349">
        <v>283463</v>
      </c>
    </row>
    <row r="1350" spans="1:2" x14ac:dyDescent="0.25">
      <c r="A1350">
        <v>1494</v>
      </c>
      <c r="B1350">
        <v>215000</v>
      </c>
    </row>
    <row r="1351" spans="1:2" x14ac:dyDescent="0.25">
      <c r="A1351">
        <v>2358</v>
      </c>
      <c r="B1351">
        <v>122000</v>
      </c>
    </row>
    <row r="1352" spans="1:2" x14ac:dyDescent="0.25">
      <c r="A1352">
        <v>2634</v>
      </c>
      <c r="B1352">
        <v>200000</v>
      </c>
    </row>
    <row r="1353" spans="1:2" x14ac:dyDescent="0.25">
      <c r="A1353">
        <v>1716</v>
      </c>
      <c r="B1353">
        <v>171000</v>
      </c>
    </row>
    <row r="1354" spans="1:2" x14ac:dyDescent="0.25">
      <c r="A1354">
        <v>1176</v>
      </c>
      <c r="B1354">
        <v>134900</v>
      </c>
    </row>
    <row r="1355" spans="1:2" x14ac:dyDescent="0.25">
      <c r="A1355">
        <v>3238</v>
      </c>
      <c r="B1355">
        <v>410000</v>
      </c>
    </row>
    <row r="1356" spans="1:2" x14ac:dyDescent="0.25">
      <c r="A1356">
        <v>1865</v>
      </c>
      <c r="B1356">
        <v>235000</v>
      </c>
    </row>
    <row r="1357" spans="1:2" x14ac:dyDescent="0.25">
      <c r="A1357">
        <v>1920</v>
      </c>
      <c r="B1357">
        <v>170000</v>
      </c>
    </row>
    <row r="1358" spans="1:2" x14ac:dyDescent="0.25">
      <c r="A1358">
        <v>892</v>
      </c>
      <c r="B1358">
        <v>110000</v>
      </c>
    </row>
    <row r="1359" spans="1:2" x14ac:dyDescent="0.25">
      <c r="A1359">
        <v>1078</v>
      </c>
      <c r="B1359">
        <v>149900</v>
      </c>
    </row>
    <row r="1360" spans="1:2" x14ac:dyDescent="0.25">
      <c r="A1360">
        <v>1573</v>
      </c>
      <c r="B1360">
        <v>177500</v>
      </c>
    </row>
    <row r="1361" spans="1:2" x14ac:dyDescent="0.25">
      <c r="A1361">
        <v>1980</v>
      </c>
      <c r="B1361">
        <v>315000</v>
      </c>
    </row>
    <row r="1362" spans="1:2" x14ac:dyDescent="0.25">
      <c r="A1362">
        <v>2601</v>
      </c>
      <c r="B1362">
        <v>189000</v>
      </c>
    </row>
    <row r="1363" spans="1:2" x14ac:dyDescent="0.25">
      <c r="A1363">
        <v>1530</v>
      </c>
      <c r="B1363">
        <v>260000</v>
      </c>
    </row>
    <row r="1364" spans="1:2" x14ac:dyDescent="0.25">
      <c r="A1364">
        <v>1738</v>
      </c>
      <c r="B1364">
        <v>104900</v>
      </c>
    </row>
    <row r="1365" spans="1:2" x14ac:dyDescent="0.25">
      <c r="A1365">
        <v>1412</v>
      </c>
      <c r="B1365">
        <v>156932</v>
      </c>
    </row>
    <row r="1366" spans="1:2" x14ac:dyDescent="0.25">
      <c r="A1366">
        <v>1200</v>
      </c>
      <c r="B1366">
        <v>144152</v>
      </c>
    </row>
    <row r="1367" spans="1:2" x14ac:dyDescent="0.25">
      <c r="A1367">
        <v>1674</v>
      </c>
      <c r="B1367">
        <v>216000</v>
      </c>
    </row>
    <row r="1368" spans="1:2" x14ac:dyDescent="0.25">
      <c r="A1368">
        <v>1790</v>
      </c>
      <c r="B1368">
        <v>193000</v>
      </c>
    </row>
    <row r="1369" spans="1:2" x14ac:dyDescent="0.25">
      <c r="A1369">
        <v>1475</v>
      </c>
      <c r="B1369">
        <v>127000</v>
      </c>
    </row>
    <row r="1370" spans="1:2" x14ac:dyDescent="0.25">
      <c r="A1370">
        <v>848</v>
      </c>
      <c r="B1370">
        <v>144000</v>
      </c>
    </row>
    <row r="1371" spans="1:2" x14ac:dyDescent="0.25">
      <c r="A1371">
        <v>1668</v>
      </c>
      <c r="B1371">
        <v>232000</v>
      </c>
    </row>
    <row r="1372" spans="1:2" x14ac:dyDescent="0.25">
      <c r="A1372">
        <v>1374</v>
      </c>
      <c r="B1372">
        <v>105000</v>
      </c>
    </row>
    <row r="1373" spans="1:2" x14ac:dyDescent="0.25">
      <c r="A1373">
        <v>1661</v>
      </c>
      <c r="B1373">
        <v>165500</v>
      </c>
    </row>
    <row r="1374" spans="1:2" x14ac:dyDescent="0.25">
      <c r="A1374">
        <v>2097</v>
      </c>
      <c r="B1374">
        <v>274300</v>
      </c>
    </row>
    <row r="1375" spans="1:2" x14ac:dyDescent="0.25">
      <c r="A1375">
        <v>2633</v>
      </c>
      <c r="B1375">
        <v>466500</v>
      </c>
    </row>
    <row r="1376" spans="1:2" x14ac:dyDescent="0.25">
      <c r="A1376">
        <v>1958</v>
      </c>
      <c r="B1376">
        <v>250000</v>
      </c>
    </row>
    <row r="1377" spans="1:2" x14ac:dyDescent="0.25">
      <c r="A1377">
        <v>1571</v>
      </c>
      <c r="B1377">
        <v>239000</v>
      </c>
    </row>
    <row r="1378" spans="1:2" x14ac:dyDescent="0.25">
      <c r="A1378">
        <v>790</v>
      </c>
      <c r="B1378">
        <v>91000</v>
      </c>
    </row>
    <row r="1379" spans="1:2" x14ac:dyDescent="0.25">
      <c r="A1379">
        <v>1604</v>
      </c>
      <c r="B1379">
        <v>117000</v>
      </c>
    </row>
    <row r="1380" spans="1:2" x14ac:dyDescent="0.25">
      <c r="A1380">
        <v>987</v>
      </c>
      <c r="B1380">
        <v>83000</v>
      </c>
    </row>
    <row r="1381" spans="1:2" x14ac:dyDescent="0.25">
      <c r="A1381">
        <v>1394</v>
      </c>
      <c r="B1381">
        <v>167500</v>
      </c>
    </row>
    <row r="1382" spans="1:2" x14ac:dyDescent="0.25">
      <c r="A1382">
        <v>864</v>
      </c>
      <c r="B1382">
        <v>58500</v>
      </c>
    </row>
    <row r="1383" spans="1:2" x14ac:dyDescent="0.25">
      <c r="A1383">
        <v>2117</v>
      </c>
      <c r="B1383">
        <v>237500</v>
      </c>
    </row>
    <row r="1384" spans="1:2" x14ac:dyDescent="0.25">
      <c r="A1384">
        <v>1762</v>
      </c>
      <c r="B1384">
        <v>157000</v>
      </c>
    </row>
    <row r="1385" spans="1:2" x14ac:dyDescent="0.25">
      <c r="A1385">
        <v>1416</v>
      </c>
      <c r="B1385">
        <v>112000</v>
      </c>
    </row>
    <row r="1386" spans="1:2" x14ac:dyDescent="0.25">
      <c r="A1386">
        <v>1258</v>
      </c>
      <c r="B1386">
        <v>105000</v>
      </c>
    </row>
    <row r="1387" spans="1:2" x14ac:dyDescent="0.25">
      <c r="A1387">
        <v>1154</v>
      </c>
      <c r="B1387">
        <v>125500</v>
      </c>
    </row>
    <row r="1388" spans="1:2" x14ac:dyDescent="0.25">
      <c r="A1388">
        <v>2784</v>
      </c>
      <c r="B1388">
        <v>250000</v>
      </c>
    </row>
    <row r="1389" spans="1:2" x14ac:dyDescent="0.25">
      <c r="A1389">
        <v>2526</v>
      </c>
      <c r="B1389">
        <v>136000</v>
      </c>
    </row>
    <row r="1390" spans="1:2" x14ac:dyDescent="0.25">
      <c r="A1390">
        <v>1746</v>
      </c>
      <c r="B1390">
        <v>377500</v>
      </c>
    </row>
    <row r="1391" spans="1:2" x14ac:dyDescent="0.25">
      <c r="A1391">
        <v>1218</v>
      </c>
      <c r="B1391">
        <v>131000</v>
      </c>
    </row>
    <row r="1392" spans="1:2" x14ac:dyDescent="0.25">
      <c r="A1392">
        <v>1525</v>
      </c>
      <c r="B1392">
        <v>235000</v>
      </c>
    </row>
    <row r="1393" spans="1:2" x14ac:dyDescent="0.25">
      <c r="A1393">
        <v>1584</v>
      </c>
      <c r="B1393">
        <v>124000</v>
      </c>
    </row>
    <row r="1394" spans="1:2" x14ac:dyDescent="0.25">
      <c r="A1394">
        <v>900</v>
      </c>
      <c r="B1394">
        <v>123000</v>
      </c>
    </row>
    <row r="1395" spans="1:2" x14ac:dyDescent="0.25">
      <c r="A1395">
        <v>1912</v>
      </c>
      <c r="B1395">
        <v>163000</v>
      </c>
    </row>
    <row r="1396" spans="1:2" x14ac:dyDescent="0.25">
      <c r="A1396">
        <v>1500</v>
      </c>
      <c r="B1396">
        <v>246578</v>
      </c>
    </row>
    <row r="1397" spans="1:2" x14ac:dyDescent="0.25">
      <c r="A1397">
        <v>2482</v>
      </c>
      <c r="B1397">
        <v>281213</v>
      </c>
    </row>
    <row r="1398" spans="1:2" x14ac:dyDescent="0.25">
      <c r="A1398">
        <v>1687</v>
      </c>
      <c r="B1398">
        <v>160000</v>
      </c>
    </row>
    <row r="1399" spans="1:2" x14ac:dyDescent="0.25">
      <c r="A1399">
        <v>1513</v>
      </c>
      <c r="B1399">
        <v>137500</v>
      </c>
    </row>
    <row r="1400" spans="1:2" x14ac:dyDescent="0.25">
      <c r="A1400">
        <v>1904</v>
      </c>
      <c r="B1400">
        <v>138000</v>
      </c>
    </row>
    <row r="1401" spans="1:2" x14ac:dyDescent="0.25">
      <c r="A1401">
        <v>1608</v>
      </c>
      <c r="B1401">
        <v>137450</v>
      </c>
    </row>
    <row r="1402" spans="1:2" x14ac:dyDescent="0.25">
      <c r="A1402">
        <v>1158</v>
      </c>
      <c r="B1402">
        <v>120000</v>
      </c>
    </row>
    <row r="1403" spans="1:2" x14ac:dyDescent="0.25">
      <c r="A1403">
        <v>1593</v>
      </c>
      <c r="B1403">
        <v>193000</v>
      </c>
    </row>
    <row r="1404" spans="1:2" x14ac:dyDescent="0.25">
      <c r="A1404">
        <v>1294</v>
      </c>
      <c r="B1404">
        <v>193879</v>
      </c>
    </row>
    <row r="1405" spans="1:2" x14ac:dyDescent="0.25">
      <c r="A1405">
        <v>1464</v>
      </c>
      <c r="B1405">
        <v>282922</v>
      </c>
    </row>
    <row r="1406" spans="1:2" x14ac:dyDescent="0.25">
      <c r="A1406">
        <v>1214</v>
      </c>
      <c r="B1406">
        <v>105000</v>
      </c>
    </row>
    <row r="1407" spans="1:2" x14ac:dyDescent="0.25">
      <c r="A1407">
        <v>1646</v>
      </c>
      <c r="B1407">
        <v>275000</v>
      </c>
    </row>
    <row r="1408" spans="1:2" x14ac:dyDescent="0.25">
      <c r="A1408">
        <v>768</v>
      </c>
      <c r="B1408">
        <v>133000</v>
      </c>
    </row>
    <row r="1409" spans="1:2" x14ac:dyDescent="0.25">
      <c r="A1409">
        <v>833</v>
      </c>
      <c r="B1409">
        <v>112000</v>
      </c>
    </row>
    <row r="1410" spans="1:2" x14ac:dyDescent="0.25">
      <c r="A1410">
        <v>1363</v>
      </c>
      <c r="B1410">
        <v>125500</v>
      </c>
    </row>
    <row r="1411" spans="1:2" x14ac:dyDescent="0.25">
      <c r="A1411">
        <v>2093</v>
      </c>
      <c r="B1411">
        <v>215000</v>
      </c>
    </row>
    <row r="1412" spans="1:2" x14ac:dyDescent="0.25">
      <c r="A1412">
        <v>1840</v>
      </c>
      <c r="B1412">
        <v>230000</v>
      </c>
    </row>
    <row r="1413" spans="1:2" x14ac:dyDescent="0.25">
      <c r="A1413">
        <v>1668</v>
      </c>
      <c r="B1413">
        <v>140000</v>
      </c>
    </row>
    <row r="1414" spans="1:2" x14ac:dyDescent="0.25">
      <c r="A1414">
        <v>1040</v>
      </c>
      <c r="B1414">
        <v>90000</v>
      </c>
    </row>
    <row r="1415" spans="1:2" x14ac:dyDescent="0.25">
      <c r="A1415">
        <v>1844</v>
      </c>
      <c r="B1415">
        <v>257000</v>
      </c>
    </row>
    <row r="1416" spans="1:2" x14ac:dyDescent="0.25">
      <c r="A1416">
        <v>1848</v>
      </c>
      <c r="B1416">
        <v>207000</v>
      </c>
    </row>
    <row r="1417" spans="1:2" x14ac:dyDescent="0.25">
      <c r="A1417">
        <v>1569</v>
      </c>
      <c r="B1417">
        <v>175900</v>
      </c>
    </row>
    <row r="1418" spans="1:2" x14ac:dyDescent="0.25">
      <c r="A1418">
        <v>2290</v>
      </c>
      <c r="B1418">
        <v>122500</v>
      </c>
    </row>
    <row r="1419" spans="1:2" x14ac:dyDescent="0.25">
      <c r="A1419">
        <v>2450</v>
      </c>
      <c r="B1419">
        <v>340000</v>
      </c>
    </row>
    <row r="1420" spans="1:2" x14ac:dyDescent="0.25">
      <c r="A1420">
        <v>1144</v>
      </c>
      <c r="B1420">
        <v>124000</v>
      </c>
    </row>
    <row r="1421" spans="1:2" x14ac:dyDescent="0.25">
      <c r="A1421">
        <v>1844</v>
      </c>
      <c r="B1421">
        <v>223000</v>
      </c>
    </row>
    <row r="1422" spans="1:2" x14ac:dyDescent="0.25">
      <c r="A1422">
        <v>1416</v>
      </c>
      <c r="B1422">
        <v>179900</v>
      </c>
    </row>
    <row r="1423" spans="1:2" x14ac:dyDescent="0.25">
      <c r="A1423">
        <v>1069</v>
      </c>
      <c r="B1423">
        <v>127500</v>
      </c>
    </row>
    <row r="1424" spans="1:2" x14ac:dyDescent="0.25">
      <c r="A1424">
        <v>848</v>
      </c>
      <c r="B1424">
        <v>136500</v>
      </c>
    </row>
    <row r="1425" spans="1:2" x14ac:dyDescent="0.25">
      <c r="A1425">
        <v>2201</v>
      </c>
      <c r="B1425">
        <v>274970</v>
      </c>
    </row>
    <row r="1426" spans="1:2" x14ac:dyDescent="0.25">
      <c r="A1426">
        <v>1344</v>
      </c>
      <c r="B1426">
        <v>144000</v>
      </c>
    </row>
    <row r="1427" spans="1:2" x14ac:dyDescent="0.25">
      <c r="A1427">
        <v>1252</v>
      </c>
      <c r="B1427">
        <v>142000</v>
      </c>
    </row>
    <row r="1428" spans="1:2" x14ac:dyDescent="0.25">
      <c r="A1428">
        <v>2127</v>
      </c>
      <c r="B1428">
        <v>271000</v>
      </c>
    </row>
    <row r="1429" spans="1:2" x14ac:dyDescent="0.25">
      <c r="A1429">
        <v>1558</v>
      </c>
      <c r="B1429">
        <v>140000</v>
      </c>
    </row>
    <row r="1430" spans="1:2" x14ac:dyDescent="0.25">
      <c r="A1430">
        <v>804</v>
      </c>
      <c r="B1430">
        <v>119000</v>
      </c>
    </row>
    <row r="1431" spans="1:2" x14ac:dyDescent="0.25">
      <c r="A1431">
        <v>1440</v>
      </c>
      <c r="B1431">
        <v>182900</v>
      </c>
    </row>
    <row r="1432" spans="1:2" x14ac:dyDescent="0.25">
      <c r="A1432">
        <v>1838</v>
      </c>
      <c r="B1432">
        <v>192140</v>
      </c>
    </row>
    <row r="1433" spans="1:2" x14ac:dyDescent="0.25">
      <c r="A1433">
        <v>958</v>
      </c>
      <c r="B1433">
        <v>143750</v>
      </c>
    </row>
    <row r="1434" spans="1:2" x14ac:dyDescent="0.25">
      <c r="A1434">
        <v>968</v>
      </c>
      <c r="B1434">
        <v>64500</v>
      </c>
    </row>
    <row r="1435" spans="1:2" x14ac:dyDescent="0.25">
      <c r="A1435">
        <v>1792</v>
      </c>
      <c r="B1435">
        <v>186500</v>
      </c>
    </row>
    <row r="1436" spans="1:2" x14ac:dyDescent="0.25">
      <c r="A1436">
        <v>1126</v>
      </c>
      <c r="B1436">
        <v>160000</v>
      </c>
    </row>
    <row r="1437" spans="1:2" x14ac:dyDescent="0.25">
      <c r="A1437">
        <v>1537</v>
      </c>
      <c r="B1437">
        <v>174000</v>
      </c>
    </row>
    <row r="1438" spans="1:2" x14ac:dyDescent="0.25">
      <c r="A1438">
        <v>864</v>
      </c>
      <c r="B1438">
        <v>120500</v>
      </c>
    </row>
    <row r="1439" spans="1:2" x14ac:dyDescent="0.25">
      <c r="A1439">
        <v>1932</v>
      </c>
      <c r="B1439">
        <v>394617</v>
      </c>
    </row>
    <row r="1440" spans="1:2" x14ac:dyDescent="0.25">
      <c r="A1440">
        <v>1236</v>
      </c>
      <c r="B1440">
        <v>149700</v>
      </c>
    </row>
    <row r="1441" spans="1:2" x14ac:dyDescent="0.25">
      <c r="A1441">
        <v>1725</v>
      </c>
      <c r="B1441">
        <v>197000</v>
      </c>
    </row>
    <row r="1442" spans="1:2" x14ac:dyDescent="0.25">
      <c r="A1442">
        <v>2555</v>
      </c>
      <c r="B1442">
        <v>191000</v>
      </c>
    </row>
    <row r="1443" spans="1:2" x14ac:dyDescent="0.25">
      <c r="A1443">
        <v>848</v>
      </c>
      <c r="B1443">
        <v>149300</v>
      </c>
    </row>
    <row r="1444" spans="1:2" x14ac:dyDescent="0.25">
      <c r="A1444">
        <v>2007</v>
      </c>
      <c r="B1444">
        <v>310000</v>
      </c>
    </row>
    <row r="1445" spans="1:2" x14ac:dyDescent="0.25">
      <c r="A1445">
        <v>952</v>
      </c>
      <c r="B1445">
        <v>121000</v>
      </c>
    </row>
    <row r="1446" spans="1:2" x14ac:dyDescent="0.25">
      <c r="A1446">
        <v>1422</v>
      </c>
      <c r="B1446">
        <v>179600</v>
      </c>
    </row>
    <row r="1447" spans="1:2" x14ac:dyDescent="0.25">
      <c r="A1447">
        <v>913</v>
      </c>
      <c r="B1447">
        <v>129000</v>
      </c>
    </row>
    <row r="1448" spans="1:2" x14ac:dyDescent="0.25">
      <c r="A1448">
        <v>1188</v>
      </c>
      <c r="B1448">
        <v>157900</v>
      </c>
    </row>
    <row r="1449" spans="1:2" x14ac:dyDescent="0.25">
      <c r="A1449">
        <v>2090</v>
      </c>
      <c r="B1449">
        <v>240000</v>
      </c>
    </row>
    <row r="1450" spans="1:2" x14ac:dyDescent="0.25">
      <c r="A1450">
        <v>1346</v>
      </c>
      <c r="B1450">
        <v>112000</v>
      </c>
    </row>
    <row r="1451" spans="1:2" x14ac:dyDescent="0.25">
      <c r="A1451">
        <v>630</v>
      </c>
      <c r="B1451">
        <v>92000</v>
      </c>
    </row>
    <row r="1452" spans="1:2" x14ac:dyDescent="0.25">
      <c r="A1452">
        <v>1792</v>
      </c>
      <c r="B1452">
        <v>136000</v>
      </c>
    </row>
    <row r="1453" spans="1:2" x14ac:dyDescent="0.25">
      <c r="A1453">
        <v>1578</v>
      </c>
      <c r="B1453">
        <v>287090</v>
      </c>
    </row>
    <row r="1454" spans="1:2" x14ac:dyDescent="0.25">
      <c r="A1454">
        <v>1072</v>
      </c>
      <c r="B1454">
        <v>145000</v>
      </c>
    </row>
    <row r="1455" spans="1:2" x14ac:dyDescent="0.25">
      <c r="A1455">
        <v>1140</v>
      </c>
      <c r="B1455">
        <v>84500</v>
      </c>
    </row>
    <row r="1456" spans="1:2" x14ac:dyDescent="0.25">
      <c r="A1456">
        <v>1221</v>
      </c>
      <c r="B1456">
        <v>185000</v>
      </c>
    </row>
    <row r="1457" spans="1:2" x14ac:dyDescent="0.25">
      <c r="A1457">
        <v>1647</v>
      </c>
      <c r="B1457">
        <v>175000</v>
      </c>
    </row>
    <row r="1458" spans="1:2" x14ac:dyDescent="0.25">
      <c r="A1458">
        <v>2073</v>
      </c>
      <c r="B1458">
        <v>210000</v>
      </c>
    </row>
    <row r="1459" spans="1:2" x14ac:dyDescent="0.25">
      <c r="A1459">
        <v>2340</v>
      </c>
      <c r="B1459">
        <v>266500</v>
      </c>
    </row>
    <row r="1460" spans="1:2" x14ac:dyDescent="0.25">
      <c r="A1460">
        <v>1078</v>
      </c>
      <c r="B1460">
        <v>142125</v>
      </c>
    </row>
    <row r="1461" spans="1:2" x14ac:dyDescent="0.25">
      <c r="A1461">
        <v>1256</v>
      </c>
      <c r="B1461">
        <v>147500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F58E-A0E8-487C-9F82-B4274004FACE}">
  <dimension ref="A1:G1221"/>
  <sheetViews>
    <sheetView tabSelected="1" workbookViewId="0">
      <selection activeCell="K26" sqref="K26"/>
    </sheetView>
  </sheetViews>
  <sheetFormatPr defaultRowHeight="15" x14ac:dyDescent="0.25"/>
  <cols>
    <col min="6" max="6" width="15.5703125" bestFit="1" customWidth="1"/>
  </cols>
  <sheetData>
    <row r="1" spans="1:7" ht="15.75" thickBot="1" x14ac:dyDescent="0.3">
      <c r="A1" t="s">
        <v>15</v>
      </c>
      <c r="B1" t="s">
        <v>80</v>
      </c>
      <c r="C1" t="s">
        <v>276</v>
      </c>
      <c r="D1" t="s">
        <v>277</v>
      </c>
    </row>
    <row r="2" spans="1:7" x14ac:dyDescent="0.25">
      <c r="A2" t="s">
        <v>91</v>
      </c>
      <c r="B2">
        <v>208500</v>
      </c>
      <c r="C2">
        <f>ABS((B2-$G$4)/$G$8)</f>
        <v>0.27509503280975345</v>
      </c>
      <c r="D2" t="b">
        <f>IF(C2&gt;3,TRUE,FALSE)</f>
        <v>0</v>
      </c>
      <c r="F2" s="7" t="s">
        <v>80</v>
      </c>
      <c r="G2" s="7"/>
    </row>
    <row r="3" spans="1:7" x14ac:dyDescent="0.25">
      <c r="A3" t="s">
        <v>91</v>
      </c>
      <c r="B3">
        <v>181500</v>
      </c>
      <c r="C3">
        <f t="shared" ref="C3:C66" si="0">ABS((B3-$G$4)/$G$8)</f>
        <v>5.1589650463278833E-2</v>
      </c>
      <c r="D3" t="b">
        <f t="shared" ref="D3:D66" si="1">IF(C3&gt;3,TRUE,FALSE)</f>
        <v>0</v>
      </c>
    </row>
    <row r="4" spans="1:7" x14ac:dyDescent="0.25">
      <c r="A4" t="s">
        <v>91</v>
      </c>
      <c r="B4">
        <v>223500</v>
      </c>
      <c r="C4">
        <f t="shared" si="0"/>
        <v>0.45658652351699364</v>
      </c>
      <c r="D4" t="b">
        <f t="shared" si="1"/>
        <v>0</v>
      </c>
      <c r="F4" t="s">
        <v>263</v>
      </c>
      <c r="G4">
        <v>185763.80737704918</v>
      </c>
    </row>
    <row r="5" spans="1:7" x14ac:dyDescent="0.25">
      <c r="A5" t="s">
        <v>91</v>
      </c>
      <c r="B5">
        <v>140000</v>
      </c>
      <c r="C5">
        <f t="shared" si="0"/>
        <v>0.55371610808664329</v>
      </c>
      <c r="D5" t="b">
        <f t="shared" si="1"/>
        <v>0</v>
      </c>
      <c r="F5" t="s">
        <v>264</v>
      </c>
      <c r="G5">
        <v>2366.2197553280075</v>
      </c>
    </row>
    <row r="6" spans="1:7" x14ac:dyDescent="0.25">
      <c r="A6" t="s">
        <v>91</v>
      </c>
      <c r="B6">
        <v>250000</v>
      </c>
      <c r="C6">
        <f t="shared" si="0"/>
        <v>0.77722149043311795</v>
      </c>
      <c r="D6" t="b">
        <f t="shared" si="1"/>
        <v>0</v>
      </c>
      <c r="F6" t="s">
        <v>265</v>
      </c>
      <c r="G6">
        <v>167900</v>
      </c>
    </row>
    <row r="7" spans="1:7" x14ac:dyDescent="0.25">
      <c r="A7" t="s">
        <v>91</v>
      </c>
      <c r="B7">
        <v>143000</v>
      </c>
      <c r="C7">
        <f t="shared" si="0"/>
        <v>0.51741780994519526</v>
      </c>
      <c r="D7" t="b">
        <f t="shared" si="1"/>
        <v>0</v>
      </c>
      <c r="F7" t="s">
        <v>266</v>
      </c>
      <c r="G7">
        <v>135000</v>
      </c>
    </row>
    <row r="8" spans="1:7" x14ac:dyDescent="0.25">
      <c r="A8" t="s">
        <v>91</v>
      </c>
      <c r="B8">
        <v>307000</v>
      </c>
      <c r="C8">
        <f t="shared" si="0"/>
        <v>1.4668891551206305</v>
      </c>
      <c r="D8" t="b">
        <f t="shared" si="1"/>
        <v>0</v>
      </c>
      <c r="F8" t="s">
        <v>267</v>
      </c>
      <c r="G8">
        <v>82648.502921804538</v>
      </c>
    </row>
    <row r="9" spans="1:7" x14ac:dyDescent="0.25">
      <c r="A9" t="s">
        <v>91</v>
      </c>
      <c r="B9">
        <v>200000</v>
      </c>
      <c r="C9">
        <f t="shared" si="0"/>
        <v>0.17224985474231738</v>
      </c>
      <c r="D9" t="b">
        <f t="shared" si="1"/>
        <v>0</v>
      </c>
      <c r="F9" t="s">
        <v>268</v>
      </c>
      <c r="G9">
        <v>6830775035.2155323</v>
      </c>
    </row>
    <row r="10" spans="1:7" x14ac:dyDescent="0.25">
      <c r="A10" t="s">
        <v>91</v>
      </c>
      <c r="B10">
        <v>129900</v>
      </c>
      <c r="C10">
        <f t="shared" si="0"/>
        <v>0.67592037849618503</v>
      </c>
      <c r="D10" t="b">
        <f t="shared" si="1"/>
        <v>0</v>
      </c>
      <c r="F10" t="s">
        <v>269</v>
      </c>
      <c r="G10">
        <v>6.1354919119432285</v>
      </c>
    </row>
    <row r="11" spans="1:7" x14ac:dyDescent="0.25">
      <c r="A11" t="s">
        <v>91</v>
      </c>
      <c r="B11">
        <v>129500</v>
      </c>
      <c r="C11">
        <f t="shared" si="0"/>
        <v>0.68076015158171144</v>
      </c>
      <c r="D11" t="b">
        <f t="shared" si="1"/>
        <v>0</v>
      </c>
      <c r="F11" t="s">
        <v>270</v>
      </c>
      <c r="G11">
        <v>1.8353647672603774</v>
      </c>
    </row>
    <row r="12" spans="1:7" x14ac:dyDescent="0.25">
      <c r="A12" t="s">
        <v>91</v>
      </c>
      <c r="B12">
        <v>345000</v>
      </c>
      <c r="C12">
        <f t="shared" si="0"/>
        <v>1.9266675982456389</v>
      </c>
      <c r="D12" t="b">
        <f t="shared" si="1"/>
        <v>0</v>
      </c>
      <c r="F12" t="s">
        <v>271</v>
      </c>
      <c r="G12" s="8">
        <v>720100</v>
      </c>
    </row>
    <row r="13" spans="1:7" x14ac:dyDescent="0.25">
      <c r="A13" t="s">
        <v>91</v>
      </c>
      <c r="B13">
        <v>144000</v>
      </c>
      <c r="C13">
        <f t="shared" si="0"/>
        <v>0.50531837723137929</v>
      </c>
      <c r="D13" t="b">
        <f t="shared" si="1"/>
        <v>0</v>
      </c>
      <c r="F13" t="s">
        <v>272</v>
      </c>
      <c r="G13">
        <v>34900</v>
      </c>
    </row>
    <row r="14" spans="1:7" x14ac:dyDescent="0.25">
      <c r="A14" t="s">
        <v>91</v>
      </c>
      <c r="B14">
        <v>279500</v>
      </c>
      <c r="C14">
        <f t="shared" si="0"/>
        <v>1.1341547554906903</v>
      </c>
      <c r="D14" t="b">
        <f t="shared" si="1"/>
        <v>0</v>
      </c>
      <c r="F14" t="s">
        <v>273</v>
      </c>
      <c r="G14">
        <v>755000</v>
      </c>
    </row>
    <row r="15" spans="1:7" x14ac:dyDescent="0.25">
      <c r="A15" t="s">
        <v>91</v>
      </c>
      <c r="B15">
        <v>157000</v>
      </c>
      <c r="C15">
        <f t="shared" si="0"/>
        <v>0.3480257519517711</v>
      </c>
      <c r="D15" t="b">
        <f t="shared" si="1"/>
        <v>0</v>
      </c>
      <c r="F15" t="s">
        <v>274</v>
      </c>
      <c r="G15">
        <v>226631845</v>
      </c>
    </row>
    <row r="16" spans="1:7" ht="15.75" thickBot="1" x14ac:dyDescent="0.3">
      <c r="A16" t="s">
        <v>91</v>
      </c>
      <c r="B16">
        <v>132000</v>
      </c>
      <c r="C16">
        <f t="shared" si="0"/>
        <v>0.6505115697971714</v>
      </c>
      <c r="D16" t="b">
        <f t="shared" si="1"/>
        <v>0</v>
      </c>
      <c r="F16" s="4" t="s">
        <v>275</v>
      </c>
      <c r="G16" s="4">
        <v>1220</v>
      </c>
    </row>
    <row r="17" spans="1:7" x14ac:dyDescent="0.25">
      <c r="A17" t="s">
        <v>91</v>
      </c>
      <c r="B17">
        <v>149000</v>
      </c>
      <c r="C17">
        <f t="shared" si="0"/>
        <v>0.44482121366229921</v>
      </c>
      <c r="D17" t="b">
        <f t="shared" si="1"/>
        <v>0</v>
      </c>
    </row>
    <row r="18" spans="1:7" x14ac:dyDescent="0.25">
      <c r="A18" t="s">
        <v>91</v>
      </c>
      <c r="B18">
        <v>159000</v>
      </c>
      <c r="C18">
        <f t="shared" si="0"/>
        <v>0.3238268865241391</v>
      </c>
      <c r="D18" t="b">
        <f t="shared" si="1"/>
        <v>0</v>
      </c>
    </row>
    <row r="19" spans="1:7" x14ac:dyDescent="0.25">
      <c r="A19" t="s">
        <v>91</v>
      </c>
      <c r="B19">
        <v>139000</v>
      </c>
      <c r="C19">
        <f t="shared" si="0"/>
        <v>0.56581554080045926</v>
      </c>
      <c r="D19" t="b">
        <f t="shared" si="1"/>
        <v>0</v>
      </c>
    </row>
    <row r="20" spans="1:7" x14ac:dyDescent="0.25">
      <c r="A20" t="s">
        <v>91</v>
      </c>
      <c r="B20">
        <v>325300</v>
      </c>
      <c r="C20">
        <f t="shared" si="0"/>
        <v>1.6883087737834634</v>
      </c>
      <c r="D20" t="b">
        <f t="shared" si="1"/>
        <v>0</v>
      </c>
      <c r="F20" t="s">
        <v>278</v>
      </c>
      <c r="G20" t="s">
        <v>279</v>
      </c>
    </row>
    <row r="21" spans="1:7" x14ac:dyDescent="0.25">
      <c r="A21" t="s">
        <v>91</v>
      </c>
      <c r="B21">
        <v>139400</v>
      </c>
      <c r="C21">
        <f t="shared" si="0"/>
        <v>0.56097576771493285</v>
      </c>
      <c r="D21" t="b">
        <f t="shared" si="1"/>
        <v>0</v>
      </c>
      <c r="F21" s="10">
        <f>COUNTIFS(D2:D1221,TRUE)</f>
        <v>18</v>
      </c>
    </row>
    <row r="22" spans="1:7" x14ac:dyDescent="0.25">
      <c r="A22" t="s">
        <v>91</v>
      </c>
      <c r="B22">
        <v>230000</v>
      </c>
      <c r="C22">
        <f t="shared" si="0"/>
        <v>0.53523283615679773</v>
      </c>
      <c r="D22" t="b">
        <f t="shared" si="1"/>
        <v>0</v>
      </c>
    </row>
    <row r="23" spans="1:7" x14ac:dyDescent="0.25">
      <c r="A23" t="s">
        <v>91</v>
      </c>
      <c r="B23">
        <v>154000</v>
      </c>
      <c r="C23">
        <f t="shared" si="0"/>
        <v>0.38432405009321913</v>
      </c>
      <c r="D23" t="b">
        <f t="shared" si="1"/>
        <v>0</v>
      </c>
    </row>
    <row r="24" spans="1:7" x14ac:dyDescent="0.25">
      <c r="A24" t="s">
        <v>91</v>
      </c>
      <c r="B24">
        <v>256300</v>
      </c>
      <c r="C24">
        <f t="shared" si="0"/>
        <v>0.85344791653015883</v>
      </c>
      <c r="D24" t="b">
        <f t="shared" si="1"/>
        <v>0</v>
      </c>
    </row>
    <row r="25" spans="1:7" x14ac:dyDescent="0.25">
      <c r="A25" t="s">
        <v>91</v>
      </c>
      <c r="B25">
        <v>134800</v>
      </c>
      <c r="C25">
        <f t="shared" si="0"/>
        <v>0.61663315819848652</v>
      </c>
      <c r="D25" t="b">
        <f t="shared" si="1"/>
        <v>0</v>
      </c>
    </row>
    <row r="26" spans="1:7" x14ac:dyDescent="0.25">
      <c r="A26" t="s">
        <v>91</v>
      </c>
      <c r="B26">
        <v>306000</v>
      </c>
      <c r="C26">
        <f t="shared" si="0"/>
        <v>1.4547897224068145</v>
      </c>
      <c r="D26" t="b">
        <f t="shared" si="1"/>
        <v>0</v>
      </c>
    </row>
    <row r="27" spans="1:7" x14ac:dyDescent="0.25">
      <c r="A27" t="s">
        <v>91</v>
      </c>
      <c r="B27">
        <v>207500</v>
      </c>
      <c r="C27">
        <f t="shared" si="0"/>
        <v>0.26299560009593748</v>
      </c>
      <c r="D27" t="b">
        <f t="shared" si="1"/>
        <v>0</v>
      </c>
    </row>
    <row r="28" spans="1:7" x14ac:dyDescent="0.25">
      <c r="A28" t="s">
        <v>91</v>
      </c>
      <c r="B28">
        <v>68500</v>
      </c>
      <c r="C28">
        <f t="shared" si="0"/>
        <v>1.4188255471244882</v>
      </c>
      <c r="D28" t="b">
        <f t="shared" si="1"/>
        <v>0</v>
      </c>
    </row>
    <row r="29" spans="1:7" x14ac:dyDescent="0.25">
      <c r="A29" t="s">
        <v>91</v>
      </c>
      <c r="B29">
        <v>40000</v>
      </c>
      <c r="C29">
        <f t="shared" si="0"/>
        <v>1.7636593794682445</v>
      </c>
      <c r="D29" t="b">
        <f t="shared" si="1"/>
        <v>0</v>
      </c>
    </row>
    <row r="30" spans="1:7" x14ac:dyDescent="0.25">
      <c r="A30" t="s">
        <v>91</v>
      </c>
      <c r="B30">
        <v>149350</v>
      </c>
      <c r="C30">
        <f t="shared" si="0"/>
        <v>0.44058641221246359</v>
      </c>
      <c r="D30" t="b">
        <f t="shared" si="1"/>
        <v>0</v>
      </c>
    </row>
    <row r="31" spans="1:7" x14ac:dyDescent="0.25">
      <c r="A31" t="s">
        <v>91</v>
      </c>
      <c r="B31">
        <v>179900</v>
      </c>
      <c r="C31">
        <f t="shared" si="0"/>
        <v>7.0948742805384449E-2</v>
      </c>
      <c r="D31" t="b">
        <f t="shared" si="1"/>
        <v>0</v>
      </c>
    </row>
    <row r="32" spans="1:7" x14ac:dyDescent="0.25">
      <c r="A32" t="s">
        <v>91</v>
      </c>
      <c r="B32">
        <v>165500</v>
      </c>
      <c r="C32">
        <f t="shared" si="0"/>
        <v>0.24518057388433501</v>
      </c>
      <c r="D32" t="b">
        <f t="shared" si="1"/>
        <v>0</v>
      </c>
    </row>
    <row r="33" spans="1:4" x14ac:dyDescent="0.25">
      <c r="A33" t="s">
        <v>91</v>
      </c>
      <c r="B33">
        <v>309000</v>
      </c>
      <c r="C33">
        <f t="shared" si="0"/>
        <v>1.4910880205482626</v>
      </c>
      <c r="D33" t="b">
        <f t="shared" si="1"/>
        <v>0</v>
      </c>
    </row>
    <row r="34" spans="1:4" x14ac:dyDescent="0.25">
      <c r="A34" t="s">
        <v>91</v>
      </c>
      <c r="B34">
        <v>145000</v>
      </c>
      <c r="C34">
        <f t="shared" si="0"/>
        <v>0.49321894451756326</v>
      </c>
      <c r="D34" t="b">
        <f t="shared" si="1"/>
        <v>0</v>
      </c>
    </row>
    <row r="35" spans="1:4" x14ac:dyDescent="0.25">
      <c r="A35" t="s">
        <v>91</v>
      </c>
      <c r="B35">
        <v>153000</v>
      </c>
      <c r="C35">
        <f t="shared" si="0"/>
        <v>0.39642348280703515</v>
      </c>
      <c r="D35" t="b">
        <f t="shared" si="1"/>
        <v>0</v>
      </c>
    </row>
    <row r="36" spans="1:4" x14ac:dyDescent="0.25">
      <c r="A36" t="s">
        <v>91</v>
      </c>
      <c r="B36">
        <v>109000</v>
      </c>
      <c r="C36">
        <f t="shared" si="0"/>
        <v>0.92879852221493964</v>
      </c>
      <c r="D36" t="b">
        <f t="shared" si="1"/>
        <v>0</v>
      </c>
    </row>
    <row r="37" spans="1:4" x14ac:dyDescent="0.25">
      <c r="A37" t="s">
        <v>91</v>
      </c>
      <c r="B37">
        <v>160000</v>
      </c>
      <c r="C37">
        <f t="shared" si="0"/>
        <v>0.31172745381032307</v>
      </c>
      <c r="D37" t="b">
        <f t="shared" si="1"/>
        <v>0</v>
      </c>
    </row>
    <row r="38" spans="1:4" x14ac:dyDescent="0.25">
      <c r="A38" t="s">
        <v>91</v>
      </c>
      <c r="B38">
        <v>170000</v>
      </c>
      <c r="C38">
        <f t="shared" si="0"/>
        <v>0.19073312667216297</v>
      </c>
      <c r="D38" t="b">
        <f t="shared" si="1"/>
        <v>0</v>
      </c>
    </row>
    <row r="39" spans="1:4" x14ac:dyDescent="0.25">
      <c r="A39" t="s">
        <v>91</v>
      </c>
      <c r="B39">
        <v>144000</v>
      </c>
      <c r="C39">
        <f t="shared" si="0"/>
        <v>0.50531837723137929</v>
      </c>
      <c r="D39" t="b">
        <f t="shared" si="1"/>
        <v>0</v>
      </c>
    </row>
    <row r="40" spans="1:4" x14ac:dyDescent="0.25">
      <c r="A40" t="s">
        <v>91</v>
      </c>
      <c r="B40">
        <v>130250</v>
      </c>
      <c r="C40">
        <f t="shared" si="0"/>
        <v>0.67168557704634935</v>
      </c>
      <c r="D40" t="b">
        <f t="shared" si="1"/>
        <v>0</v>
      </c>
    </row>
    <row r="41" spans="1:4" x14ac:dyDescent="0.25">
      <c r="A41" t="s">
        <v>91</v>
      </c>
      <c r="B41">
        <v>141000</v>
      </c>
      <c r="C41">
        <f t="shared" si="0"/>
        <v>0.54161667537282732</v>
      </c>
      <c r="D41" t="b">
        <f t="shared" si="1"/>
        <v>0</v>
      </c>
    </row>
    <row r="42" spans="1:4" x14ac:dyDescent="0.25">
      <c r="A42" t="s">
        <v>91</v>
      </c>
      <c r="B42">
        <v>239686</v>
      </c>
      <c r="C42">
        <f t="shared" si="0"/>
        <v>0.65242794142281957</v>
      </c>
      <c r="D42" t="b">
        <f t="shared" si="1"/>
        <v>0</v>
      </c>
    </row>
    <row r="43" spans="1:4" x14ac:dyDescent="0.25">
      <c r="A43" t="s">
        <v>91</v>
      </c>
      <c r="B43">
        <v>249700</v>
      </c>
      <c r="C43">
        <f t="shared" si="0"/>
        <v>0.77359166061897311</v>
      </c>
      <c r="D43" t="b">
        <f t="shared" si="1"/>
        <v>0</v>
      </c>
    </row>
    <row r="44" spans="1:4" x14ac:dyDescent="0.25">
      <c r="A44" t="s">
        <v>91</v>
      </c>
      <c r="B44">
        <v>127000</v>
      </c>
      <c r="C44">
        <f t="shared" si="0"/>
        <v>0.71100873336625148</v>
      </c>
      <c r="D44" t="b">
        <f t="shared" si="1"/>
        <v>0</v>
      </c>
    </row>
    <row r="45" spans="1:4" x14ac:dyDescent="0.25">
      <c r="A45" t="s">
        <v>91</v>
      </c>
      <c r="B45">
        <v>177000</v>
      </c>
      <c r="C45">
        <f t="shared" si="0"/>
        <v>0.10603709767545089</v>
      </c>
      <c r="D45" t="b">
        <f t="shared" si="1"/>
        <v>0</v>
      </c>
    </row>
    <row r="46" spans="1:4" x14ac:dyDescent="0.25">
      <c r="A46" t="s">
        <v>91</v>
      </c>
      <c r="B46">
        <v>114500</v>
      </c>
      <c r="C46">
        <f t="shared" si="0"/>
        <v>0.86225164228895157</v>
      </c>
      <c r="D46" t="b">
        <f t="shared" si="1"/>
        <v>0</v>
      </c>
    </row>
    <row r="47" spans="1:4" x14ac:dyDescent="0.25">
      <c r="A47" t="s">
        <v>91</v>
      </c>
      <c r="B47">
        <v>385000</v>
      </c>
      <c r="C47">
        <f t="shared" si="0"/>
        <v>2.4106449067982796</v>
      </c>
      <c r="D47" t="b">
        <f t="shared" si="1"/>
        <v>0</v>
      </c>
    </row>
    <row r="48" spans="1:4" x14ac:dyDescent="0.25">
      <c r="A48" t="s">
        <v>91</v>
      </c>
      <c r="B48">
        <v>130000</v>
      </c>
      <c r="C48">
        <f t="shared" si="0"/>
        <v>0.67471043522480345</v>
      </c>
      <c r="D48" t="b">
        <f t="shared" si="1"/>
        <v>0</v>
      </c>
    </row>
    <row r="49" spans="1:4" x14ac:dyDescent="0.25">
      <c r="A49" t="s">
        <v>91</v>
      </c>
      <c r="B49">
        <v>180500</v>
      </c>
      <c r="C49">
        <f t="shared" si="0"/>
        <v>6.3689083177094846E-2</v>
      </c>
      <c r="D49" t="b">
        <f t="shared" si="1"/>
        <v>0</v>
      </c>
    </row>
    <row r="50" spans="1:4" x14ac:dyDescent="0.25">
      <c r="A50" t="s">
        <v>91</v>
      </c>
      <c r="B50">
        <v>196500</v>
      </c>
      <c r="C50">
        <f t="shared" si="0"/>
        <v>0.12990184024396134</v>
      </c>
      <c r="D50" t="b">
        <f t="shared" si="1"/>
        <v>0</v>
      </c>
    </row>
    <row r="51" spans="1:4" x14ac:dyDescent="0.25">
      <c r="A51" t="s">
        <v>91</v>
      </c>
      <c r="B51">
        <v>438780</v>
      </c>
      <c r="C51">
        <f t="shared" si="0"/>
        <v>3.0613523981473043</v>
      </c>
      <c r="D51" t="b">
        <f t="shared" si="1"/>
        <v>1</v>
      </c>
    </row>
    <row r="52" spans="1:4" x14ac:dyDescent="0.25">
      <c r="A52" t="s">
        <v>91</v>
      </c>
      <c r="B52">
        <v>124900</v>
      </c>
      <c r="C52">
        <f t="shared" si="0"/>
        <v>0.73641754206526511</v>
      </c>
      <c r="D52" t="b">
        <f t="shared" si="1"/>
        <v>0</v>
      </c>
    </row>
    <row r="53" spans="1:4" x14ac:dyDescent="0.25">
      <c r="A53" t="s">
        <v>91</v>
      </c>
      <c r="B53">
        <v>158000</v>
      </c>
      <c r="C53">
        <f t="shared" si="0"/>
        <v>0.33592631923795507</v>
      </c>
      <c r="D53" t="b">
        <f t="shared" si="1"/>
        <v>0</v>
      </c>
    </row>
    <row r="54" spans="1:4" x14ac:dyDescent="0.25">
      <c r="A54" t="s">
        <v>91</v>
      </c>
      <c r="B54">
        <v>101000</v>
      </c>
      <c r="C54">
        <f t="shared" si="0"/>
        <v>1.0255939839254677</v>
      </c>
      <c r="D54" t="b">
        <f t="shared" si="1"/>
        <v>0</v>
      </c>
    </row>
    <row r="55" spans="1:4" x14ac:dyDescent="0.25">
      <c r="A55" t="s">
        <v>91</v>
      </c>
      <c r="B55">
        <v>140000</v>
      </c>
      <c r="C55">
        <f t="shared" si="0"/>
        <v>0.55371610808664329</v>
      </c>
      <c r="D55" t="b">
        <f t="shared" si="1"/>
        <v>0</v>
      </c>
    </row>
    <row r="56" spans="1:4" x14ac:dyDescent="0.25">
      <c r="A56" t="s">
        <v>91</v>
      </c>
      <c r="B56">
        <v>219500</v>
      </c>
      <c r="C56">
        <f t="shared" si="0"/>
        <v>0.40818879266172958</v>
      </c>
      <c r="D56" t="b">
        <f t="shared" si="1"/>
        <v>0</v>
      </c>
    </row>
    <row r="57" spans="1:4" x14ac:dyDescent="0.25">
      <c r="A57" t="s">
        <v>91</v>
      </c>
      <c r="B57">
        <v>317000</v>
      </c>
      <c r="C57">
        <f t="shared" si="0"/>
        <v>1.5878834822587906</v>
      </c>
      <c r="D57" t="b">
        <f t="shared" si="1"/>
        <v>0</v>
      </c>
    </row>
    <row r="58" spans="1:4" x14ac:dyDescent="0.25">
      <c r="A58" t="s">
        <v>91</v>
      </c>
      <c r="B58">
        <v>180000</v>
      </c>
      <c r="C58">
        <f t="shared" si="0"/>
        <v>6.9738799534002846E-2</v>
      </c>
      <c r="D58" t="b">
        <f t="shared" si="1"/>
        <v>0</v>
      </c>
    </row>
    <row r="59" spans="1:4" x14ac:dyDescent="0.25">
      <c r="A59" t="s">
        <v>91</v>
      </c>
      <c r="B59">
        <v>226000</v>
      </c>
      <c r="C59">
        <f t="shared" si="0"/>
        <v>0.48683510530153368</v>
      </c>
      <c r="D59" t="b">
        <f t="shared" si="1"/>
        <v>0</v>
      </c>
    </row>
    <row r="60" spans="1:4" x14ac:dyDescent="0.25">
      <c r="A60" t="s">
        <v>91</v>
      </c>
      <c r="B60">
        <v>80000</v>
      </c>
      <c r="C60">
        <f t="shared" si="0"/>
        <v>1.279682070915604</v>
      </c>
      <c r="D60" t="b">
        <f t="shared" si="1"/>
        <v>0</v>
      </c>
    </row>
    <row r="61" spans="1:4" x14ac:dyDescent="0.25">
      <c r="A61" t="s">
        <v>91</v>
      </c>
      <c r="B61">
        <v>225000</v>
      </c>
      <c r="C61">
        <f t="shared" si="0"/>
        <v>0.47473567258771765</v>
      </c>
      <c r="D61" t="b">
        <f t="shared" si="1"/>
        <v>0</v>
      </c>
    </row>
    <row r="62" spans="1:4" x14ac:dyDescent="0.25">
      <c r="A62" t="s">
        <v>91</v>
      </c>
      <c r="B62">
        <v>244000</v>
      </c>
      <c r="C62">
        <f t="shared" si="0"/>
        <v>0.70462489415022189</v>
      </c>
      <c r="D62" t="b">
        <f t="shared" si="1"/>
        <v>0</v>
      </c>
    </row>
    <row r="63" spans="1:4" x14ac:dyDescent="0.25">
      <c r="A63" t="s">
        <v>91</v>
      </c>
      <c r="B63">
        <v>129500</v>
      </c>
      <c r="C63">
        <f t="shared" si="0"/>
        <v>0.68076015158171144</v>
      </c>
      <c r="D63" t="b">
        <f t="shared" si="1"/>
        <v>0</v>
      </c>
    </row>
    <row r="64" spans="1:4" x14ac:dyDescent="0.25">
      <c r="A64" t="s">
        <v>91</v>
      </c>
      <c r="B64">
        <v>185000</v>
      </c>
      <c r="C64">
        <f t="shared" si="0"/>
        <v>9.241635964922796E-3</v>
      </c>
      <c r="D64" t="b">
        <f t="shared" si="1"/>
        <v>0</v>
      </c>
    </row>
    <row r="65" spans="1:4" x14ac:dyDescent="0.25">
      <c r="A65" t="s">
        <v>91</v>
      </c>
      <c r="B65">
        <v>144900</v>
      </c>
      <c r="C65">
        <f t="shared" si="0"/>
        <v>0.49442888778894484</v>
      </c>
      <c r="D65" t="b">
        <f t="shared" si="1"/>
        <v>0</v>
      </c>
    </row>
    <row r="66" spans="1:4" x14ac:dyDescent="0.25">
      <c r="A66" t="s">
        <v>91</v>
      </c>
      <c r="B66">
        <v>107400</v>
      </c>
      <c r="C66">
        <f t="shared" si="0"/>
        <v>0.94815761455704528</v>
      </c>
      <c r="D66" t="b">
        <f t="shared" si="1"/>
        <v>0</v>
      </c>
    </row>
    <row r="67" spans="1:4" x14ac:dyDescent="0.25">
      <c r="A67" t="s">
        <v>91</v>
      </c>
      <c r="B67">
        <v>135750</v>
      </c>
      <c r="C67">
        <f t="shared" ref="C67:C130" si="2">ABS((B67-$G$4)/$G$8)</f>
        <v>0.60513869712036139</v>
      </c>
      <c r="D67" t="b">
        <f t="shared" ref="D67:D130" si="3">IF(C67&gt;3,TRUE,FALSE)</f>
        <v>0</v>
      </c>
    </row>
    <row r="68" spans="1:4" x14ac:dyDescent="0.25">
      <c r="A68" t="s">
        <v>91</v>
      </c>
      <c r="B68">
        <v>127000</v>
      </c>
      <c r="C68">
        <f t="shared" si="2"/>
        <v>0.71100873336625148</v>
      </c>
      <c r="D68" t="b">
        <f t="shared" si="3"/>
        <v>0</v>
      </c>
    </row>
    <row r="69" spans="1:4" x14ac:dyDescent="0.25">
      <c r="A69" t="s">
        <v>91</v>
      </c>
      <c r="B69">
        <v>110000</v>
      </c>
      <c r="C69">
        <f t="shared" si="2"/>
        <v>0.91669908950112367</v>
      </c>
      <c r="D69" t="b">
        <f t="shared" si="3"/>
        <v>0</v>
      </c>
    </row>
    <row r="70" spans="1:4" x14ac:dyDescent="0.25">
      <c r="A70" t="s">
        <v>91</v>
      </c>
      <c r="B70">
        <v>193500</v>
      </c>
      <c r="C70">
        <f t="shared" si="2"/>
        <v>9.3603542102513301E-2</v>
      </c>
      <c r="D70" t="b">
        <f t="shared" si="3"/>
        <v>0</v>
      </c>
    </row>
    <row r="71" spans="1:4" x14ac:dyDescent="0.25">
      <c r="A71" t="s">
        <v>91</v>
      </c>
      <c r="B71">
        <v>245000</v>
      </c>
      <c r="C71">
        <f t="shared" si="2"/>
        <v>0.71672432686403786</v>
      </c>
      <c r="D71" t="b">
        <f t="shared" si="3"/>
        <v>0</v>
      </c>
    </row>
    <row r="72" spans="1:4" x14ac:dyDescent="0.25">
      <c r="A72" t="s">
        <v>91</v>
      </c>
      <c r="B72">
        <v>126500</v>
      </c>
      <c r="C72">
        <f t="shared" si="2"/>
        <v>0.71705844972315946</v>
      </c>
      <c r="D72" t="b">
        <f t="shared" si="3"/>
        <v>0</v>
      </c>
    </row>
    <row r="73" spans="1:4" x14ac:dyDescent="0.25">
      <c r="A73" t="s">
        <v>91</v>
      </c>
      <c r="B73">
        <v>168500</v>
      </c>
      <c r="C73">
        <f t="shared" si="2"/>
        <v>0.20888227574288698</v>
      </c>
      <c r="D73" t="b">
        <f t="shared" si="3"/>
        <v>0</v>
      </c>
    </row>
    <row r="74" spans="1:4" x14ac:dyDescent="0.25">
      <c r="A74" t="s">
        <v>91</v>
      </c>
      <c r="B74">
        <v>260000</v>
      </c>
      <c r="C74">
        <f t="shared" si="2"/>
        <v>0.898215817571278</v>
      </c>
      <c r="D74" t="b">
        <f t="shared" si="3"/>
        <v>0</v>
      </c>
    </row>
    <row r="75" spans="1:4" x14ac:dyDescent="0.25">
      <c r="A75" t="s">
        <v>91</v>
      </c>
      <c r="B75">
        <v>174000</v>
      </c>
      <c r="C75">
        <f t="shared" si="2"/>
        <v>0.14233539581689891</v>
      </c>
      <c r="D75" t="b">
        <f t="shared" si="3"/>
        <v>0</v>
      </c>
    </row>
    <row r="76" spans="1:4" x14ac:dyDescent="0.25">
      <c r="A76" t="s">
        <v>91</v>
      </c>
      <c r="B76">
        <v>85000</v>
      </c>
      <c r="C76">
        <f t="shared" si="2"/>
        <v>1.219184907346524</v>
      </c>
      <c r="D76" t="b">
        <f t="shared" si="3"/>
        <v>0</v>
      </c>
    </row>
    <row r="77" spans="1:4" x14ac:dyDescent="0.25">
      <c r="A77" t="s">
        <v>91</v>
      </c>
      <c r="B77">
        <v>123600</v>
      </c>
      <c r="C77">
        <f t="shared" si="2"/>
        <v>0.75214680459322591</v>
      </c>
      <c r="D77" t="b">
        <f t="shared" si="3"/>
        <v>0</v>
      </c>
    </row>
    <row r="78" spans="1:4" x14ac:dyDescent="0.25">
      <c r="A78" t="s">
        <v>91</v>
      </c>
      <c r="B78">
        <v>109900</v>
      </c>
      <c r="C78">
        <f t="shared" si="2"/>
        <v>0.91790903277250524</v>
      </c>
      <c r="D78" t="b">
        <f t="shared" si="3"/>
        <v>0</v>
      </c>
    </row>
    <row r="79" spans="1:4" x14ac:dyDescent="0.25">
      <c r="A79" t="s">
        <v>91</v>
      </c>
      <c r="B79">
        <v>98600</v>
      </c>
      <c r="C79">
        <f t="shared" si="2"/>
        <v>1.0546326224386262</v>
      </c>
      <c r="D79" t="b">
        <f t="shared" si="3"/>
        <v>0</v>
      </c>
    </row>
    <row r="80" spans="1:4" x14ac:dyDescent="0.25">
      <c r="A80" t="s">
        <v>91</v>
      </c>
      <c r="B80">
        <v>163500</v>
      </c>
      <c r="C80">
        <f t="shared" si="2"/>
        <v>0.26937943931196701</v>
      </c>
      <c r="D80" t="b">
        <f t="shared" si="3"/>
        <v>0</v>
      </c>
    </row>
    <row r="81" spans="1:4" x14ac:dyDescent="0.25">
      <c r="A81" t="s">
        <v>91</v>
      </c>
      <c r="B81">
        <v>204750</v>
      </c>
      <c r="C81">
        <f t="shared" si="2"/>
        <v>0.22972216013294341</v>
      </c>
      <c r="D81" t="b">
        <f t="shared" si="3"/>
        <v>0</v>
      </c>
    </row>
    <row r="82" spans="1:4" x14ac:dyDescent="0.25">
      <c r="A82" t="s">
        <v>91</v>
      </c>
      <c r="B82">
        <v>185000</v>
      </c>
      <c r="C82">
        <f t="shared" si="2"/>
        <v>9.241635964922796E-3</v>
      </c>
      <c r="D82" t="b">
        <f t="shared" si="3"/>
        <v>0</v>
      </c>
    </row>
    <row r="83" spans="1:4" x14ac:dyDescent="0.25">
      <c r="A83" t="s">
        <v>91</v>
      </c>
      <c r="B83">
        <v>214000</v>
      </c>
      <c r="C83">
        <f t="shared" si="2"/>
        <v>0.34164191273574152</v>
      </c>
      <c r="D83" t="b">
        <f t="shared" si="3"/>
        <v>0</v>
      </c>
    </row>
    <row r="84" spans="1:4" x14ac:dyDescent="0.25">
      <c r="A84" t="s">
        <v>91</v>
      </c>
      <c r="B84">
        <v>94750</v>
      </c>
      <c r="C84">
        <f t="shared" si="2"/>
        <v>1.1012154383868178</v>
      </c>
      <c r="D84" t="b">
        <f t="shared" si="3"/>
        <v>0</v>
      </c>
    </row>
    <row r="85" spans="1:4" x14ac:dyDescent="0.25">
      <c r="A85" t="s">
        <v>91</v>
      </c>
      <c r="B85">
        <v>83000</v>
      </c>
      <c r="C85">
        <f t="shared" si="2"/>
        <v>1.2433837727741559</v>
      </c>
      <c r="D85" t="b">
        <f t="shared" si="3"/>
        <v>0</v>
      </c>
    </row>
    <row r="86" spans="1:4" x14ac:dyDescent="0.25">
      <c r="A86" t="s">
        <v>91</v>
      </c>
      <c r="B86">
        <v>128950</v>
      </c>
      <c r="C86">
        <f t="shared" si="2"/>
        <v>0.68741483957431027</v>
      </c>
      <c r="D86" t="b">
        <f t="shared" si="3"/>
        <v>0</v>
      </c>
    </row>
    <row r="87" spans="1:4" x14ac:dyDescent="0.25">
      <c r="A87" t="s">
        <v>91</v>
      </c>
      <c r="B87">
        <v>205000</v>
      </c>
      <c r="C87">
        <f t="shared" si="2"/>
        <v>0.23274701831139744</v>
      </c>
      <c r="D87" t="b">
        <f t="shared" si="3"/>
        <v>0</v>
      </c>
    </row>
    <row r="88" spans="1:4" x14ac:dyDescent="0.25">
      <c r="A88" t="s">
        <v>91</v>
      </c>
      <c r="B88">
        <v>178000</v>
      </c>
      <c r="C88">
        <f t="shared" si="2"/>
        <v>9.3937664961634873E-2</v>
      </c>
      <c r="D88" t="b">
        <f t="shared" si="3"/>
        <v>0</v>
      </c>
    </row>
    <row r="89" spans="1:4" x14ac:dyDescent="0.25">
      <c r="A89" t="s">
        <v>91</v>
      </c>
      <c r="B89">
        <v>198900</v>
      </c>
      <c r="C89">
        <f t="shared" si="2"/>
        <v>0.15894047875711975</v>
      </c>
      <c r="D89" t="b">
        <f t="shared" si="3"/>
        <v>0</v>
      </c>
    </row>
    <row r="90" spans="1:4" x14ac:dyDescent="0.25">
      <c r="A90" t="s">
        <v>91</v>
      </c>
      <c r="B90">
        <v>169500</v>
      </c>
      <c r="C90">
        <f t="shared" si="2"/>
        <v>0.19678284302907095</v>
      </c>
      <c r="D90" t="b">
        <f t="shared" si="3"/>
        <v>0</v>
      </c>
    </row>
    <row r="91" spans="1:4" x14ac:dyDescent="0.25">
      <c r="A91" t="s">
        <v>91</v>
      </c>
      <c r="B91">
        <v>250000</v>
      </c>
      <c r="C91">
        <f t="shared" si="2"/>
        <v>0.77722149043311795</v>
      </c>
      <c r="D91" t="b">
        <f t="shared" si="3"/>
        <v>0</v>
      </c>
    </row>
    <row r="92" spans="1:4" x14ac:dyDescent="0.25">
      <c r="A92" t="s">
        <v>91</v>
      </c>
      <c r="B92">
        <v>100000</v>
      </c>
      <c r="C92">
        <f t="shared" si="2"/>
        <v>1.0376934166392837</v>
      </c>
      <c r="D92" t="b">
        <f t="shared" si="3"/>
        <v>0</v>
      </c>
    </row>
    <row r="93" spans="1:4" x14ac:dyDescent="0.25">
      <c r="A93" t="s">
        <v>91</v>
      </c>
      <c r="B93">
        <v>115000</v>
      </c>
      <c r="C93">
        <f t="shared" si="2"/>
        <v>0.85620192593204358</v>
      </c>
      <c r="D93" t="b">
        <f t="shared" si="3"/>
        <v>0</v>
      </c>
    </row>
    <row r="94" spans="1:4" x14ac:dyDescent="0.25">
      <c r="A94" t="s">
        <v>91</v>
      </c>
      <c r="B94">
        <v>115000</v>
      </c>
      <c r="C94">
        <f t="shared" si="2"/>
        <v>0.85620192593204358</v>
      </c>
      <c r="D94" t="b">
        <f t="shared" si="3"/>
        <v>0</v>
      </c>
    </row>
    <row r="95" spans="1:4" x14ac:dyDescent="0.25">
      <c r="A95" t="s">
        <v>91</v>
      </c>
      <c r="B95">
        <v>190000</v>
      </c>
      <c r="C95">
        <f t="shared" si="2"/>
        <v>5.1255527604157261E-2</v>
      </c>
      <c r="D95" t="b">
        <f t="shared" si="3"/>
        <v>0</v>
      </c>
    </row>
    <row r="96" spans="1:4" x14ac:dyDescent="0.25">
      <c r="A96" t="s">
        <v>91</v>
      </c>
      <c r="B96">
        <v>136900</v>
      </c>
      <c r="C96">
        <f t="shared" si="2"/>
        <v>0.59122434949947289</v>
      </c>
      <c r="D96" t="b">
        <f t="shared" si="3"/>
        <v>0</v>
      </c>
    </row>
    <row r="97" spans="1:4" x14ac:dyDescent="0.25">
      <c r="A97" t="s">
        <v>91</v>
      </c>
      <c r="B97">
        <v>180000</v>
      </c>
      <c r="C97">
        <f t="shared" si="2"/>
        <v>6.9738799534002846E-2</v>
      </c>
      <c r="D97" t="b">
        <f t="shared" si="3"/>
        <v>0</v>
      </c>
    </row>
    <row r="98" spans="1:4" x14ac:dyDescent="0.25">
      <c r="A98" t="s">
        <v>91</v>
      </c>
      <c r="B98">
        <v>383970</v>
      </c>
      <c r="C98">
        <f t="shared" si="2"/>
        <v>2.3981824911030487</v>
      </c>
      <c r="D98" t="b">
        <f t="shared" si="3"/>
        <v>0</v>
      </c>
    </row>
    <row r="99" spans="1:4" x14ac:dyDescent="0.25">
      <c r="A99" t="s">
        <v>91</v>
      </c>
      <c r="B99">
        <v>217000</v>
      </c>
      <c r="C99">
        <f t="shared" si="2"/>
        <v>0.37794021087718954</v>
      </c>
      <c r="D99" t="b">
        <f t="shared" si="3"/>
        <v>0</v>
      </c>
    </row>
    <row r="100" spans="1:4" x14ac:dyDescent="0.25">
      <c r="A100" t="s">
        <v>91</v>
      </c>
      <c r="B100">
        <v>259500</v>
      </c>
      <c r="C100">
        <f t="shared" si="2"/>
        <v>0.89216610121437001</v>
      </c>
      <c r="D100" t="b">
        <f t="shared" si="3"/>
        <v>0</v>
      </c>
    </row>
    <row r="101" spans="1:4" x14ac:dyDescent="0.25">
      <c r="A101" t="s">
        <v>91</v>
      </c>
      <c r="B101">
        <v>139000</v>
      </c>
      <c r="C101">
        <f t="shared" si="2"/>
        <v>0.56581554080045926</v>
      </c>
      <c r="D101" t="b">
        <f t="shared" si="3"/>
        <v>0</v>
      </c>
    </row>
    <row r="102" spans="1:4" x14ac:dyDescent="0.25">
      <c r="A102" t="s">
        <v>91</v>
      </c>
      <c r="B102">
        <v>155000</v>
      </c>
      <c r="C102">
        <f t="shared" si="2"/>
        <v>0.3722246173794031</v>
      </c>
      <c r="D102" t="b">
        <f t="shared" si="3"/>
        <v>0</v>
      </c>
    </row>
    <row r="103" spans="1:4" x14ac:dyDescent="0.25">
      <c r="A103" t="s">
        <v>91</v>
      </c>
      <c r="B103">
        <v>320000</v>
      </c>
      <c r="C103">
        <f t="shared" si="2"/>
        <v>1.6241817804002388</v>
      </c>
      <c r="D103" t="b">
        <f t="shared" si="3"/>
        <v>0</v>
      </c>
    </row>
    <row r="104" spans="1:4" x14ac:dyDescent="0.25">
      <c r="A104" t="s">
        <v>91</v>
      </c>
      <c r="B104">
        <v>163990</v>
      </c>
      <c r="C104">
        <f t="shared" si="2"/>
        <v>0.26345071728219721</v>
      </c>
      <c r="D104" t="b">
        <f t="shared" si="3"/>
        <v>0</v>
      </c>
    </row>
    <row r="105" spans="1:4" x14ac:dyDescent="0.25">
      <c r="A105" t="s">
        <v>91</v>
      </c>
      <c r="B105">
        <v>180000</v>
      </c>
      <c r="C105">
        <f t="shared" si="2"/>
        <v>6.9738799534002846E-2</v>
      </c>
      <c r="D105" t="b">
        <f t="shared" si="3"/>
        <v>0</v>
      </c>
    </row>
    <row r="106" spans="1:4" x14ac:dyDescent="0.25">
      <c r="A106" t="s">
        <v>91</v>
      </c>
      <c r="B106">
        <v>100000</v>
      </c>
      <c r="C106">
        <f t="shared" si="2"/>
        <v>1.0376934166392837</v>
      </c>
      <c r="D106" t="b">
        <f t="shared" si="3"/>
        <v>0</v>
      </c>
    </row>
    <row r="107" spans="1:4" x14ac:dyDescent="0.25">
      <c r="A107" t="s">
        <v>91</v>
      </c>
      <c r="B107">
        <v>136000</v>
      </c>
      <c r="C107">
        <f t="shared" si="2"/>
        <v>0.60211383894190729</v>
      </c>
      <c r="D107" t="b">
        <f t="shared" si="3"/>
        <v>0</v>
      </c>
    </row>
    <row r="108" spans="1:4" x14ac:dyDescent="0.25">
      <c r="A108" t="s">
        <v>91</v>
      </c>
      <c r="B108">
        <v>181000</v>
      </c>
      <c r="C108">
        <f t="shared" si="2"/>
        <v>5.7639366820186839E-2</v>
      </c>
      <c r="D108" t="b">
        <f t="shared" si="3"/>
        <v>0</v>
      </c>
    </row>
    <row r="109" spans="1:4" x14ac:dyDescent="0.25">
      <c r="A109" t="s">
        <v>91</v>
      </c>
      <c r="B109">
        <v>87000</v>
      </c>
      <c r="C109">
        <f t="shared" si="2"/>
        <v>1.1949860419188918</v>
      </c>
      <c r="D109" t="b">
        <f t="shared" si="3"/>
        <v>0</v>
      </c>
    </row>
    <row r="110" spans="1:4" x14ac:dyDescent="0.25">
      <c r="A110" t="s">
        <v>91</v>
      </c>
      <c r="B110">
        <v>155000</v>
      </c>
      <c r="C110">
        <f t="shared" si="2"/>
        <v>0.3722246173794031</v>
      </c>
      <c r="D110" t="b">
        <f t="shared" si="3"/>
        <v>0</v>
      </c>
    </row>
    <row r="111" spans="1:4" x14ac:dyDescent="0.25">
      <c r="A111" t="s">
        <v>91</v>
      </c>
      <c r="B111">
        <v>150000</v>
      </c>
      <c r="C111">
        <f t="shared" si="2"/>
        <v>0.43272178094848318</v>
      </c>
      <c r="D111" t="b">
        <f t="shared" si="3"/>
        <v>0</v>
      </c>
    </row>
    <row r="112" spans="1:4" x14ac:dyDescent="0.25">
      <c r="A112" t="s">
        <v>91</v>
      </c>
      <c r="B112">
        <v>226000</v>
      </c>
      <c r="C112">
        <f t="shared" si="2"/>
        <v>0.48683510530153368</v>
      </c>
      <c r="D112" t="b">
        <f t="shared" si="3"/>
        <v>0</v>
      </c>
    </row>
    <row r="113" spans="1:4" x14ac:dyDescent="0.25">
      <c r="A113" t="s">
        <v>91</v>
      </c>
      <c r="B113">
        <v>244000</v>
      </c>
      <c r="C113">
        <f t="shared" si="2"/>
        <v>0.70462489415022189</v>
      </c>
      <c r="D113" t="b">
        <f t="shared" si="3"/>
        <v>0</v>
      </c>
    </row>
    <row r="114" spans="1:4" x14ac:dyDescent="0.25">
      <c r="A114" t="s">
        <v>91</v>
      </c>
      <c r="B114">
        <v>150750</v>
      </c>
      <c r="C114">
        <f t="shared" si="2"/>
        <v>0.42364720641312115</v>
      </c>
      <c r="D114" t="b">
        <f t="shared" si="3"/>
        <v>0</v>
      </c>
    </row>
    <row r="115" spans="1:4" x14ac:dyDescent="0.25">
      <c r="A115" t="s">
        <v>91</v>
      </c>
      <c r="B115">
        <v>220000</v>
      </c>
      <c r="C115">
        <f t="shared" si="2"/>
        <v>0.41423850901863757</v>
      </c>
      <c r="D115" t="b">
        <f t="shared" si="3"/>
        <v>0</v>
      </c>
    </row>
    <row r="116" spans="1:4" x14ac:dyDescent="0.25">
      <c r="A116" t="s">
        <v>91</v>
      </c>
      <c r="B116">
        <v>180000</v>
      </c>
      <c r="C116">
        <f t="shared" si="2"/>
        <v>6.9738799534002846E-2</v>
      </c>
      <c r="D116" t="b">
        <f t="shared" si="3"/>
        <v>0</v>
      </c>
    </row>
    <row r="117" spans="1:4" x14ac:dyDescent="0.25">
      <c r="A117" t="s">
        <v>91</v>
      </c>
      <c r="B117">
        <v>174000</v>
      </c>
      <c r="C117">
        <f t="shared" si="2"/>
        <v>0.14233539581689891</v>
      </c>
      <c r="D117" t="b">
        <f t="shared" si="3"/>
        <v>0</v>
      </c>
    </row>
    <row r="118" spans="1:4" x14ac:dyDescent="0.25">
      <c r="A118" t="s">
        <v>91</v>
      </c>
      <c r="B118">
        <v>143000</v>
      </c>
      <c r="C118">
        <f t="shared" si="2"/>
        <v>0.51741780994519526</v>
      </c>
      <c r="D118" t="b">
        <f t="shared" si="3"/>
        <v>0</v>
      </c>
    </row>
    <row r="119" spans="1:4" x14ac:dyDescent="0.25">
      <c r="A119" t="s">
        <v>91</v>
      </c>
      <c r="B119">
        <v>230000</v>
      </c>
      <c r="C119">
        <f t="shared" si="2"/>
        <v>0.53523283615679773</v>
      </c>
      <c r="D119" t="b">
        <f t="shared" si="3"/>
        <v>0</v>
      </c>
    </row>
    <row r="120" spans="1:4" x14ac:dyDescent="0.25">
      <c r="A120" t="s">
        <v>91</v>
      </c>
      <c r="B120">
        <v>231500</v>
      </c>
      <c r="C120">
        <f t="shared" si="2"/>
        <v>0.55338198522752169</v>
      </c>
      <c r="D120" t="b">
        <f t="shared" si="3"/>
        <v>0</v>
      </c>
    </row>
    <row r="121" spans="1:4" x14ac:dyDescent="0.25">
      <c r="A121" t="s">
        <v>91</v>
      </c>
      <c r="B121">
        <v>115000</v>
      </c>
      <c r="C121">
        <f t="shared" si="2"/>
        <v>0.85620192593204358</v>
      </c>
      <c r="D121" t="b">
        <f t="shared" si="3"/>
        <v>0</v>
      </c>
    </row>
    <row r="122" spans="1:4" x14ac:dyDescent="0.25">
      <c r="A122" t="s">
        <v>91</v>
      </c>
      <c r="B122">
        <v>260000</v>
      </c>
      <c r="C122">
        <f t="shared" si="2"/>
        <v>0.898215817571278</v>
      </c>
      <c r="D122" t="b">
        <f t="shared" si="3"/>
        <v>0</v>
      </c>
    </row>
    <row r="123" spans="1:4" x14ac:dyDescent="0.25">
      <c r="A123" t="s">
        <v>91</v>
      </c>
      <c r="B123">
        <v>166000</v>
      </c>
      <c r="C123">
        <f t="shared" si="2"/>
        <v>0.23913085752742699</v>
      </c>
      <c r="D123" t="b">
        <f t="shared" si="3"/>
        <v>0</v>
      </c>
    </row>
    <row r="124" spans="1:4" x14ac:dyDescent="0.25">
      <c r="A124" t="s">
        <v>91</v>
      </c>
      <c r="B124">
        <v>204000</v>
      </c>
      <c r="C124">
        <f t="shared" si="2"/>
        <v>0.22064758559758141</v>
      </c>
      <c r="D124" t="b">
        <f t="shared" si="3"/>
        <v>0</v>
      </c>
    </row>
    <row r="125" spans="1:4" x14ac:dyDescent="0.25">
      <c r="A125" t="s">
        <v>91</v>
      </c>
      <c r="B125">
        <v>105000</v>
      </c>
      <c r="C125">
        <f t="shared" si="2"/>
        <v>0.97719625307020364</v>
      </c>
      <c r="D125" t="b">
        <f t="shared" si="3"/>
        <v>0</v>
      </c>
    </row>
    <row r="126" spans="1:4" x14ac:dyDescent="0.25">
      <c r="A126" t="s">
        <v>91</v>
      </c>
      <c r="B126">
        <v>222500</v>
      </c>
      <c r="C126">
        <f t="shared" si="2"/>
        <v>0.44448709080317761</v>
      </c>
      <c r="D126" t="b">
        <f t="shared" si="3"/>
        <v>0</v>
      </c>
    </row>
    <row r="127" spans="1:4" x14ac:dyDescent="0.25">
      <c r="A127" t="s">
        <v>91</v>
      </c>
      <c r="B127">
        <v>141000</v>
      </c>
      <c r="C127">
        <f t="shared" si="2"/>
        <v>0.54161667537282732</v>
      </c>
      <c r="D127" t="b">
        <f t="shared" si="3"/>
        <v>0</v>
      </c>
    </row>
    <row r="128" spans="1:4" x14ac:dyDescent="0.25">
      <c r="A128" t="s">
        <v>91</v>
      </c>
      <c r="B128">
        <v>115000</v>
      </c>
      <c r="C128">
        <f t="shared" si="2"/>
        <v>0.85620192593204358</v>
      </c>
      <c r="D128" t="b">
        <f t="shared" si="3"/>
        <v>0</v>
      </c>
    </row>
    <row r="129" spans="1:4" x14ac:dyDescent="0.25">
      <c r="A129" t="s">
        <v>91</v>
      </c>
      <c r="B129">
        <v>122000</v>
      </c>
      <c r="C129">
        <f t="shared" si="2"/>
        <v>0.77150589693533145</v>
      </c>
      <c r="D129" t="b">
        <f t="shared" si="3"/>
        <v>0</v>
      </c>
    </row>
    <row r="130" spans="1:4" x14ac:dyDescent="0.25">
      <c r="A130" t="s">
        <v>91</v>
      </c>
      <c r="B130">
        <v>372402</v>
      </c>
      <c r="C130">
        <f t="shared" si="2"/>
        <v>2.2582162534696253</v>
      </c>
      <c r="D130" t="b">
        <f t="shared" si="3"/>
        <v>0</v>
      </c>
    </row>
    <row r="131" spans="1:4" x14ac:dyDescent="0.25">
      <c r="A131" t="s">
        <v>91</v>
      </c>
      <c r="B131">
        <v>190000</v>
      </c>
      <c r="C131">
        <f t="shared" ref="C131:C194" si="4">ABS((B131-$G$4)/$G$8)</f>
        <v>5.1255527604157261E-2</v>
      </c>
      <c r="D131" t="b">
        <f t="shared" ref="D131:D194" si="5">IF(C131&gt;3,TRUE,FALSE)</f>
        <v>0</v>
      </c>
    </row>
    <row r="132" spans="1:4" x14ac:dyDescent="0.25">
      <c r="A132" t="s">
        <v>91</v>
      </c>
      <c r="B132">
        <v>235000</v>
      </c>
      <c r="C132">
        <f t="shared" si="4"/>
        <v>0.5957299997258777</v>
      </c>
      <c r="D132" t="b">
        <f t="shared" si="5"/>
        <v>0</v>
      </c>
    </row>
    <row r="133" spans="1:4" x14ac:dyDescent="0.25">
      <c r="A133" t="s">
        <v>91</v>
      </c>
      <c r="B133">
        <v>125000</v>
      </c>
      <c r="C133">
        <f t="shared" si="4"/>
        <v>0.73520759879388342</v>
      </c>
      <c r="D133" t="b">
        <f t="shared" si="5"/>
        <v>0</v>
      </c>
    </row>
    <row r="134" spans="1:4" x14ac:dyDescent="0.25">
      <c r="A134" t="s">
        <v>91</v>
      </c>
      <c r="B134">
        <v>79000</v>
      </c>
      <c r="C134">
        <f t="shared" si="4"/>
        <v>1.29178150362942</v>
      </c>
      <c r="D134" t="b">
        <f t="shared" si="5"/>
        <v>0</v>
      </c>
    </row>
    <row r="135" spans="1:4" x14ac:dyDescent="0.25">
      <c r="A135" t="s">
        <v>91</v>
      </c>
      <c r="B135">
        <v>109500</v>
      </c>
      <c r="C135">
        <f t="shared" si="4"/>
        <v>0.92274880585803165</v>
      </c>
      <c r="D135" t="b">
        <f t="shared" si="5"/>
        <v>0</v>
      </c>
    </row>
    <row r="136" spans="1:4" x14ac:dyDescent="0.25">
      <c r="A136" t="s">
        <v>91</v>
      </c>
      <c r="B136">
        <v>269500</v>
      </c>
      <c r="C136">
        <f t="shared" si="4"/>
        <v>1.0131604283525302</v>
      </c>
      <c r="D136" t="b">
        <f t="shared" si="5"/>
        <v>0</v>
      </c>
    </row>
    <row r="137" spans="1:4" x14ac:dyDescent="0.25">
      <c r="A137" t="s">
        <v>91</v>
      </c>
      <c r="B137">
        <v>254900</v>
      </c>
      <c r="C137">
        <f t="shared" si="4"/>
        <v>0.83650871073081634</v>
      </c>
      <c r="D137" t="b">
        <f t="shared" si="5"/>
        <v>0</v>
      </c>
    </row>
    <row r="138" spans="1:4" x14ac:dyDescent="0.25">
      <c r="A138" t="s">
        <v>91</v>
      </c>
      <c r="B138">
        <v>320000</v>
      </c>
      <c r="C138">
        <f t="shared" si="4"/>
        <v>1.6241817804002388</v>
      </c>
      <c r="D138" t="b">
        <f t="shared" si="5"/>
        <v>0</v>
      </c>
    </row>
    <row r="139" spans="1:4" x14ac:dyDescent="0.25">
      <c r="A139" t="s">
        <v>91</v>
      </c>
      <c r="B139">
        <v>162500</v>
      </c>
      <c r="C139">
        <f t="shared" si="4"/>
        <v>0.28147887202578303</v>
      </c>
      <c r="D139" t="b">
        <f t="shared" si="5"/>
        <v>0</v>
      </c>
    </row>
    <row r="140" spans="1:4" x14ac:dyDescent="0.25">
      <c r="A140" t="s">
        <v>91</v>
      </c>
      <c r="B140">
        <v>412500</v>
      </c>
      <c r="C140">
        <f t="shared" si="4"/>
        <v>2.7433793064282197</v>
      </c>
      <c r="D140" t="b">
        <f t="shared" si="5"/>
        <v>0</v>
      </c>
    </row>
    <row r="141" spans="1:4" x14ac:dyDescent="0.25">
      <c r="A141" t="s">
        <v>91</v>
      </c>
      <c r="B141">
        <v>220000</v>
      </c>
      <c r="C141">
        <f t="shared" si="4"/>
        <v>0.41423850901863757</v>
      </c>
      <c r="D141" t="b">
        <f t="shared" si="5"/>
        <v>0</v>
      </c>
    </row>
    <row r="142" spans="1:4" x14ac:dyDescent="0.25">
      <c r="A142" t="s">
        <v>91</v>
      </c>
      <c r="B142">
        <v>103200</v>
      </c>
      <c r="C142">
        <f t="shared" si="4"/>
        <v>0.99897523195507254</v>
      </c>
      <c r="D142" t="b">
        <f t="shared" si="5"/>
        <v>0</v>
      </c>
    </row>
    <row r="143" spans="1:4" x14ac:dyDescent="0.25">
      <c r="A143" t="s">
        <v>91</v>
      </c>
      <c r="B143">
        <v>152000</v>
      </c>
      <c r="C143">
        <f t="shared" si="4"/>
        <v>0.40852291552085118</v>
      </c>
      <c r="D143" t="b">
        <f t="shared" si="5"/>
        <v>0</v>
      </c>
    </row>
    <row r="144" spans="1:4" x14ac:dyDescent="0.25">
      <c r="A144" t="s">
        <v>91</v>
      </c>
      <c r="B144">
        <v>190000</v>
      </c>
      <c r="C144">
        <f t="shared" si="4"/>
        <v>5.1255527604157261E-2</v>
      </c>
      <c r="D144" t="b">
        <f t="shared" si="5"/>
        <v>0</v>
      </c>
    </row>
    <row r="145" spans="1:4" x14ac:dyDescent="0.25">
      <c r="A145" t="s">
        <v>91</v>
      </c>
      <c r="B145">
        <v>325624</v>
      </c>
      <c r="C145">
        <f t="shared" si="4"/>
        <v>1.6922289899827399</v>
      </c>
      <c r="D145" t="b">
        <f t="shared" si="5"/>
        <v>0</v>
      </c>
    </row>
    <row r="146" spans="1:4" x14ac:dyDescent="0.25">
      <c r="A146" t="s">
        <v>91</v>
      </c>
      <c r="B146">
        <v>183500</v>
      </c>
      <c r="C146">
        <f t="shared" si="4"/>
        <v>2.7390785035646813E-2</v>
      </c>
      <c r="D146" t="b">
        <f t="shared" si="5"/>
        <v>0</v>
      </c>
    </row>
    <row r="147" spans="1:4" x14ac:dyDescent="0.25">
      <c r="A147" t="s">
        <v>91</v>
      </c>
      <c r="B147">
        <v>228000</v>
      </c>
      <c r="C147">
        <f t="shared" si="4"/>
        <v>0.51103397072916568</v>
      </c>
      <c r="D147" t="b">
        <f t="shared" si="5"/>
        <v>0</v>
      </c>
    </row>
    <row r="148" spans="1:4" x14ac:dyDescent="0.25">
      <c r="A148" t="s">
        <v>91</v>
      </c>
      <c r="B148">
        <v>128500</v>
      </c>
      <c r="C148">
        <f t="shared" si="4"/>
        <v>0.69285958429552741</v>
      </c>
      <c r="D148" t="b">
        <f t="shared" si="5"/>
        <v>0</v>
      </c>
    </row>
    <row r="149" spans="1:4" x14ac:dyDescent="0.25">
      <c r="A149" t="s">
        <v>91</v>
      </c>
      <c r="B149">
        <v>215000</v>
      </c>
      <c r="C149">
        <f t="shared" si="4"/>
        <v>0.35374134544955754</v>
      </c>
      <c r="D149" t="b">
        <f t="shared" si="5"/>
        <v>0</v>
      </c>
    </row>
    <row r="150" spans="1:4" x14ac:dyDescent="0.25">
      <c r="A150" t="s">
        <v>91</v>
      </c>
      <c r="B150">
        <v>163000</v>
      </c>
      <c r="C150">
        <f t="shared" si="4"/>
        <v>0.27542915566887505</v>
      </c>
      <c r="D150" t="b">
        <f t="shared" si="5"/>
        <v>0</v>
      </c>
    </row>
    <row r="151" spans="1:4" x14ac:dyDescent="0.25">
      <c r="A151" t="s">
        <v>91</v>
      </c>
      <c r="B151">
        <v>184000</v>
      </c>
      <c r="C151">
        <f t="shared" si="4"/>
        <v>2.1341068678738806E-2</v>
      </c>
      <c r="D151" t="b">
        <f t="shared" si="5"/>
        <v>0</v>
      </c>
    </row>
    <row r="152" spans="1:4" x14ac:dyDescent="0.25">
      <c r="A152" t="s">
        <v>91</v>
      </c>
      <c r="B152">
        <v>243000</v>
      </c>
      <c r="C152">
        <f t="shared" si="4"/>
        <v>0.69252546143640581</v>
      </c>
      <c r="D152" t="b">
        <f t="shared" si="5"/>
        <v>0</v>
      </c>
    </row>
    <row r="153" spans="1:4" x14ac:dyDescent="0.25">
      <c r="A153" t="s">
        <v>91</v>
      </c>
      <c r="B153">
        <v>211000</v>
      </c>
      <c r="C153">
        <f t="shared" si="4"/>
        <v>0.30534361459429349</v>
      </c>
      <c r="D153" t="b">
        <f t="shared" si="5"/>
        <v>0</v>
      </c>
    </row>
    <row r="154" spans="1:4" x14ac:dyDescent="0.25">
      <c r="A154" t="s">
        <v>91</v>
      </c>
      <c r="B154">
        <v>172500</v>
      </c>
      <c r="C154">
        <f t="shared" si="4"/>
        <v>0.16048454488762293</v>
      </c>
      <c r="D154" t="b">
        <f t="shared" si="5"/>
        <v>0</v>
      </c>
    </row>
    <row r="155" spans="1:4" x14ac:dyDescent="0.25">
      <c r="A155" t="s">
        <v>91</v>
      </c>
      <c r="B155">
        <v>501837</v>
      </c>
      <c r="C155">
        <f t="shared" si="4"/>
        <v>3.8243063267824007</v>
      </c>
      <c r="D155" t="b">
        <f t="shared" si="5"/>
        <v>1</v>
      </c>
    </row>
    <row r="156" spans="1:4" x14ac:dyDescent="0.25">
      <c r="A156" t="s">
        <v>91</v>
      </c>
      <c r="B156">
        <v>100000</v>
      </c>
      <c r="C156">
        <f t="shared" si="4"/>
        <v>1.0376934166392837</v>
      </c>
      <c r="D156" t="b">
        <f t="shared" si="5"/>
        <v>0</v>
      </c>
    </row>
    <row r="157" spans="1:4" x14ac:dyDescent="0.25">
      <c r="A157" t="s">
        <v>91</v>
      </c>
      <c r="B157">
        <v>200100</v>
      </c>
      <c r="C157">
        <f t="shared" si="4"/>
        <v>0.17345979801369896</v>
      </c>
      <c r="D157" t="b">
        <f t="shared" si="5"/>
        <v>0</v>
      </c>
    </row>
    <row r="158" spans="1:4" x14ac:dyDescent="0.25">
      <c r="A158" t="s">
        <v>91</v>
      </c>
      <c r="B158">
        <v>120000</v>
      </c>
      <c r="C158">
        <f t="shared" si="4"/>
        <v>0.7957047623629635</v>
      </c>
      <c r="D158" t="b">
        <f t="shared" si="5"/>
        <v>0</v>
      </c>
    </row>
    <row r="159" spans="1:4" x14ac:dyDescent="0.25">
      <c r="A159" t="s">
        <v>91</v>
      </c>
      <c r="B159">
        <v>200000</v>
      </c>
      <c r="C159">
        <f t="shared" si="4"/>
        <v>0.17224985474231738</v>
      </c>
      <c r="D159" t="b">
        <f t="shared" si="5"/>
        <v>0</v>
      </c>
    </row>
    <row r="160" spans="1:4" x14ac:dyDescent="0.25">
      <c r="A160" t="s">
        <v>91</v>
      </c>
      <c r="B160">
        <v>127000</v>
      </c>
      <c r="C160">
        <f t="shared" si="4"/>
        <v>0.71100873336625148</v>
      </c>
      <c r="D160" t="b">
        <f t="shared" si="5"/>
        <v>0</v>
      </c>
    </row>
    <row r="161" spans="1:4" x14ac:dyDescent="0.25">
      <c r="A161" t="s">
        <v>91</v>
      </c>
      <c r="B161">
        <v>475000</v>
      </c>
      <c r="C161">
        <f t="shared" si="4"/>
        <v>3.4995938510417206</v>
      </c>
      <c r="D161" t="b">
        <f t="shared" si="5"/>
        <v>1</v>
      </c>
    </row>
    <row r="162" spans="1:4" x14ac:dyDescent="0.25">
      <c r="A162" t="s">
        <v>91</v>
      </c>
      <c r="B162">
        <v>173000</v>
      </c>
      <c r="C162">
        <f t="shared" si="4"/>
        <v>0.15443482853071494</v>
      </c>
      <c r="D162" t="b">
        <f t="shared" si="5"/>
        <v>0</v>
      </c>
    </row>
    <row r="163" spans="1:4" x14ac:dyDescent="0.25">
      <c r="A163" t="s">
        <v>91</v>
      </c>
      <c r="B163">
        <v>135000</v>
      </c>
      <c r="C163">
        <f t="shared" si="4"/>
        <v>0.61421327165572337</v>
      </c>
      <c r="D163" t="b">
        <f t="shared" si="5"/>
        <v>0</v>
      </c>
    </row>
    <row r="164" spans="1:4" x14ac:dyDescent="0.25">
      <c r="A164" t="s">
        <v>91</v>
      </c>
      <c r="B164">
        <v>315000</v>
      </c>
      <c r="C164">
        <f t="shared" si="4"/>
        <v>1.5636846168311587</v>
      </c>
      <c r="D164" t="b">
        <f t="shared" si="5"/>
        <v>0</v>
      </c>
    </row>
    <row r="165" spans="1:4" x14ac:dyDescent="0.25">
      <c r="A165" t="s">
        <v>91</v>
      </c>
      <c r="B165">
        <v>184000</v>
      </c>
      <c r="C165">
        <f t="shared" si="4"/>
        <v>2.1341068678738806E-2</v>
      </c>
      <c r="D165" t="b">
        <f t="shared" si="5"/>
        <v>0</v>
      </c>
    </row>
    <row r="166" spans="1:4" x14ac:dyDescent="0.25">
      <c r="A166" t="s">
        <v>91</v>
      </c>
      <c r="B166">
        <v>192000</v>
      </c>
      <c r="C166">
        <f t="shared" si="4"/>
        <v>7.5454393031789288E-2</v>
      </c>
      <c r="D166" t="b">
        <f t="shared" si="5"/>
        <v>0</v>
      </c>
    </row>
    <row r="167" spans="1:4" x14ac:dyDescent="0.25">
      <c r="A167" t="s">
        <v>91</v>
      </c>
      <c r="B167">
        <v>127000</v>
      </c>
      <c r="C167">
        <f t="shared" si="4"/>
        <v>0.71100873336625148</v>
      </c>
      <c r="D167" t="b">
        <f t="shared" si="5"/>
        <v>0</v>
      </c>
    </row>
    <row r="168" spans="1:4" x14ac:dyDescent="0.25">
      <c r="A168" t="s">
        <v>91</v>
      </c>
      <c r="B168">
        <v>311872</v>
      </c>
      <c r="C168">
        <f t="shared" si="4"/>
        <v>1.5258375913023421</v>
      </c>
      <c r="D168" t="b">
        <f t="shared" si="5"/>
        <v>0</v>
      </c>
    </row>
    <row r="169" spans="1:4" x14ac:dyDescent="0.25">
      <c r="A169" t="s">
        <v>91</v>
      </c>
      <c r="B169">
        <v>235000</v>
      </c>
      <c r="C169">
        <f t="shared" si="4"/>
        <v>0.5957299997258777</v>
      </c>
      <c r="D169" t="b">
        <f t="shared" si="5"/>
        <v>0</v>
      </c>
    </row>
    <row r="170" spans="1:4" x14ac:dyDescent="0.25">
      <c r="A170" t="s">
        <v>91</v>
      </c>
      <c r="B170">
        <v>104000</v>
      </c>
      <c r="C170">
        <f t="shared" si="4"/>
        <v>0.98929568578401972</v>
      </c>
      <c r="D170" t="b">
        <f t="shared" si="5"/>
        <v>0</v>
      </c>
    </row>
    <row r="171" spans="1:4" x14ac:dyDescent="0.25">
      <c r="A171" t="s">
        <v>91</v>
      </c>
      <c r="B171">
        <v>274900</v>
      </c>
      <c r="C171">
        <f t="shared" si="4"/>
        <v>1.0784973650071366</v>
      </c>
      <c r="D171" t="b">
        <f t="shared" si="5"/>
        <v>0</v>
      </c>
    </row>
    <row r="172" spans="1:4" x14ac:dyDescent="0.25">
      <c r="A172" t="s">
        <v>91</v>
      </c>
      <c r="B172">
        <v>140000</v>
      </c>
      <c r="C172">
        <f t="shared" si="4"/>
        <v>0.55371610808664329</v>
      </c>
      <c r="D172" t="b">
        <f t="shared" si="5"/>
        <v>0</v>
      </c>
    </row>
    <row r="173" spans="1:4" x14ac:dyDescent="0.25">
      <c r="A173" t="s">
        <v>91</v>
      </c>
      <c r="B173">
        <v>171500</v>
      </c>
      <c r="C173">
        <f t="shared" si="4"/>
        <v>0.17258397760143895</v>
      </c>
      <c r="D173" t="b">
        <f t="shared" si="5"/>
        <v>0</v>
      </c>
    </row>
    <row r="174" spans="1:4" x14ac:dyDescent="0.25">
      <c r="A174" t="s">
        <v>91</v>
      </c>
      <c r="B174">
        <v>112000</v>
      </c>
      <c r="C174">
        <f t="shared" si="4"/>
        <v>0.89250022407349161</v>
      </c>
      <c r="D174" t="b">
        <f t="shared" si="5"/>
        <v>0</v>
      </c>
    </row>
    <row r="175" spans="1:4" x14ac:dyDescent="0.25">
      <c r="A175" t="s">
        <v>91</v>
      </c>
      <c r="B175">
        <v>110000</v>
      </c>
      <c r="C175">
        <f t="shared" si="4"/>
        <v>0.91669908950112367</v>
      </c>
      <c r="D175" t="b">
        <f t="shared" si="5"/>
        <v>0</v>
      </c>
    </row>
    <row r="176" spans="1:4" x14ac:dyDescent="0.25">
      <c r="A176" t="s">
        <v>91</v>
      </c>
      <c r="B176">
        <v>180500</v>
      </c>
      <c r="C176">
        <f t="shared" si="4"/>
        <v>6.3689083177094846E-2</v>
      </c>
      <c r="D176" t="b">
        <f t="shared" si="5"/>
        <v>0</v>
      </c>
    </row>
    <row r="177" spans="1:4" x14ac:dyDescent="0.25">
      <c r="A177" t="s">
        <v>91</v>
      </c>
      <c r="B177">
        <v>143900</v>
      </c>
      <c r="C177">
        <f t="shared" si="4"/>
        <v>0.50652832050276086</v>
      </c>
      <c r="D177" t="b">
        <f t="shared" si="5"/>
        <v>0</v>
      </c>
    </row>
    <row r="178" spans="1:4" x14ac:dyDescent="0.25">
      <c r="A178" t="s">
        <v>91</v>
      </c>
      <c r="B178">
        <v>141000</v>
      </c>
      <c r="C178">
        <f t="shared" si="4"/>
        <v>0.54161667537282732</v>
      </c>
      <c r="D178" t="b">
        <f t="shared" si="5"/>
        <v>0</v>
      </c>
    </row>
    <row r="179" spans="1:4" x14ac:dyDescent="0.25">
      <c r="A179" t="s">
        <v>91</v>
      </c>
      <c r="B179">
        <v>277000</v>
      </c>
      <c r="C179">
        <f t="shared" si="4"/>
        <v>1.1039061737061502</v>
      </c>
      <c r="D179" t="b">
        <f t="shared" si="5"/>
        <v>0</v>
      </c>
    </row>
    <row r="180" spans="1:4" x14ac:dyDescent="0.25">
      <c r="A180" t="s">
        <v>91</v>
      </c>
      <c r="B180">
        <v>145000</v>
      </c>
      <c r="C180">
        <f t="shared" si="4"/>
        <v>0.49321894451756326</v>
      </c>
      <c r="D180" t="b">
        <f t="shared" si="5"/>
        <v>0</v>
      </c>
    </row>
    <row r="181" spans="1:4" x14ac:dyDescent="0.25">
      <c r="A181" t="s">
        <v>91</v>
      </c>
      <c r="B181">
        <v>98000</v>
      </c>
      <c r="C181">
        <f t="shared" si="4"/>
        <v>1.0618922820669157</v>
      </c>
      <c r="D181" t="b">
        <f t="shared" si="5"/>
        <v>0</v>
      </c>
    </row>
    <row r="182" spans="1:4" x14ac:dyDescent="0.25">
      <c r="A182" t="s">
        <v>91</v>
      </c>
      <c r="B182">
        <v>186000</v>
      </c>
      <c r="C182">
        <f t="shared" si="4"/>
        <v>2.8577967488932158E-3</v>
      </c>
      <c r="D182" t="b">
        <f t="shared" si="5"/>
        <v>0</v>
      </c>
    </row>
    <row r="183" spans="1:4" x14ac:dyDescent="0.25">
      <c r="A183" t="s">
        <v>91</v>
      </c>
      <c r="B183">
        <v>252678</v>
      </c>
      <c r="C183">
        <f t="shared" si="4"/>
        <v>0.80962377124071716</v>
      </c>
      <c r="D183" t="b">
        <f t="shared" si="5"/>
        <v>0</v>
      </c>
    </row>
    <row r="184" spans="1:4" x14ac:dyDescent="0.25">
      <c r="A184" t="s">
        <v>91</v>
      </c>
      <c r="B184">
        <v>156000</v>
      </c>
      <c r="C184">
        <f t="shared" si="4"/>
        <v>0.36012518466558713</v>
      </c>
      <c r="D184" t="b">
        <f t="shared" si="5"/>
        <v>0</v>
      </c>
    </row>
    <row r="185" spans="1:4" x14ac:dyDescent="0.25">
      <c r="A185" t="s">
        <v>91</v>
      </c>
      <c r="B185">
        <v>161750</v>
      </c>
      <c r="C185">
        <f t="shared" si="4"/>
        <v>0.29055344656114507</v>
      </c>
      <c r="D185" t="b">
        <f t="shared" si="5"/>
        <v>0</v>
      </c>
    </row>
    <row r="186" spans="1:4" x14ac:dyDescent="0.25">
      <c r="A186" t="s">
        <v>91</v>
      </c>
      <c r="B186">
        <v>134450</v>
      </c>
      <c r="C186">
        <f t="shared" si="4"/>
        <v>0.6208679596483222</v>
      </c>
      <c r="D186" t="b">
        <f t="shared" si="5"/>
        <v>0</v>
      </c>
    </row>
    <row r="187" spans="1:4" x14ac:dyDescent="0.25">
      <c r="A187" t="s">
        <v>91</v>
      </c>
      <c r="B187">
        <v>210000</v>
      </c>
      <c r="C187">
        <f t="shared" si="4"/>
        <v>0.29324418188047746</v>
      </c>
      <c r="D187" t="b">
        <f t="shared" si="5"/>
        <v>0</v>
      </c>
    </row>
    <row r="188" spans="1:4" x14ac:dyDescent="0.25">
      <c r="A188" t="s">
        <v>91</v>
      </c>
      <c r="B188">
        <v>107000</v>
      </c>
      <c r="C188">
        <f t="shared" si="4"/>
        <v>0.95299738764257169</v>
      </c>
      <c r="D188" t="b">
        <f t="shared" si="5"/>
        <v>0</v>
      </c>
    </row>
    <row r="189" spans="1:4" x14ac:dyDescent="0.25">
      <c r="A189" t="s">
        <v>91</v>
      </c>
      <c r="B189">
        <v>311500</v>
      </c>
      <c r="C189">
        <f t="shared" si="4"/>
        <v>1.5213366023328025</v>
      </c>
      <c r="D189" t="b">
        <f t="shared" si="5"/>
        <v>0</v>
      </c>
    </row>
    <row r="190" spans="1:4" x14ac:dyDescent="0.25">
      <c r="A190" t="s">
        <v>91</v>
      </c>
      <c r="B190">
        <v>204900</v>
      </c>
      <c r="C190">
        <f t="shared" si="4"/>
        <v>0.23153707504001583</v>
      </c>
      <c r="D190" t="b">
        <f t="shared" si="5"/>
        <v>0</v>
      </c>
    </row>
    <row r="191" spans="1:4" x14ac:dyDescent="0.25">
      <c r="A191" t="s">
        <v>91</v>
      </c>
      <c r="B191">
        <v>200000</v>
      </c>
      <c r="C191">
        <f t="shared" si="4"/>
        <v>0.17224985474231738</v>
      </c>
      <c r="D191" t="b">
        <f t="shared" si="5"/>
        <v>0</v>
      </c>
    </row>
    <row r="192" spans="1:4" x14ac:dyDescent="0.25">
      <c r="A192" t="s">
        <v>91</v>
      </c>
      <c r="B192">
        <v>179900</v>
      </c>
      <c r="C192">
        <f t="shared" si="4"/>
        <v>7.0948742805384449E-2</v>
      </c>
      <c r="D192" t="b">
        <f t="shared" si="5"/>
        <v>0</v>
      </c>
    </row>
    <row r="193" spans="1:4" x14ac:dyDescent="0.25">
      <c r="A193" t="s">
        <v>91</v>
      </c>
      <c r="B193">
        <v>97000</v>
      </c>
      <c r="C193">
        <f t="shared" si="4"/>
        <v>1.0739917147807319</v>
      </c>
      <c r="D193" t="b">
        <f t="shared" si="5"/>
        <v>0</v>
      </c>
    </row>
    <row r="194" spans="1:4" x14ac:dyDescent="0.25">
      <c r="A194" t="s">
        <v>91</v>
      </c>
      <c r="B194">
        <v>386250</v>
      </c>
      <c r="C194">
        <f t="shared" si="4"/>
        <v>2.4257691976905496</v>
      </c>
      <c r="D194" t="b">
        <f t="shared" si="5"/>
        <v>0</v>
      </c>
    </row>
    <row r="195" spans="1:4" x14ac:dyDescent="0.25">
      <c r="A195" t="s">
        <v>91</v>
      </c>
      <c r="B195">
        <v>290000</v>
      </c>
      <c r="C195">
        <f t="shared" ref="C195:C258" si="6">ABS((B195-$G$4)/$G$8)</f>
        <v>1.2611987989857583</v>
      </c>
      <c r="D195" t="b">
        <f t="shared" ref="D195:D258" si="7">IF(C195&gt;3,TRUE,FALSE)</f>
        <v>0</v>
      </c>
    </row>
    <row r="196" spans="1:4" x14ac:dyDescent="0.25">
      <c r="A196" t="s">
        <v>91</v>
      </c>
      <c r="B196">
        <v>125000</v>
      </c>
      <c r="C196">
        <f t="shared" si="6"/>
        <v>0.73520759879388342</v>
      </c>
      <c r="D196" t="b">
        <f t="shared" si="7"/>
        <v>0</v>
      </c>
    </row>
    <row r="197" spans="1:4" x14ac:dyDescent="0.25">
      <c r="A197" t="s">
        <v>91</v>
      </c>
      <c r="B197">
        <v>148000</v>
      </c>
      <c r="C197">
        <f t="shared" si="6"/>
        <v>0.45692064637611518</v>
      </c>
      <c r="D197" t="b">
        <f t="shared" si="7"/>
        <v>0</v>
      </c>
    </row>
    <row r="198" spans="1:4" x14ac:dyDescent="0.25">
      <c r="A198" t="s">
        <v>91</v>
      </c>
      <c r="B198">
        <v>403000</v>
      </c>
      <c r="C198">
        <f t="shared" si="6"/>
        <v>2.6284346956469675</v>
      </c>
      <c r="D198" t="b">
        <f t="shared" si="7"/>
        <v>0</v>
      </c>
    </row>
    <row r="199" spans="1:4" x14ac:dyDescent="0.25">
      <c r="A199" t="s">
        <v>91</v>
      </c>
      <c r="B199">
        <v>128200</v>
      </c>
      <c r="C199">
        <f t="shared" si="6"/>
        <v>0.69648941410967224</v>
      </c>
      <c r="D199" t="b">
        <f t="shared" si="7"/>
        <v>0</v>
      </c>
    </row>
    <row r="200" spans="1:4" x14ac:dyDescent="0.25">
      <c r="A200" t="s">
        <v>91</v>
      </c>
      <c r="B200">
        <v>216500</v>
      </c>
      <c r="C200">
        <f t="shared" si="6"/>
        <v>0.37189049452028156</v>
      </c>
      <c r="D200" t="b">
        <f t="shared" si="7"/>
        <v>0</v>
      </c>
    </row>
    <row r="201" spans="1:4" x14ac:dyDescent="0.25">
      <c r="A201" t="s">
        <v>91</v>
      </c>
      <c r="B201">
        <v>185500</v>
      </c>
      <c r="C201">
        <f t="shared" si="6"/>
        <v>3.1919196080147897E-3</v>
      </c>
      <c r="D201" t="b">
        <f t="shared" si="7"/>
        <v>0</v>
      </c>
    </row>
    <row r="202" spans="1:4" x14ac:dyDescent="0.25">
      <c r="A202" t="s">
        <v>91</v>
      </c>
      <c r="B202">
        <v>194500</v>
      </c>
      <c r="C202">
        <f t="shared" si="6"/>
        <v>0.10570297481632931</v>
      </c>
      <c r="D202" t="b">
        <f t="shared" si="7"/>
        <v>0</v>
      </c>
    </row>
    <row r="203" spans="1:4" x14ac:dyDescent="0.25">
      <c r="A203" t="s">
        <v>91</v>
      </c>
      <c r="B203">
        <v>318000</v>
      </c>
      <c r="C203">
        <f t="shared" si="6"/>
        <v>1.5999829149726066</v>
      </c>
      <c r="D203" t="b">
        <f t="shared" si="7"/>
        <v>0</v>
      </c>
    </row>
    <row r="204" spans="1:4" x14ac:dyDescent="0.25">
      <c r="A204" t="s">
        <v>91</v>
      </c>
      <c r="B204">
        <v>113000</v>
      </c>
      <c r="C204">
        <f t="shared" si="6"/>
        <v>0.88040079135967564</v>
      </c>
      <c r="D204" t="b">
        <f t="shared" si="7"/>
        <v>0</v>
      </c>
    </row>
    <row r="205" spans="1:4" x14ac:dyDescent="0.25">
      <c r="A205" t="s">
        <v>91</v>
      </c>
      <c r="B205">
        <v>262500</v>
      </c>
      <c r="C205">
        <f t="shared" si="6"/>
        <v>0.92846439935581804</v>
      </c>
      <c r="D205" t="b">
        <f t="shared" si="7"/>
        <v>0</v>
      </c>
    </row>
    <row r="206" spans="1:4" x14ac:dyDescent="0.25">
      <c r="A206" t="s">
        <v>91</v>
      </c>
      <c r="B206">
        <v>110500</v>
      </c>
      <c r="C206">
        <f t="shared" si="6"/>
        <v>0.91064937314421557</v>
      </c>
      <c r="D206" t="b">
        <f t="shared" si="7"/>
        <v>0</v>
      </c>
    </row>
    <row r="207" spans="1:4" x14ac:dyDescent="0.25">
      <c r="A207" t="s">
        <v>91</v>
      </c>
      <c r="B207">
        <v>79000</v>
      </c>
      <c r="C207">
        <f t="shared" si="6"/>
        <v>1.29178150362942</v>
      </c>
      <c r="D207" t="b">
        <f t="shared" si="7"/>
        <v>0</v>
      </c>
    </row>
    <row r="208" spans="1:4" x14ac:dyDescent="0.25">
      <c r="A208" t="s">
        <v>91</v>
      </c>
      <c r="B208">
        <v>205000</v>
      </c>
      <c r="C208">
        <f t="shared" si="6"/>
        <v>0.23274701831139744</v>
      </c>
      <c r="D208" t="b">
        <f t="shared" si="7"/>
        <v>0</v>
      </c>
    </row>
    <row r="209" spans="1:4" x14ac:dyDescent="0.25">
      <c r="A209" t="s">
        <v>91</v>
      </c>
      <c r="B209">
        <v>241500</v>
      </c>
      <c r="C209">
        <f t="shared" si="6"/>
        <v>0.67437631236568185</v>
      </c>
      <c r="D209" t="b">
        <f t="shared" si="7"/>
        <v>0</v>
      </c>
    </row>
    <row r="210" spans="1:4" x14ac:dyDescent="0.25">
      <c r="A210" t="s">
        <v>91</v>
      </c>
      <c r="B210">
        <v>140000</v>
      </c>
      <c r="C210">
        <f t="shared" si="6"/>
        <v>0.55371610808664329</v>
      </c>
      <c r="D210" t="b">
        <f t="shared" si="7"/>
        <v>0</v>
      </c>
    </row>
    <row r="211" spans="1:4" x14ac:dyDescent="0.25">
      <c r="A211" t="s">
        <v>91</v>
      </c>
      <c r="B211">
        <v>180000</v>
      </c>
      <c r="C211">
        <f t="shared" si="6"/>
        <v>6.9738799534002846E-2</v>
      </c>
      <c r="D211" t="b">
        <f t="shared" si="7"/>
        <v>0</v>
      </c>
    </row>
    <row r="212" spans="1:4" x14ac:dyDescent="0.25">
      <c r="A212" t="s">
        <v>91</v>
      </c>
      <c r="B212">
        <v>277000</v>
      </c>
      <c r="C212">
        <f t="shared" si="6"/>
        <v>1.1039061737061502</v>
      </c>
      <c r="D212" t="b">
        <f t="shared" si="7"/>
        <v>0</v>
      </c>
    </row>
    <row r="213" spans="1:4" x14ac:dyDescent="0.25">
      <c r="A213" t="s">
        <v>91</v>
      </c>
      <c r="B213">
        <v>76500</v>
      </c>
      <c r="C213">
        <f t="shared" si="6"/>
        <v>1.3220300854139599</v>
      </c>
      <c r="D213" t="b">
        <f t="shared" si="7"/>
        <v>0</v>
      </c>
    </row>
    <row r="214" spans="1:4" x14ac:dyDescent="0.25">
      <c r="A214" t="s">
        <v>91</v>
      </c>
      <c r="B214">
        <v>173000</v>
      </c>
      <c r="C214">
        <f t="shared" si="6"/>
        <v>0.15443482853071494</v>
      </c>
      <c r="D214" t="b">
        <f t="shared" si="7"/>
        <v>0</v>
      </c>
    </row>
    <row r="215" spans="1:4" x14ac:dyDescent="0.25">
      <c r="A215" t="s">
        <v>91</v>
      </c>
      <c r="B215">
        <v>158000</v>
      </c>
      <c r="C215">
        <f t="shared" si="6"/>
        <v>0.33592631923795507</v>
      </c>
      <c r="D215" t="b">
        <f t="shared" si="7"/>
        <v>0</v>
      </c>
    </row>
    <row r="216" spans="1:4" x14ac:dyDescent="0.25">
      <c r="A216" t="s">
        <v>91</v>
      </c>
      <c r="B216">
        <v>145000</v>
      </c>
      <c r="C216">
        <f t="shared" si="6"/>
        <v>0.49321894451756326</v>
      </c>
      <c r="D216" t="b">
        <f t="shared" si="7"/>
        <v>0</v>
      </c>
    </row>
    <row r="217" spans="1:4" x14ac:dyDescent="0.25">
      <c r="A217" t="s">
        <v>91</v>
      </c>
      <c r="B217">
        <v>230000</v>
      </c>
      <c r="C217">
        <f t="shared" si="6"/>
        <v>0.53523283615679773</v>
      </c>
      <c r="D217" t="b">
        <f t="shared" si="7"/>
        <v>0</v>
      </c>
    </row>
    <row r="218" spans="1:4" x14ac:dyDescent="0.25">
      <c r="A218" t="s">
        <v>91</v>
      </c>
      <c r="B218">
        <v>207500</v>
      </c>
      <c r="C218">
        <f t="shared" si="6"/>
        <v>0.26299560009593748</v>
      </c>
      <c r="D218" t="b">
        <f t="shared" si="7"/>
        <v>0</v>
      </c>
    </row>
    <row r="219" spans="1:4" x14ac:dyDescent="0.25">
      <c r="A219" t="s">
        <v>91</v>
      </c>
      <c r="B219">
        <v>220000</v>
      </c>
      <c r="C219">
        <f t="shared" si="6"/>
        <v>0.41423850901863757</v>
      </c>
      <c r="D219" t="b">
        <f t="shared" si="7"/>
        <v>0</v>
      </c>
    </row>
    <row r="220" spans="1:4" x14ac:dyDescent="0.25">
      <c r="A220" t="s">
        <v>91</v>
      </c>
      <c r="B220">
        <v>231500</v>
      </c>
      <c r="C220">
        <f t="shared" si="6"/>
        <v>0.55338198522752169</v>
      </c>
      <c r="D220" t="b">
        <f t="shared" si="7"/>
        <v>0</v>
      </c>
    </row>
    <row r="221" spans="1:4" x14ac:dyDescent="0.25">
      <c r="A221" t="s">
        <v>91</v>
      </c>
      <c r="B221">
        <v>97000</v>
      </c>
      <c r="C221">
        <f t="shared" si="6"/>
        <v>1.0739917147807319</v>
      </c>
      <c r="D221" t="b">
        <f t="shared" si="7"/>
        <v>0</v>
      </c>
    </row>
    <row r="222" spans="1:4" x14ac:dyDescent="0.25">
      <c r="A222" t="s">
        <v>91</v>
      </c>
      <c r="B222">
        <v>176000</v>
      </c>
      <c r="C222">
        <f t="shared" si="6"/>
        <v>0.1181365303892669</v>
      </c>
      <c r="D222" t="b">
        <f t="shared" si="7"/>
        <v>0</v>
      </c>
    </row>
    <row r="223" spans="1:4" x14ac:dyDescent="0.25">
      <c r="A223" t="s">
        <v>91</v>
      </c>
      <c r="B223">
        <v>276000</v>
      </c>
      <c r="C223">
        <f t="shared" si="6"/>
        <v>1.0918067409923342</v>
      </c>
      <c r="D223" t="b">
        <f t="shared" si="7"/>
        <v>0</v>
      </c>
    </row>
    <row r="224" spans="1:4" x14ac:dyDescent="0.25">
      <c r="A224" t="s">
        <v>91</v>
      </c>
      <c r="B224">
        <v>151000</v>
      </c>
      <c r="C224">
        <f t="shared" si="6"/>
        <v>0.42062234823466715</v>
      </c>
      <c r="D224" t="b">
        <f t="shared" si="7"/>
        <v>0</v>
      </c>
    </row>
    <row r="225" spans="1:4" x14ac:dyDescent="0.25">
      <c r="A225" t="s">
        <v>91</v>
      </c>
      <c r="B225">
        <v>130000</v>
      </c>
      <c r="C225">
        <f t="shared" si="6"/>
        <v>0.67471043522480345</v>
      </c>
      <c r="D225" t="b">
        <f t="shared" si="7"/>
        <v>0</v>
      </c>
    </row>
    <row r="226" spans="1:4" x14ac:dyDescent="0.25">
      <c r="A226" t="s">
        <v>91</v>
      </c>
      <c r="B226">
        <v>73000</v>
      </c>
      <c r="C226">
        <f t="shared" si="6"/>
        <v>1.3643780999123161</v>
      </c>
      <c r="D226" t="b">
        <f t="shared" si="7"/>
        <v>0</v>
      </c>
    </row>
    <row r="227" spans="1:4" x14ac:dyDescent="0.25">
      <c r="A227" t="s">
        <v>91</v>
      </c>
      <c r="B227">
        <v>175500</v>
      </c>
      <c r="C227">
        <f t="shared" si="6"/>
        <v>0.1241862467461749</v>
      </c>
      <c r="D227" t="b">
        <f t="shared" si="7"/>
        <v>0</v>
      </c>
    </row>
    <row r="228" spans="1:4" x14ac:dyDescent="0.25">
      <c r="A228" t="s">
        <v>91</v>
      </c>
      <c r="B228">
        <v>185000</v>
      </c>
      <c r="C228">
        <f t="shared" si="6"/>
        <v>9.241635964922796E-3</v>
      </c>
      <c r="D228" t="b">
        <f t="shared" si="7"/>
        <v>0</v>
      </c>
    </row>
    <row r="229" spans="1:4" x14ac:dyDescent="0.25">
      <c r="A229" t="s">
        <v>91</v>
      </c>
      <c r="B229">
        <v>179500</v>
      </c>
      <c r="C229">
        <f t="shared" si="6"/>
        <v>7.578851589091086E-2</v>
      </c>
      <c r="D229" t="b">
        <f t="shared" si="7"/>
        <v>0</v>
      </c>
    </row>
    <row r="230" spans="1:4" x14ac:dyDescent="0.25">
      <c r="A230" t="s">
        <v>91</v>
      </c>
      <c r="B230">
        <v>120500</v>
      </c>
      <c r="C230">
        <f t="shared" si="6"/>
        <v>0.78965504600605552</v>
      </c>
      <c r="D230" t="b">
        <f t="shared" si="7"/>
        <v>0</v>
      </c>
    </row>
    <row r="231" spans="1:4" x14ac:dyDescent="0.25">
      <c r="A231" t="s">
        <v>91</v>
      </c>
      <c r="B231">
        <v>148000</v>
      </c>
      <c r="C231">
        <f t="shared" si="6"/>
        <v>0.45692064637611518</v>
      </c>
      <c r="D231" t="b">
        <f t="shared" si="7"/>
        <v>0</v>
      </c>
    </row>
    <row r="232" spans="1:4" x14ac:dyDescent="0.25">
      <c r="A232" t="s">
        <v>91</v>
      </c>
      <c r="B232">
        <v>266000</v>
      </c>
      <c r="C232">
        <f t="shared" si="6"/>
        <v>0.97081241385417405</v>
      </c>
      <c r="D232" t="b">
        <f t="shared" si="7"/>
        <v>0</v>
      </c>
    </row>
    <row r="233" spans="1:4" x14ac:dyDescent="0.25">
      <c r="A233" t="s">
        <v>91</v>
      </c>
      <c r="B233">
        <v>241500</v>
      </c>
      <c r="C233">
        <f t="shared" si="6"/>
        <v>0.67437631236568185</v>
      </c>
      <c r="D233" t="b">
        <f t="shared" si="7"/>
        <v>0</v>
      </c>
    </row>
    <row r="234" spans="1:4" x14ac:dyDescent="0.25">
      <c r="A234" t="s">
        <v>91</v>
      </c>
      <c r="B234">
        <v>290000</v>
      </c>
      <c r="C234">
        <f t="shared" si="6"/>
        <v>1.2611987989857583</v>
      </c>
      <c r="D234" t="b">
        <f t="shared" si="7"/>
        <v>0</v>
      </c>
    </row>
    <row r="235" spans="1:4" x14ac:dyDescent="0.25">
      <c r="A235" t="s">
        <v>91</v>
      </c>
      <c r="B235">
        <v>139000</v>
      </c>
      <c r="C235">
        <f t="shared" si="6"/>
        <v>0.56581554080045926</v>
      </c>
      <c r="D235" t="b">
        <f t="shared" si="7"/>
        <v>0</v>
      </c>
    </row>
    <row r="236" spans="1:4" x14ac:dyDescent="0.25">
      <c r="A236" t="s">
        <v>91</v>
      </c>
      <c r="B236">
        <v>124500</v>
      </c>
      <c r="C236">
        <f t="shared" si="6"/>
        <v>0.74125731515079141</v>
      </c>
      <c r="D236" t="b">
        <f t="shared" si="7"/>
        <v>0</v>
      </c>
    </row>
    <row r="237" spans="1:4" x14ac:dyDescent="0.25">
      <c r="A237" t="s">
        <v>91</v>
      </c>
      <c r="B237">
        <v>205000</v>
      </c>
      <c r="C237">
        <f t="shared" si="6"/>
        <v>0.23274701831139744</v>
      </c>
      <c r="D237" t="b">
        <f t="shared" si="7"/>
        <v>0</v>
      </c>
    </row>
    <row r="238" spans="1:4" x14ac:dyDescent="0.25">
      <c r="A238" t="s">
        <v>91</v>
      </c>
      <c r="B238">
        <v>201000</v>
      </c>
      <c r="C238">
        <f t="shared" si="6"/>
        <v>0.18434928745613338</v>
      </c>
      <c r="D238" t="b">
        <f t="shared" si="7"/>
        <v>0</v>
      </c>
    </row>
    <row r="239" spans="1:4" x14ac:dyDescent="0.25">
      <c r="A239" t="s">
        <v>91</v>
      </c>
      <c r="B239">
        <v>141000</v>
      </c>
      <c r="C239">
        <f t="shared" si="6"/>
        <v>0.54161667537282732</v>
      </c>
      <c r="D239" t="b">
        <f t="shared" si="7"/>
        <v>0</v>
      </c>
    </row>
    <row r="240" spans="1:4" x14ac:dyDescent="0.25">
      <c r="A240" t="s">
        <v>91</v>
      </c>
      <c r="B240">
        <v>415298</v>
      </c>
      <c r="C240">
        <f t="shared" si="6"/>
        <v>2.7772335191614768</v>
      </c>
      <c r="D240" t="b">
        <f t="shared" si="7"/>
        <v>0</v>
      </c>
    </row>
    <row r="241" spans="1:4" x14ac:dyDescent="0.25">
      <c r="A241" t="s">
        <v>91</v>
      </c>
      <c r="B241">
        <v>192000</v>
      </c>
      <c r="C241">
        <f t="shared" si="6"/>
        <v>7.5454393031789288E-2</v>
      </c>
      <c r="D241" t="b">
        <f t="shared" si="7"/>
        <v>0</v>
      </c>
    </row>
    <row r="242" spans="1:4" x14ac:dyDescent="0.25">
      <c r="A242" t="s">
        <v>91</v>
      </c>
      <c r="B242">
        <v>228500</v>
      </c>
      <c r="C242">
        <f t="shared" si="6"/>
        <v>0.51708368708607366</v>
      </c>
      <c r="D242" t="b">
        <f t="shared" si="7"/>
        <v>0</v>
      </c>
    </row>
    <row r="243" spans="1:4" x14ac:dyDescent="0.25">
      <c r="A243" t="s">
        <v>91</v>
      </c>
      <c r="B243">
        <v>185000</v>
      </c>
      <c r="C243">
        <f t="shared" si="6"/>
        <v>9.241635964922796E-3</v>
      </c>
      <c r="D243" t="b">
        <f t="shared" si="7"/>
        <v>0</v>
      </c>
    </row>
    <row r="244" spans="1:4" x14ac:dyDescent="0.25">
      <c r="A244" t="s">
        <v>91</v>
      </c>
      <c r="B244">
        <v>244600</v>
      </c>
      <c r="C244">
        <f t="shared" si="6"/>
        <v>0.71188455377851145</v>
      </c>
      <c r="D244" t="b">
        <f t="shared" si="7"/>
        <v>0</v>
      </c>
    </row>
    <row r="245" spans="1:4" x14ac:dyDescent="0.25">
      <c r="A245" t="s">
        <v>91</v>
      </c>
      <c r="B245">
        <v>159000</v>
      </c>
      <c r="C245">
        <f t="shared" si="6"/>
        <v>0.3238268865241391</v>
      </c>
      <c r="D245" t="b">
        <f t="shared" si="7"/>
        <v>0</v>
      </c>
    </row>
    <row r="246" spans="1:4" x14ac:dyDescent="0.25">
      <c r="A246" t="s">
        <v>91</v>
      </c>
      <c r="B246">
        <v>88000</v>
      </c>
      <c r="C246">
        <f t="shared" si="6"/>
        <v>1.1828866092050758</v>
      </c>
      <c r="D246" t="b">
        <f t="shared" si="7"/>
        <v>0</v>
      </c>
    </row>
    <row r="247" spans="1:4" x14ac:dyDescent="0.25">
      <c r="A247" t="s">
        <v>91</v>
      </c>
      <c r="B247">
        <v>122000</v>
      </c>
      <c r="C247">
        <f t="shared" si="6"/>
        <v>0.77150589693533145</v>
      </c>
      <c r="D247" t="b">
        <f t="shared" si="7"/>
        <v>0</v>
      </c>
    </row>
    <row r="248" spans="1:4" x14ac:dyDescent="0.25">
      <c r="A248" t="s">
        <v>91</v>
      </c>
      <c r="B248">
        <v>153575</v>
      </c>
      <c r="C248">
        <f t="shared" si="6"/>
        <v>0.38946630899659096</v>
      </c>
      <c r="D248" t="b">
        <f t="shared" si="7"/>
        <v>0</v>
      </c>
    </row>
    <row r="249" spans="1:4" x14ac:dyDescent="0.25">
      <c r="A249" t="s">
        <v>91</v>
      </c>
      <c r="B249">
        <v>233230</v>
      </c>
      <c r="C249">
        <f t="shared" si="6"/>
        <v>0.57431400382242337</v>
      </c>
      <c r="D249" t="b">
        <f t="shared" si="7"/>
        <v>0</v>
      </c>
    </row>
    <row r="250" spans="1:4" x14ac:dyDescent="0.25">
      <c r="A250" t="s">
        <v>91</v>
      </c>
      <c r="B250">
        <v>131000</v>
      </c>
      <c r="C250">
        <f t="shared" si="6"/>
        <v>0.66261100251098737</v>
      </c>
      <c r="D250" t="b">
        <f t="shared" si="7"/>
        <v>0</v>
      </c>
    </row>
    <row r="251" spans="1:4" x14ac:dyDescent="0.25">
      <c r="A251" t="s">
        <v>91</v>
      </c>
      <c r="B251">
        <v>235000</v>
      </c>
      <c r="C251">
        <f t="shared" si="6"/>
        <v>0.5957299997258777</v>
      </c>
      <c r="D251" t="b">
        <f t="shared" si="7"/>
        <v>0</v>
      </c>
    </row>
    <row r="252" spans="1:4" x14ac:dyDescent="0.25">
      <c r="A252" t="s">
        <v>91</v>
      </c>
      <c r="B252">
        <v>167000</v>
      </c>
      <c r="C252">
        <f t="shared" si="6"/>
        <v>0.22703142481361099</v>
      </c>
      <c r="D252" t="b">
        <f t="shared" si="7"/>
        <v>0</v>
      </c>
    </row>
    <row r="253" spans="1:4" x14ac:dyDescent="0.25">
      <c r="A253" t="s">
        <v>91</v>
      </c>
      <c r="B253">
        <v>142500</v>
      </c>
      <c r="C253">
        <f t="shared" si="6"/>
        <v>0.52346752630210325</v>
      </c>
      <c r="D253" t="b">
        <f t="shared" si="7"/>
        <v>0</v>
      </c>
    </row>
    <row r="254" spans="1:4" x14ac:dyDescent="0.25">
      <c r="A254" t="s">
        <v>91</v>
      </c>
      <c r="B254">
        <v>152000</v>
      </c>
      <c r="C254">
        <f t="shared" si="6"/>
        <v>0.40852291552085118</v>
      </c>
      <c r="D254" t="b">
        <f t="shared" si="7"/>
        <v>0</v>
      </c>
    </row>
    <row r="255" spans="1:4" x14ac:dyDescent="0.25">
      <c r="A255" t="s">
        <v>91</v>
      </c>
      <c r="B255">
        <v>239000</v>
      </c>
      <c r="C255">
        <f t="shared" si="6"/>
        <v>0.64412773058114181</v>
      </c>
      <c r="D255" t="b">
        <f t="shared" si="7"/>
        <v>0</v>
      </c>
    </row>
    <row r="256" spans="1:4" x14ac:dyDescent="0.25">
      <c r="A256" t="s">
        <v>91</v>
      </c>
      <c r="B256">
        <v>175000</v>
      </c>
      <c r="C256">
        <f t="shared" si="6"/>
        <v>0.13023596310308291</v>
      </c>
      <c r="D256" t="b">
        <f t="shared" si="7"/>
        <v>0</v>
      </c>
    </row>
    <row r="257" spans="1:4" x14ac:dyDescent="0.25">
      <c r="A257" t="s">
        <v>91</v>
      </c>
      <c r="B257">
        <v>158500</v>
      </c>
      <c r="C257">
        <f t="shared" si="6"/>
        <v>0.32987660288104709</v>
      </c>
      <c r="D257" t="b">
        <f t="shared" si="7"/>
        <v>0</v>
      </c>
    </row>
    <row r="258" spans="1:4" x14ac:dyDescent="0.25">
      <c r="A258" t="s">
        <v>91</v>
      </c>
      <c r="B258">
        <v>267000</v>
      </c>
      <c r="C258">
        <f t="shared" si="6"/>
        <v>0.98291184656799013</v>
      </c>
      <c r="D258" t="b">
        <f t="shared" si="7"/>
        <v>0</v>
      </c>
    </row>
    <row r="259" spans="1:4" x14ac:dyDescent="0.25">
      <c r="A259" t="s">
        <v>91</v>
      </c>
      <c r="B259">
        <v>205000</v>
      </c>
      <c r="C259">
        <f t="shared" ref="C259:C322" si="8">ABS((B259-$G$4)/$G$8)</f>
        <v>0.23274701831139744</v>
      </c>
      <c r="D259" t="b">
        <f t="shared" ref="D259:D322" si="9">IF(C259&gt;3,TRUE,FALSE)</f>
        <v>0</v>
      </c>
    </row>
    <row r="260" spans="1:4" x14ac:dyDescent="0.25">
      <c r="A260" t="s">
        <v>91</v>
      </c>
      <c r="B260">
        <v>149900</v>
      </c>
      <c r="C260">
        <f t="shared" si="8"/>
        <v>0.43393172421986476</v>
      </c>
      <c r="D260" t="b">
        <f t="shared" si="9"/>
        <v>0</v>
      </c>
    </row>
    <row r="261" spans="1:4" x14ac:dyDescent="0.25">
      <c r="A261" t="s">
        <v>91</v>
      </c>
      <c r="B261">
        <v>295000</v>
      </c>
      <c r="C261">
        <f t="shared" si="8"/>
        <v>1.3216959625548383</v>
      </c>
      <c r="D261" t="b">
        <f t="shared" si="9"/>
        <v>0</v>
      </c>
    </row>
    <row r="262" spans="1:4" x14ac:dyDescent="0.25">
      <c r="A262" t="s">
        <v>91</v>
      </c>
      <c r="B262">
        <v>305900</v>
      </c>
      <c r="C262">
        <f t="shared" si="8"/>
        <v>1.453579779135433</v>
      </c>
      <c r="D262" t="b">
        <f t="shared" si="9"/>
        <v>0</v>
      </c>
    </row>
    <row r="263" spans="1:4" x14ac:dyDescent="0.25">
      <c r="A263" t="s">
        <v>91</v>
      </c>
      <c r="B263">
        <v>225000</v>
      </c>
      <c r="C263">
        <f t="shared" si="8"/>
        <v>0.47473567258771765</v>
      </c>
      <c r="D263" t="b">
        <f t="shared" si="9"/>
        <v>0</v>
      </c>
    </row>
    <row r="264" spans="1:4" x14ac:dyDescent="0.25">
      <c r="A264" t="s">
        <v>91</v>
      </c>
      <c r="B264">
        <v>89500</v>
      </c>
      <c r="C264">
        <f t="shared" si="8"/>
        <v>1.1647374601343519</v>
      </c>
      <c r="D264" t="b">
        <f t="shared" si="9"/>
        <v>0</v>
      </c>
    </row>
    <row r="265" spans="1:4" x14ac:dyDescent="0.25">
      <c r="A265" t="s">
        <v>91</v>
      </c>
      <c r="B265">
        <v>82500</v>
      </c>
      <c r="C265">
        <f t="shared" si="8"/>
        <v>1.2494334891310639</v>
      </c>
      <c r="D265" t="b">
        <f t="shared" si="9"/>
        <v>0</v>
      </c>
    </row>
    <row r="266" spans="1:4" x14ac:dyDescent="0.25">
      <c r="A266" t="s">
        <v>91</v>
      </c>
      <c r="B266">
        <v>360000</v>
      </c>
      <c r="C266">
        <f t="shared" si="8"/>
        <v>2.108159088952879</v>
      </c>
      <c r="D266" t="b">
        <f t="shared" si="9"/>
        <v>0</v>
      </c>
    </row>
    <row r="267" spans="1:4" x14ac:dyDescent="0.25">
      <c r="A267" t="s">
        <v>91</v>
      </c>
      <c r="B267">
        <v>165600</v>
      </c>
      <c r="C267">
        <f t="shared" si="8"/>
        <v>0.2439706306129534</v>
      </c>
      <c r="D267" t="b">
        <f t="shared" si="9"/>
        <v>0</v>
      </c>
    </row>
    <row r="268" spans="1:4" x14ac:dyDescent="0.25">
      <c r="A268" t="s">
        <v>91</v>
      </c>
      <c r="B268">
        <v>132000</v>
      </c>
      <c r="C268">
        <f t="shared" si="8"/>
        <v>0.6505115697971714</v>
      </c>
      <c r="D268" t="b">
        <f t="shared" si="9"/>
        <v>0</v>
      </c>
    </row>
    <row r="269" spans="1:4" x14ac:dyDescent="0.25">
      <c r="A269" t="s">
        <v>91</v>
      </c>
      <c r="B269">
        <v>375000</v>
      </c>
      <c r="C269">
        <f t="shared" si="8"/>
        <v>2.2896505796601194</v>
      </c>
      <c r="D269" t="b">
        <f t="shared" si="9"/>
        <v>0</v>
      </c>
    </row>
    <row r="270" spans="1:4" x14ac:dyDescent="0.25">
      <c r="A270" t="s">
        <v>91</v>
      </c>
      <c r="B270">
        <v>178000</v>
      </c>
      <c r="C270">
        <f t="shared" si="8"/>
        <v>9.3937664961634873E-2</v>
      </c>
      <c r="D270" t="b">
        <f t="shared" si="9"/>
        <v>0</v>
      </c>
    </row>
    <row r="271" spans="1:4" x14ac:dyDescent="0.25">
      <c r="A271" t="s">
        <v>91</v>
      </c>
      <c r="B271">
        <v>188500</v>
      </c>
      <c r="C271">
        <f t="shared" si="8"/>
        <v>3.3106378533433241E-2</v>
      </c>
      <c r="D271" t="b">
        <f t="shared" si="9"/>
        <v>0</v>
      </c>
    </row>
    <row r="272" spans="1:4" x14ac:dyDescent="0.25">
      <c r="A272" t="s">
        <v>91</v>
      </c>
      <c r="B272">
        <v>260000</v>
      </c>
      <c r="C272">
        <f t="shared" si="8"/>
        <v>0.898215817571278</v>
      </c>
      <c r="D272" t="b">
        <f t="shared" si="9"/>
        <v>0</v>
      </c>
    </row>
    <row r="273" spans="1:4" x14ac:dyDescent="0.25">
      <c r="A273" t="s">
        <v>91</v>
      </c>
      <c r="B273">
        <v>270000</v>
      </c>
      <c r="C273">
        <f t="shared" si="8"/>
        <v>1.0192101447094382</v>
      </c>
      <c r="D273" t="b">
        <f t="shared" si="9"/>
        <v>0</v>
      </c>
    </row>
    <row r="274" spans="1:4" x14ac:dyDescent="0.25">
      <c r="A274" t="s">
        <v>91</v>
      </c>
      <c r="B274">
        <v>260000</v>
      </c>
      <c r="C274">
        <f t="shared" si="8"/>
        <v>0.898215817571278</v>
      </c>
      <c r="D274" t="b">
        <f t="shared" si="9"/>
        <v>0</v>
      </c>
    </row>
    <row r="275" spans="1:4" x14ac:dyDescent="0.25">
      <c r="A275" t="s">
        <v>91</v>
      </c>
      <c r="B275">
        <v>187500</v>
      </c>
      <c r="C275">
        <f t="shared" si="8"/>
        <v>2.1006945819617231E-2</v>
      </c>
      <c r="D275" t="b">
        <f t="shared" si="9"/>
        <v>0</v>
      </c>
    </row>
    <row r="276" spans="1:4" x14ac:dyDescent="0.25">
      <c r="A276" t="s">
        <v>91</v>
      </c>
      <c r="B276">
        <v>342643</v>
      </c>
      <c r="C276">
        <f t="shared" si="8"/>
        <v>1.8981492353391747</v>
      </c>
      <c r="D276" t="b">
        <f t="shared" si="9"/>
        <v>0</v>
      </c>
    </row>
    <row r="277" spans="1:4" x14ac:dyDescent="0.25">
      <c r="A277" t="s">
        <v>91</v>
      </c>
      <c r="B277">
        <v>354000</v>
      </c>
      <c r="C277">
        <f t="shared" si="8"/>
        <v>2.0355624926699831</v>
      </c>
      <c r="D277" t="b">
        <f t="shared" si="9"/>
        <v>0</v>
      </c>
    </row>
    <row r="278" spans="1:4" x14ac:dyDescent="0.25">
      <c r="A278" t="s">
        <v>91</v>
      </c>
      <c r="B278">
        <v>301000</v>
      </c>
      <c r="C278">
        <f t="shared" si="8"/>
        <v>1.3942925588377344</v>
      </c>
      <c r="D278" t="b">
        <f t="shared" si="9"/>
        <v>0</v>
      </c>
    </row>
    <row r="279" spans="1:4" x14ac:dyDescent="0.25">
      <c r="A279" t="s">
        <v>91</v>
      </c>
      <c r="B279">
        <v>126175</v>
      </c>
      <c r="C279">
        <f t="shared" si="8"/>
        <v>0.72099076535514961</v>
      </c>
      <c r="D279" t="b">
        <f t="shared" si="9"/>
        <v>0</v>
      </c>
    </row>
    <row r="280" spans="1:4" x14ac:dyDescent="0.25">
      <c r="A280" t="s">
        <v>91</v>
      </c>
      <c r="B280">
        <v>242000</v>
      </c>
      <c r="C280">
        <f t="shared" si="8"/>
        <v>0.68042602872258984</v>
      </c>
      <c r="D280" t="b">
        <f t="shared" si="9"/>
        <v>0</v>
      </c>
    </row>
    <row r="281" spans="1:4" x14ac:dyDescent="0.25">
      <c r="A281" t="s">
        <v>91</v>
      </c>
      <c r="B281">
        <v>87000</v>
      </c>
      <c r="C281">
        <f t="shared" si="8"/>
        <v>1.1949860419188918</v>
      </c>
      <c r="D281" t="b">
        <f t="shared" si="9"/>
        <v>0</v>
      </c>
    </row>
    <row r="282" spans="1:4" x14ac:dyDescent="0.25">
      <c r="A282" t="s">
        <v>91</v>
      </c>
      <c r="B282">
        <v>145250</v>
      </c>
      <c r="C282">
        <f t="shared" si="8"/>
        <v>0.49019408633910921</v>
      </c>
      <c r="D282" t="b">
        <f t="shared" si="9"/>
        <v>0</v>
      </c>
    </row>
    <row r="283" spans="1:4" x14ac:dyDescent="0.25">
      <c r="A283" t="s">
        <v>91</v>
      </c>
      <c r="B283">
        <v>214500</v>
      </c>
      <c r="C283">
        <f t="shared" si="8"/>
        <v>0.34769162909264956</v>
      </c>
      <c r="D283" t="b">
        <f t="shared" si="9"/>
        <v>0</v>
      </c>
    </row>
    <row r="284" spans="1:4" x14ac:dyDescent="0.25">
      <c r="A284" t="s">
        <v>91</v>
      </c>
      <c r="B284">
        <v>78000</v>
      </c>
      <c r="C284">
        <f t="shared" si="8"/>
        <v>1.303880936343236</v>
      </c>
      <c r="D284" t="b">
        <f t="shared" si="9"/>
        <v>0</v>
      </c>
    </row>
    <row r="285" spans="1:4" x14ac:dyDescent="0.25">
      <c r="A285" t="s">
        <v>91</v>
      </c>
      <c r="B285">
        <v>139000</v>
      </c>
      <c r="C285">
        <f t="shared" si="8"/>
        <v>0.56581554080045926</v>
      </c>
      <c r="D285" t="b">
        <f t="shared" si="9"/>
        <v>0</v>
      </c>
    </row>
    <row r="286" spans="1:4" x14ac:dyDescent="0.25">
      <c r="A286" t="s">
        <v>91</v>
      </c>
      <c r="B286">
        <v>284000</v>
      </c>
      <c r="C286">
        <f t="shared" si="8"/>
        <v>1.1886022027028622</v>
      </c>
      <c r="D286" t="b">
        <f t="shared" si="9"/>
        <v>0</v>
      </c>
    </row>
    <row r="287" spans="1:4" x14ac:dyDescent="0.25">
      <c r="A287" t="s">
        <v>91</v>
      </c>
      <c r="B287">
        <v>192000</v>
      </c>
      <c r="C287">
        <f t="shared" si="8"/>
        <v>7.5454393031789288E-2</v>
      </c>
      <c r="D287" t="b">
        <f t="shared" si="9"/>
        <v>0</v>
      </c>
    </row>
    <row r="288" spans="1:4" x14ac:dyDescent="0.25">
      <c r="A288" t="s">
        <v>91</v>
      </c>
      <c r="B288">
        <v>377426</v>
      </c>
      <c r="C288">
        <f t="shared" si="8"/>
        <v>2.3190038034238367</v>
      </c>
      <c r="D288" t="b">
        <f t="shared" si="9"/>
        <v>0</v>
      </c>
    </row>
    <row r="289" spans="1:4" x14ac:dyDescent="0.25">
      <c r="A289" t="s">
        <v>91</v>
      </c>
      <c r="B289">
        <v>214000</v>
      </c>
      <c r="C289">
        <f t="shared" si="8"/>
        <v>0.34164191273574152</v>
      </c>
      <c r="D289" t="b">
        <f t="shared" si="9"/>
        <v>0</v>
      </c>
    </row>
    <row r="290" spans="1:4" x14ac:dyDescent="0.25">
      <c r="A290" t="s">
        <v>91</v>
      </c>
      <c r="B290">
        <v>202500</v>
      </c>
      <c r="C290">
        <f t="shared" si="8"/>
        <v>0.20249843652685739</v>
      </c>
      <c r="D290" t="b">
        <f t="shared" si="9"/>
        <v>0</v>
      </c>
    </row>
    <row r="291" spans="1:4" x14ac:dyDescent="0.25">
      <c r="A291" t="s">
        <v>91</v>
      </c>
      <c r="B291">
        <v>155000</v>
      </c>
      <c r="C291">
        <f t="shared" si="8"/>
        <v>0.3722246173794031</v>
      </c>
      <c r="D291" t="b">
        <f t="shared" si="9"/>
        <v>0</v>
      </c>
    </row>
    <row r="292" spans="1:4" x14ac:dyDescent="0.25">
      <c r="A292" t="s">
        <v>91</v>
      </c>
      <c r="B292">
        <v>202900</v>
      </c>
      <c r="C292">
        <f t="shared" si="8"/>
        <v>0.20733820961238381</v>
      </c>
      <c r="D292" t="b">
        <f t="shared" si="9"/>
        <v>0</v>
      </c>
    </row>
    <row r="293" spans="1:4" x14ac:dyDescent="0.25">
      <c r="A293" t="s">
        <v>91</v>
      </c>
      <c r="B293">
        <v>82000</v>
      </c>
      <c r="C293">
        <f t="shared" si="8"/>
        <v>1.2554832054879719</v>
      </c>
      <c r="D293" t="b">
        <f t="shared" si="9"/>
        <v>0</v>
      </c>
    </row>
    <row r="294" spans="1:4" x14ac:dyDescent="0.25">
      <c r="A294" t="s">
        <v>91</v>
      </c>
      <c r="B294">
        <v>140200</v>
      </c>
      <c r="C294">
        <f t="shared" si="8"/>
        <v>0.55129622154388014</v>
      </c>
      <c r="D294" t="b">
        <f t="shared" si="9"/>
        <v>0</v>
      </c>
    </row>
    <row r="295" spans="1:4" x14ac:dyDescent="0.25">
      <c r="A295" t="s">
        <v>91</v>
      </c>
      <c r="B295">
        <v>151500</v>
      </c>
      <c r="C295">
        <f t="shared" si="8"/>
        <v>0.41457263187775917</v>
      </c>
      <c r="D295" t="b">
        <f t="shared" si="9"/>
        <v>0</v>
      </c>
    </row>
    <row r="296" spans="1:4" x14ac:dyDescent="0.25">
      <c r="A296" t="s">
        <v>91</v>
      </c>
      <c r="B296">
        <v>157500</v>
      </c>
      <c r="C296">
        <f t="shared" si="8"/>
        <v>0.34197603559486311</v>
      </c>
      <c r="D296" t="b">
        <f t="shared" si="9"/>
        <v>0</v>
      </c>
    </row>
    <row r="297" spans="1:4" x14ac:dyDescent="0.25">
      <c r="A297" t="s">
        <v>91</v>
      </c>
      <c r="B297">
        <v>437154</v>
      </c>
      <c r="C297">
        <f t="shared" si="8"/>
        <v>3.0416787205546396</v>
      </c>
      <c r="D297" t="b">
        <f t="shared" si="9"/>
        <v>1</v>
      </c>
    </row>
    <row r="298" spans="1:4" x14ac:dyDescent="0.25">
      <c r="A298" t="s">
        <v>91</v>
      </c>
      <c r="B298">
        <v>190000</v>
      </c>
      <c r="C298">
        <f t="shared" si="8"/>
        <v>5.1255527604157261E-2</v>
      </c>
      <c r="D298" t="b">
        <f t="shared" si="9"/>
        <v>0</v>
      </c>
    </row>
    <row r="299" spans="1:4" x14ac:dyDescent="0.25">
      <c r="A299" t="s">
        <v>91</v>
      </c>
      <c r="B299">
        <v>95000</v>
      </c>
      <c r="C299">
        <f t="shared" si="8"/>
        <v>1.0981905802083638</v>
      </c>
      <c r="D299" t="b">
        <f t="shared" si="9"/>
        <v>0</v>
      </c>
    </row>
    <row r="300" spans="1:4" x14ac:dyDescent="0.25">
      <c r="A300" t="s">
        <v>91</v>
      </c>
      <c r="B300">
        <v>105900</v>
      </c>
      <c r="C300">
        <f t="shared" si="8"/>
        <v>0.96630676362776924</v>
      </c>
      <c r="D300" t="b">
        <f t="shared" si="9"/>
        <v>0</v>
      </c>
    </row>
    <row r="301" spans="1:4" x14ac:dyDescent="0.25">
      <c r="A301" t="s">
        <v>91</v>
      </c>
      <c r="B301">
        <v>140000</v>
      </c>
      <c r="C301">
        <f t="shared" si="8"/>
        <v>0.55371610808664329</v>
      </c>
      <c r="D301" t="b">
        <f t="shared" si="9"/>
        <v>0</v>
      </c>
    </row>
    <row r="302" spans="1:4" x14ac:dyDescent="0.25">
      <c r="A302" t="s">
        <v>91</v>
      </c>
      <c r="B302">
        <v>177500</v>
      </c>
      <c r="C302">
        <f t="shared" si="8"/>
        <v>9.9987381318542873E-2</v>
      </c>
      <c r="D302" t="b">
        <f t="shared" si="9"/>
        <v>0</v>
      </c>
    </row>
    <row r="303" spans="1:4" x14ac:dyDescent="0.25">
      <c r="A303" t="s">
        <v>91</v>
      </c>
      <c r="B303">
        <v>173000</v>
      </c>
      <c r="C303">
        <f t="shared" si="8"/>
        <v>0.15443482853071494</v>
      </c>
      <c r="D303" t="b">
        <f t="shared" si="9"/>
        <v>0</v>
      </c>
    </row>
    <row r="304" spans="1:4" x14ac:dyDescent="0.25">
      <c r="A304" t="s">
        <v>91</v>
      </c>
      <c r="B304">
        <v>130000</v>
      </c>
      <c r="C304">
        <f t="shared" si="8"/>
        <v>0.67471043522480345</v>
      </c>
      <c r="D304" t="b">
        <f t="shared" si="9"/>
        <v>0</v>
      </c>
    </row>
    <row r="305" spans="1:4" x14ac:dyDescent="0.25">
      <c r="A305" t="s">
        <v>91</v>
      </c>
      <c r="B305">
        <v>280000</v>
      </c>
      <c r="C305">
        <f t="shared" si="8"/>
        <v>1.1402044718475983</v>
      </c>
      <c r="D305" t="b">
        <f t="shared" si="9"/>
        <v>0</v>
      </c>
    </row>
    <row r="306" spans="1:4" x14ac:dyDescent="0.25">
      <c r="A306" t="s">
        <v>91</v>
      </c>
      <c r="B306">
        <v>156000</v>
      </c>
      <c r="C306">
        <f t="shared" si="8"/>
        <v>0.36012518466558713</v>
      </c>
      <c r="D306" t="b">
        <f t="shared" si="9"/>
        <v>0</v>
      </c>
    </row>
    <row r="307" spans="1:4" x14ac:dyDescent="0.25">
      <c r="A307" t="s">
        <v>91</v>
      </c>
      <c r="B307">
        <v>145000</v>
      </c>
      <c r="C307">
        <f t="shared" si="8"/>
        <v>0.49321894451756326</v>
      </c>
      <c r="D307" t="b">
        <f t="shared" si="9"/>
        <v>0</v>
      </c>
    </row>
    <row r="308" spans="1:4" x14ac:dyDescent="0.25">
      <c r="A308" t="s">
        <v>91</v>
      </c>
      <c r="B308">
        <v>198500</v>
      </c>
      <c r="C308">
        <f t="shared" si="8"/>
        <v>0.15410070567159334</v>
      </c>
      <c r="D308" t="b">
        <f t="shared" si="9"/>
        <v>0</v>
      </c>
    </row>
    <row r="309" spans="1:4" x14ac:dyDescent="0.25">
      <c r="A309" t="s">
        <v>91</v>
      </c>
      <c r="B309">
        <v>190000</v>
      </c>
      <c r="C309">
        <f t="shared" si="8"/>
        <v>5.1255527604157261E-2</v>
      </c>
      <c r="D309" t="b">
        <f t="shared" si="9"/>
        <v>0</v>
      </c>
    </row>
    <row r="310" spans="1:4" x14ac:dyDescent="0.25">
      <c r="A310" t="s">
        <v>91</v>
      </c>
      <c r="B310">
        <v>147000</v>
      </c>
      <c r="C310">
        <f t="shared" si="8"/>
        <v>0.46902007908993121</v>
      </c>
      <c r="D310" t="b">
        <f t="shared" si="9"/>
        <v>0</v>
      </c>
    </row>
    <row r="311" spans="1:4" x14ac:dyDescent="0.25">
      <c r="A311" t="s">
        <v>91</v>
      </c>
      <c r="B311">
        <v>159000</v>
      </c>
      <c r="C311">
        <f t="shared" si="8"/>
        <v>0.3238268865241391</v>
      </c>
      <c r="D311" t="b">
        <f t="shared" si="9"/>
        <v>0</v>
      </c>
    </row>
    <row r="312" spans="1:4" x14ac:dyDescent="0.25">
      <c r="A312" t="s">
        <v>91</v>
      </c>
      <c r="B312">
        <v>165000</v>
      </c>
      <c r="C312">
        <f t="shared" si="8"/>
        <v>0.25123029024124299</v>
      </c>
      <c r="D312" t="b">
        <f t="shared" si="9"/>
        <v>0</v>
      </c>
    </row>
    <row r="313" spans="1:4" x14ac:dyDescent="0.25">
      <c r="A313" t="s">
        <v>91</v>
      </c>
      <c r="B313">
        <v>132000</v>
      </c>
      <c r="C313">
        <f t="shared" si="8"/>
        <v>0.6505115697971714</v>
      </c>
      <c r="D313" t="b">
        <f t="shared" si="9"/>
        <v>0</v>
      </c>
    </row>
    <row r="314" spans="1:4" x14ac:dyDescent="0.25">
      <c r="A314" t="s">
        <v>91</v>
      </c>
      <c r="B314">
        <v>162000</v>
      </c>
      <c r="C314">
        <f t="shared" si="8"/>
        <v>0.28752858838269107</v>
      </c>
      <c r="D314" t="b">
        <f t="shared" si="9"/>
        <v>0</v>
      </c>
    </row>
    <row r="315" spans="1:4" x14ac:dyDescent="0.25">
      <c r="A315" t="s">
        <v>91</v>
      </c>
      <c r="B315">
        <v>172400</v>
      </c>
      <c r="C315">
        <f t="shared" si="8"/>
        <v>0.16169448815900453</v>
      </c>
      <c r="D315" t="b">
        <f t="shared" si="9"/>
        <v>0</v>
      </c>
    </row>
    <row r="316" spans="1:4" x14ac:dyDescent="0.25">
      <c r="A316" t="s">
        <v>91</v>
      </c>
      <c r="B316">
        <v>134432</v>
      </c>
      <c r="C316">
        <f t="shared" si="8"/>
        <v>0.62108574943717088</v>
      </c>
      <c r="D316" t="b">
        <f t="shared" si="9"/>
        <v>0</v>
      </c>
    </row>
    <row r="317" spans="1:4" x14ac:dyDescent="0.25">
      <c r="A317" t="s">
        <v>91</v>
      </c>
      <c r="B317">
        <v>123000</v>
      </c>
      <c r="C317">
        <f t="shared" si="8"/>
        <v>0.75940646422151548</v>
      </c>
      <c r="D317" t="b">
        <f t="shared" si="9"/>
        <v>0</v>
      </c>
    </row>
    <row r="318" spans="1:4" x14ac:dyDescent="0.25">
      <c r="A318" t="s">
        <v>91</v>
      </c>
      <c r="B318">
        <v>219500</v>
      </c>
      <c r="C318">
        <f t="shared" si="8"/>
        <v>0.40818879266172958</v>
      </c>
      <c r="D318" t="b">
        <f t="shared" si="9"/>
        <v>0</v>
      </c>
    </row>
    <row r="319" spans="1:4" x14ac:dyDescent="0.25">
      <c r="A319" t="s">
        <v>91</v>
      </c>
      <c r="B319">
        <v>61000</v>
      </c>
      <c r="C319">
        <f t="shared" si="8"/>
        <v>1.5095712924781082</v>
      </c>
      <c r="D319" t="b">
        <f t="shared" si="9"/>
        <v>0</v>
      </c>
    </row>
    <row r="320" spans="1:4" x14ac:dyDescent="0.25">
      <c r="A320" t="s">
        <v>91</v>
      </c>
      <c r="B320">
        <v>148000</v>
      </c>
      <c r="C320">
        <f t="shared" si="8"/>
        <v>0.45692064637611518</v>
      </c>
      <c r="D320" t="b">
        <f t="shared" si="9"/>
        <v>0</v>
      </c>
    </row>
    <row r="321" spans="1:4" x14ac:dyDescent="0.25">
      <c r="A321" t="s">
        <v>91</v>
      </c>
      <c r="B321">
        <v>340000</v>
      </c>
      <c r="C321">
        <f t="shared" si="8"/>
        <v>1.8661704346765589</v>
      </c>
      <c r="D321" t="b">
        <f t="shared" si="9"/>
        <v>0</v>
      </c>
    </row>
    <row r="322" spans="1:4" x14ac:dyDescent="0.25">
      <c r="A322" t="s">
        <v>91</v>
      </c>
      <c r="B322">
        <v>394432</v>
      </c>
      <c r="C322">
        <f t="shared" si="8"/>
        <v>2.524766756154992</v>
      </c>
      <c r="D322" t="b">
        <f t="shared" si="9"/>
        <v>0</v>
      </c>
    </row>
    <row r="323" spans="1:4" x14ac:dyDescent="0.25">
      <c r="A323" t="s">
        <v>91</v>
      </c>
      <c r="B323">
        <v>179000</v>
      </c>
      <c r="C323">
        <f t="shared" ref="C323:C386" si="10">ABS((B323-$G$4)/$G$8)</f>
        <v>8.183823224781886E-2</v>
      </c>
      <c r="D323" t="b">
        <f t="shared" ref="D323:D386" si="11">IF(C323&gt;3,TRUE,FALSE)</f>
        <v>0</v>
      </c>
    </row>
    <row r="324" spans="1:4" x14ac:dyDescent="0.25">
      <c r="A324" t="s">
        <v>91</v>
      </c>
      <c r="B324">
        <v>127000</v>
      </c>
      <c r="C324">
        <f t="shared" si="10"/>
        <v>0.71100873336625148</v>
      </c>
      <c r="D324" t="b">
        <f t="shared" si="11"/>
        <v>0</v>
      </c>
    </row>
    <row r="325" spans="1:4" x14ac:dyDescent="0.25">
      <c r="A325" t="s">
        <v>91</v>
      </c>
      <c r="B325">
        <v>187750</v>
      </c>
      <c r="C325">
        <f t="shared" si="10"/>
        <v>2.4031803998071234E-2</v>
      </c>
      <c r="D325" t="b">
        <f t="shared" si="11"/>
        <v>0</v>
      </c>
    </row>
    <row r="326" spans="1:4" x14ac:dyDescent="0.25">
      <c r="A326" t="s">
        <v>91</v>
      </c>
      <c r="B326">
        <v>213500</v>
      </c>
      <c r="C326">
        <f t="shared" si="10"/>
        <v>0.33559219637883353</v>
      </c>
      <c r="D326" t="b">
        <f t="shared" si="11"/>
        <v>0</v>
      </c>
    </row>
    <row r="327" spans="1:4" x14ac:dyDescent="0.25">
      <c r="A327" t="s">
        <v>91</v>
      </c>
      <c r="B327">
        <v>76000</v>
      </c>
      <c r="C327">
        <f t="shared" si="10"/>
        <v>1.3280798017708679</v>
      </c>
      <c r="D327" t="b">
        <f t="shared" si="11"/>
        <v>0</v>
      </c>
    </row>
    <row r="328" spans="1:4" x14ac:dyDescent="0.25">
      <c r="A328" t="s">
        <v>91</v>
      </c>
      <c r="B328">
        <v>240000</v>
      </c>
      <c r="C328">
        <f t="shared" si="10"/>
        <v>0.65622716329495778</v>
      </c>
      <c r="D328" t="b">
        <f t="shared" si="11"/>
        <v>0</v>
      </c>
    </row>
    <row r="329" spans="1:4" x14ac:dyDescent="0.25">
      <c r="A329" t="s">
        <v>91</v>
      </c>
      <c r="B329">
        <v>81000</v>
      </c>
      <c r="C329">
        <f t="shared" si="10"/>
        <v>1.2675826382017878</v>
      </c>
      <c r="D329" t="b">
        <f t="shared" si="11"/>
        <v>0</v>
      </c>
    </row>
    <row r="330" spans="1:4" x14ac:dyDescent="0.25">
      <c r="A330" t="s">
        <v>91</v>
      </c>
      <c r="B330">
        <v>125000</v>
      </c>
      <c r="C330">
        <f t="shared" si="10"/>
        <v>0.73520759879388342</v>
      </c>
      <c r="D330" t="b">
        <f t="shared" si="11"/>
        <v>0</v>
      </c>
    </row>
    <row r="331" spans="1:4" x14ac:dyDescent="0.25">
      <c r="A331" t="s">
        <v>91</v>
      </c>
      <c r="B331">
        <v>191000</v>
      </c>
      <c r="C331">
        <f t="shared" si="10"/>
        <v>6.3354960317973275E-2</v>
      </c>
      <c r="D331" t="b">
        <f t="shared" si="11"/>
        <v>0</v>
      </c>
    </row>
    <row r="332" spans="1:4" x14ac:dyDescent="0.25">
      <c r="A332" t="s">
        <v>91</v>
      </c>
      <c r="B332">
        <v>426000</v>
      </c>
      <c r="C332">
        <f t="shared" si="10"/>
        <v>2.9067216480647358</v>
      </c>
      <c r="D332" t="b">
        <f t="shared" si="11"/>
        <v>0</v>
      </c>
    </row>
    <row r="333" spans="1:4" x14ac:dyDescent="0.25">
      <c r="A333" t="s">
        <v>91</v>
      </c>
      <c r="B333">
        <v>119000</v>
      </c>
      <c r="C333">
        <f t="shared" si="10"/>
        <v>0.80780419507677947</v>
      </c>
      <c r="D333" t="b">
        <f t="shared" si="11"/>
        <v>0</v>
      </c>
    </row>
    <row r="334" spans="1:4" x14ac:dyDescent="0.25">
      <c r="A334" t="s">
        <v>91</v>
      </c>
      <c r="B334">
        <v>215000</v>
      </c>
      <c r="C334">
        <f t="shared" si="10"/>
        <v>0.35374134544955754</v>
      </c>
      <c r="D334" t="b">
        <f t="shared" si="11"/>
        <v>0</v>
      </c>
    </row>
    <row r="335" spans="1:4" x14ac:dyDescent="0.25">
      <c r="A335" t="s">
        <v>91</v>
      </c>
      <c r="B335">
        <v>106500</v>
      </c>
      <c r="C335">
        <f t="shared" si="10"/>
        <v>0.95904710399947968</v>
      </c>
      <c r="D335" t="b">
        <f t="shared" si="11"/>
        <v>0</v>
      </c>
    </row>
    <row r="336" spans="1:4" x14ac:dyDescent="0.25">
      <c r="A336" t="s">
        <v>91</v>
      </c>
      <c r="B336">
        <v>100000</v>
      </c>
      <c r="C336">
        <f t="shared" si="10"/>
        <v>1.0376934166392837</v>
      </c>
      <c r="D336" t="b">
        <f t="shared" si="11"/>
        <v>0</v>
      </c>
    </row>
    <row r="337" spans="1:4" x14ac:dyDescent="0.25">
      <c r="A337" t="s">
        <v>91</v>
      </c>
      <c r="B337">
        <v>109000</v>
      </c>
      <c r="C337">
        <f t="shared" si="10"/>
        <v>0.92879852221493964</v>
      </c>
      <c r="D337" t="b">
        <f t="shared" si="11"/>
        <v>0</v>
      </c>
    </row>
    <row r="338" spans="1:4" x14ac:dyDescent="0.25">
      <c r="A338" t="s">
        <v>91</v>
      </c>
      <c r="B338">
        <v>129000</v>
      </c>
      <c r="C338">
        <f t="shared" si="10"/>
        <v>0.68680986793861942</v>
      </c>
      <c r="D338" t="b">
        <f t="shared" si="11"/>
        <v>0</v>
      </c>
    </row>
    <row r="339" spans="1:4" x14ac:dyDescent="0.25">
      <c r="A339" t="s">
        <v>91</v>
      </c>
      <c r="B339">
        <v>123000</v>
      </c>
      <c r="C339">
        <f t="shared" si="10"/>
        <v>0.75940646422151548</v>
      </c>
      <c r="D339" t="b">
        <f t="shared" si="11"/>
        <v>0</v>
      </c>
    </row>
    <row r="340" spans="1:4" x14ac:dyDescent="0.25">
      <c r="A340" t="s">
        <v>91</v>
      </c>
      <c r="B340">
        <v>169500</v>
      </c>
      <c r="C340">
        <f t="shared" si="10"/>
        <v>0.19678284302907095</v>
      </c>
      <c r="D340" t="b">
        <f t="shared" si="11"/>
        <v>0</v>
      </c>
    </row>
    <row r="341" spans="1:4" x14ac:dyDescent="0.25">
      <c r="A341" t="s">
        <v>91</v>
      </c>
      <c r="B341">
        <v>67000</v>
      </c>
      <c r="C341">
        <f t="shared" si="10"/>
        <v>1.4369746961952121</v>
      </c>
      <c r="D341" t="b">
        <f t="shared" si="11"/>
        <v>0</v>
      </c>
    </row>
    <row r="342" spans="1:4" x14ac:dyDescent="0.25">
      <c r="A342" t="s">
        <v>91</v>
      </c>
      <c r="B342">
        <v>241000</v>
      </c>
      <c r="C342">
        <f t="shared" si="10"/>
        <v>0.66832659600877387</v>
      </c>
      <c r="D342" t="b">
        <f t="shared" si="11"/>
        <v>0</v>
      </c>
    </row>
    <row r="343" spans="1:4" x14ac:dyDescent="0.25">
      <c r="A343" t="s">
        <v>91</v>
      </c>
      <c r="B343">
        <v>164990</v>
      </c>
      <c r="C343">
        <f t="shared" si="10"/>
        <v>0.25135128456838118</v>
      </c>
      <c r="D343" t="b">
        <f t="shared" si="11"/>
        <v>0</v>
      </c>
    </row>
    <row r="344" spans="1:4" x14ac:dyDescent="0.25">
      <c r="A344" t="s">
        <v>91</v>
      </c>
      <c r="B344">
        <v>108000</v>
      </c>
      <c r="C344">
        <f t="shared" si="10"/>
        <v>0.94089795492875561</v>
      </c>
      <c r="D344" t="b">
        <f t="shared" si="11"/>
        <v>0</v>
      </c>
    </row>
    <row r="345" spans="1:4" x14ac:dyDescent="0.25">
      <c r="A345" t="s">
        <v>91</v>
      </c>
      <c r="B345">
        <v>258000</v>
      </c>
      <c r="C345">
        <f t="shared" si="10"/>
        <v>0.87401695214364605</v>
      </c>
      <c r="D345" t="b">
        <f t="shared" si="11"/>
        <v>0</v>
      </c>
    </row>
    <row r="346" spans="1:4" x14ac:dyDescent="0.25">
      <c r="A346" t="s">
        <v>91</v>
      </c>
      <c r="B346">
        <v>168000</v>
      </c>
      <c r="C346">
        <f t="shared" si="10"/>
        <v>0.21493199209979499</v>
      </c>
      <c r="D346" t="b">
        <f t="shared" si="11"/>
        <v>0</v>
      </c>
    </row>
    <row r="347" spans="1:4" x14ac:dyDescent="0.25">
      <c r="A347" t="s">
        <v>91</v>
      </c>
      <c r="B347">
        <v>150000</v>
      </c>
      <c r="C347">
        <f t="shared" si="10"/>
        <v>0.43272178094848318</v>
      </c>
      <c r="D347" t="b">
        <f t="shared" si="11"/>
        <v>0</v>
      </c>
    </row>
    <row r="348" spans="1:4" x14ac:dyDescent="0.25">
      <c r="A348" t="s">
        <v>91</v>
      </c>
      <c r="B348">
        <v>115000</v>
      </c>
      <c r="C348">
        <f t="shared" si="10"/>
        <v>0.85620192593204358</v>
      </c>
      <c r="D348" t="b">
        <f t="shared" si="11"/>
        <v>0</v>
      </c>
    </row>
    <row r="349" spans="1:4" x14ac:dyDescent="0.25">
      <c r="A349" t="s">
        <v>91</v>
      </c>
      <c r="B349">
        <v>177000</v>
      </c>
      <c r="C349">
        <f t="shared" si="10"/>
        <v>0.10603709767545089</v>
      </c>
      <c r="D349" t="b">
        <f t="shared" si="11"/>
        <v>0</v>
      </c>
    </row>
    <row r="350" spans="1:4" x14ac:dyDescent="0.25">
      <c r="A350" t="s">
        <v>91</v>
      </c>
      <c r="B350">
        <v>280000</v>
      </c>
      <c r="C350">
        <f t="shared" si="10"/>
        <v>1.1402044718475983</v>
      </c>
      <c r="D350" t="b">
        <f t="shared" si="11"/>
        <v>0</v>
      </c>
    </row>
    <row r="351" spans="1:4" x14ac:dyDescent="0.25">
      <c r="A351" t="s">
        <v>91</v>
      </c>
      <c r="B351">
        <v>339750</v>
      </c>
      <c r="C351">
        <f t="shared" si="10"/>
        <v>1.8631455764981049</v>
      </c>
      <c r="D351" t="b">
        <f t="shared" si="11"/>
        <v>0</v>
      </c>
    </row>
    <row r="352" spans="1:4" x14ac:dyDescent="0.25">
      <c r="A352" t="s">
        <v>91</v>
      </c>
      <c r="B352">
        <v>60000</v>
      </c>
      <c r="C352">
        <f t="shared" si="10"/>
        <v>1.5216707251919241</v>
      </c>
      <c r="D352" t="b">
        <f t="shared" si="11"/>
        <v>0</v>
      </c>
    </row>
    <row r="353" spans="1:4" x14ac:dyDescent="0.25">
      <c r="A353" t="s">
        <v>91</v>
      </c>
      <c r="B353">
        <v>222000</v>
      </c>
      <c r="C353">
        <f t="shared" si="10"/>
        <v>0.43843737444626962</v>
      </c>
      <c r="D353" t="b">
        <f t="shared" si="11"/>
        <v>0</v>
      </c>
    </row>
    <row r="354" spans="1:4" x14ac:dyDescent="0.25">
      <c r="A354" t="s">
        <v>91</v>
      </c>
      <c r="B354">
        <v>115000</v>
      </c>
      <c r="C354">
        <f t="shared" si="10"/>
        <v>0.85620192593204358</v>
      </c>
      <c r="D354" t="b">
        <f t="shared" si="11"/>
        <v>0</v>
      </c>
    </row>
    <row r="355" spans="1:4" x14ac:dyDescent="0.25">
      <c r="A355" t="s">
        <v>91</v>
      </c>
      <c r="B355">
        <v>228000</v>
      </c>
      <c r="C355">
        <f t="shared" si="10"/>
        <v>0.51103397072916568</v>
      </c>
      <c r="D355" t="b">
        <f t="shared" si="11"/>
        <v>0</v>
      </c>
    </row>
    <row r="356" spans="1:4" x14ac:dyDescent="0.25">
      <c r="A356" t="s">
        <v>91</v>
      </c>
      <c r="B356">
        <v>181134</v>
      </c>
      <c r="C356">
        <f t="shared" si="10"/>
        <v>5.6018042836535491E-2</v>
      </c>
      <c r="D356" t="b">
        <f t="shared" si="11"/>
        <v>0</v>
      </c>
    </row>
    <row r="357" spans="1:4" x14ac:dyDescent="0.25">
      <c r="A357" t="s">
        <v>91</v>
      </c>
      <c r="B357">
        <v>149500</v>
      </c>
      <c r="C357">
        <f t="shared" si="10"/>
        <v>0.43877149730539117</v>
      </c>
      <c r="D357" t="b">
        <f t="shared" si="11"/>
        <v>0</v>
      </c>
    </row>
    <row r="358" spans="1:4" x14ac:dyDescent="0.25">
      <c r="A358" t="s">
        <v>91</v>
      </c>
      <c r="B358">
        <v>239000</v>
      </c>
      <c r="C358">
        <f t="shared" si="10"/>
        <v>0.64412773058114181</v>
      </c>
      <c r="D358" t="b">
        <f t="shared" si="11"/>
        <v>0</v>
      </c>
    </row>
    <row r="359" spans="1:4" x14ac:dyDescent="0.25">
      <c r="A359" t="s">
        <v>91</v>
      </c>
      <c r="B359">
        <v>126000</v>
      </c>
      <c r="C359">
        <f t="shared" si="10"/>
        <v>0.72310816608006745</v>
      </c>
      <c r="D359" t="b">
        <f t="shared" si="11"/>
        <v>0</v>
      </c>
    </row>
    <row r="360" spans="1:4" x14ac:dyDescent="0.25">
      <c r="A360" t="s">
        <v>91</v>
      </c>
      <c r="B360">
        <v>142000</v>
      </c>
      <c r="C360">
        <f t="shared" si="10"/>
        <v>0.52951724265901123</v>
      </c>
      <c r="D360" t="b">
        <f t="shared" si="11"/>
        <v>0</v>
      </c>
    </row>
    <row r="361" spans="1:4" x14ac:dyDescent="0.25">
      <c r="A361" t="s">
        <v>91</v>
      </c>
      <c r="B361">
        <v>215000</v>
      </c>
      <c r="C361">
        <f t="shared" si="10"/>
        <v>0.35374134544955754</v>
      </c>
      <c r="D361" t="b">
        <f t="shared" si="11"/>
        <v>0</v>
      </c>
    </row>
    <row r="362" spans="1:4" x14ac:dyDescent="0.25">
      <c r="A362" t="s">
        <v>91</v>
      </c>
      <c r="B362">
        <v>113000</v>
      </c>
      <c r="C362">
        <f t="shared" si="10"/>
        <v>0.88040079135967564</v>
      </c>
      <c r="D362" t="b">
        <f t="shared" si="11"/>
        <v>0</v>
      </c>
    </row>
    <row r="363" spans="1:4" x14ac:dyDescent="0.25">
      <c r="A363" t="s">
        <v>91</v>
      </c>
      <c r="B363">
        <v>315000</v>
      </c>
      <c r="C363">
        <f t="shared" si="10"/>
        <v>1.5636846168311587</v>
      </c>
      <c r="D363" t="b">
        <f t="shared" si="11"/>
        <v>0</v>
      </c>
    </row>
    <row r="364" spans="1:4" x14ac:dyDescent="0.25">
      <c r="A364" t="s">
        <v>91</v>
      </c>
      <c r="B364">
        <v>139000</v>
      </c>
      <c r="C364">
        <f t="shared" si="10"/>
        <v>0.56581554080045926</v>
      </c>
      <c r="D364" t="b">
        <f t="shared" si="11"/>
        <v>0</v>
      </c>
    </row>
    <row r="365" spans="1:4" x14ac:dyDescent="0.25">
      <c r="A365" t="s">
        <v>91</v>
      </c>
      <c r="B365">
        <v>135000</v>
      </c>
      <c r="C365">
        <f t="shared" si="10"/>
        <v>0.61421327165572337</v>
      </c>
      <c r="D365" t="b">
        <f t="shared" si="11"/>
        <v>0</v>
      </c>
    </row>
    <row r="366" spans="1:4" x14ac:dyDescent="0.25">
      <c r="A366" t="s">
        <v>91</v>
      </c>
      <c r="B366">
        <v>275000</v>
      </c>
      <c r="C366">
        <f t="shared" si="10"/>
        <v>1.0797073082785182</v>
      </c>
      <c r="D366" t="b">
        <f t="shared" si="11"/>
        <v>0</v>
      </c>
    </row>
    <row r="367" spans="1:4" x14ac:dyDescent="0.25">
      <c r="A367" t="s">
        <v>91</v>
      </c>
      <c r="B367">
        <v>109008</v>
      </c>
      <c r="C367">
        <f t="shared" si="10"/>
        <v>0.92870172675322915</v>
      </c>
      <c r="D367" t="b">
        <f t="shared" si="11"/>
        <v>0</v>
      </c>
    </row>
    <row r="368" spans="1:4" x14ac:dyDescent="0.25">
      <c r="A368" t="s">
        <v>91</v>
      </c>
      <c r="B368">
        <v>195400</v>
      </c>
      <c r="C368">
        <f t="shared" si="10"/>
        <v>0.11659246425876373</v>
      </c>
      <c r="D368" t="b">
        <f t="shared" si="11"/>
        <v>0</v>
      </c>
    </row>
    <row r="369" spans="1:4" x14ac:dyDescent="0.25">
      <c r="A369" t="s">
        <v>91</v>
      </c>
      <c r="B369">
        <v>175000</v>
      </c>
      <c r="C369">
        <f t="shared" si="10"/>
        <v>0.13023596310308291</v>
      </c>
      <c r="D369" t="b">
        <f t="shared" si="11"/>
        <v>0</v>
      </c>
    </row>
    <row r="370" spans="1:4" x14ac:dyDescent="0.25">
      <c r="A370" t="s">
        <v>91</v>
      </c>
      <c r="B370">
        <v>79900</v>
      </c>
      <c r="C370">
        <f t="shared" si="10"/>
        <v>1.2808920141869855</v>
      </c>
      <c r="D370" t="b">
        <f t="shared" si="11"/>
        <v>0</v>
      </c>
    </row>
    <row r="371" spans="1:4" x14ac:dyDescent="0.25">
      <c r="A371" t="s">
        <v>91</v>
      </c>
      <c r="B371">
        <v>181000</v>
      </c>
      <c r="C371">
        <f t="shared" si="10"/>
        <v>5.7639366820186839E-2</v>
      </c>
      <c r="D371" t="b">
        <f t="shared" si="11"/>
        <v>0</v>
      </c>
    </row>
    <row r="372" spans="1:4" x14ac:dyDescent="0.25">
      <c r="A372" t="s">
        <v>91</v>
      </c>
      <c r="B372">
        <v>212000</v>
      </c>
      <c r="C372">
        <f t="shared" si="10"/>
        <v>0.31744304730810952</v>
      </c>
      <c r="D372" t="b">
        <f t="shared" si="11"/>
        <v>0</v>
      </c>
    </row>
    <row r="373" spans="1:4" x14ac:dyDescent="0.25">
      <c r="A373" t="s">
        <v>91</v>
      </c>
      <c r="B373">
        <v>116000</v>
      </c>
      <c r="C373">
        <f t="shared" si="10"/>
        <v>0.8441024932182275</v>
      </c>
      <c r="D373" t="b">
        <f t="shared" si="11"/>
        <v>0</v>
      </c>
    </row>
    <row r="374" spans="1:4" x14ac:dyDescent="0.25">
      <c r="A374" t="s">
        <v>91</v>
      </c>
      <c r="B374">
        <v>119000</v>
      </c>
      <c r="C374">
        <f t="shared" si="10"/>
        <v>0.80780419507677947</v>
      </c>
      <c r="D374" t="b">
        <f t="shared" si="11"/>
        <v>0</v>
      </c>
    </row>
    <row r="375" spans="1:4" x14ac:dyDescent="0.25">
      <c r="A375" t="s">
        <v>91</v>
      </c>
      <c r="B375">
        <v>90350</v>
      </c>
      <c r="C375">
        <f t="shared" si="10"/>
        <v>1.1544529423276082</v>
      </c>
      <c r="D375" t="b">
        <f t="shared" si="11"/>
        <v>0</v>
      </c>
    </row>
    <row r="376" spans="1:4" x14ac:dyDescent="0.25">
      <c r="A376" t="s">
        <v>91</v>
      </c>
      <c r="B376">
        <v>110000</v>
      </c>
      <c r="C376">
        <f t="shared" si="10"/>
        <v>0.91669908950112367</v>
      </c>
      <c r="D376" t="b">
        <f t="shared" si="11"/>
        <v>0</v>
      </c>
    </row>
    <row r="377" spans="1:4" x14ac:dyDescent="0.25">
      <c r="A377" t="s">
        <v>91</v>
      </c>
      <c r="B377">
        <v>555000</v>
      </c>
      <c r="C377">
        <f t="shared" si="10"/>
        <v>4.467548468147001</v>
      </c>
      <c r="D377" t="b">
        <f t="shared" si="11"/>
        <v>1</v>
      </c>
    </row>
    <row r="378" spans="1:4" x14ac:dyDescent="0.25">
      <c r="A378" t="s">
        <v>91</v>
      </c>
      <c r="B378">
        <v>162900</v>
      </c>
      <c r="C378">
        <f t="shared" si="10"/>
        <v>0.27663909894025662</v>
      </c>
      <c r="D378" t="b">
        <f t="shared" si="11"/>
        <v>0</v>
      </c>
    </row>
    <row r="379" spans="1:4" x14ac:dyDescent="0.25">
      <c r="A379" t="s">
        <v>91</v>
      </c>
      <c r="B379">
        <v>210000</v>
      </c>
      <c r="C379">
        <f t="shared" si="10"/>
        <v>0.29324418188047746</v>
      </c>
      <c r="D379" t="b">
        <f t="shared" si="11"/>
        <v>0</v>
      </c>
    </row>
    <row r="380" spans="1:4" x14ac:dyDescent="0.25">
      <c r="A380" t="s">
        <v>91</v>
      </c>
      <c r="B380">
        <v>127500</v>
      </c>
      <c r="C380">
        <f t="shared" si="10"/>
        <v>0.70495901700934338</v>
      </c>
      <c r="D380" t="b">
        <f t="shared" si="11"/>
        <v>0</v>
      </c>
    </row>
    <row r="381" spans="1:4" x14ac:dyDescent="0.25">
      <c r="A381" t="s">
        <v>91</v>
      </c>
      <c r="B381">
        <v>190000</v>
      </c>
      <c r="C381">
        <f t="shared" si="10"/>
        <v>5.1255527604157261E-2</v>
      </c>
      <c r="D381" t="b">
        <f t="shared" si="11"/>
        <v>0</v>
      </c>
    </row>
    <row r="382" spans="1:4" x14ac:dyDescent="0.25">
      <c r="A382" t="s">
        <v>91</v>
      </c>
      <c r="B382">
        <v>199900</v>
      </c>
      <c r="C382">
        <f t="shared" si="10"/>
        <v>0.17103991147093578</v>
      </c>
      <c r="D382" t="b">
        <f t="shared" si="11"/>
        <v>0</v>
      </c>
    </row>
    <row r="383" spans="1:4" x14ac:dyDescent="0.25">
      <c r="A383" t="s">
        <v>91</v>
      </c>
      <c r="B383">
        <v>119500</v>
      </c>
      <c r="C383">
        <f t="shared" si="10"/>
        <v>0.80175447871987149</v>
      </c>
      <c r="D383" t="b">
        <f t="shared" si="11"/>
        <v>0</v>
      </c>
    </row>
    <row r="384" spans="1:4" x14ac:dyDescent="0.25">
      <c r="A384" t="s">
        <v>91</v>
      </c>
      <c r="B384">
        <v>120000</v>
      </c>
      <c r="C384">
        <f t="shared" si="10"/>
        <v>0.7957047623629635</v>
      </c>
      <c r="D384" t="b">
        <f t="shared" si="11"/>
        <v>0</v>
      </c>
    </row>
    <row r="385" spans="1:4" x14ac:dyDescent="0.25">
      <c r="A385" t="s">
        <v>91</v>
      </c>
      <c r="B385">
        <v>110000</v>
      </c>
      <c r="C385">
        <f t="shared" si="10"/>
        <v>0.91669908950112367</v>
      </c>
      <c r="D385" t="b">
        <f t="shared" si="11"/>
        <v>0</v>
      </c>
    </row>
    <row r="386" spans="1:4" x14ac:dyDescent="0.25">
      <c r="A386" t="s">
        <v>91</v>
      </c>
      <c r="B386">
        <v>280000</v>
      </c>
      <c r="C386">
        <f t="shared" si="10"/>
        <v>1.1402044718475983</v>
      </c>
      <c r="D386" t="b">
        <f t="shared" si="11"/>
        <v>0</v>
      </c>
    </row>
    <row r="387" spans="1:4" x14ac:dyDescent="0.25">
      <c r="A387" t="s">
        <v>91</v>
      </c>
      <c r="B387">
        <v>204000</v>
      </c>
      <c r="C387">
        <f t="shared" ref="C387:C450" si="12">ABS((B387-$G$4)/$G$8)</f>
        <v>0.22064758559758141</v>
      </c>
      <c r="D387" t="b">
        <f t="shared" ref="D387:D450" si="13">IF(C387&gt;3,TRUE,FALSE)</f>
        <v>0</v>
      </c>
    </row>
    <row r="388" spans="1:4" x14ac:dyDescent="0.25">
      <c r="A388" t="s">
        <v>91</v>
      </c>
      <c r="B388">
        <v>210000</v>
      </c>
      <c r="C388">
        <f t="shared" si="12"/>
        <v>0.29324418188047746</v>
      </c>
      <c r="D388" t="b">
        <f t="shared" si="13"/>
        <v>0</v>
      </c>
    </row>
    <row r="389" spans="1:4" x14ac:dyDescent="0.25">
      <c r="A389" t="s">
        <v>91</v>
      </c>
      <c r="B389">
        <v>175500</v>
      </c>
      <c r="C389">
        <f t="shared" si="12"/>
        <v>0.1241862467461749</v>
      </c>
      <c r="D389" t="b">
        <f t="shared" si="13"/>
        <v>0</v>
      </c>
    </row>
    <row r="390" spans="1:4" x14ac:dyDescent="0.25">
      <c r="A390" t="s">
        <v>91</v>
      </c>
      <c r="B390">
        <v>98000</v>
      </c>
      <c r="C390">
        <f t="shared" si="12"/>
        <v>1.0618922820669157</v>
      </c>
      <c r="D390" t="b">
        <f t="shared" si="13"/>
        <v>0</v>
      </c>
    </row>
    <row r="391" spans="1:4" x14ac:dyDescent="0.25">
      <c r="A391" t="s">
        <v>91</v>
      </c>
      <c r="B391">
        <v>256000</v>
      </c>
      <c r="C391">
        <f t="shared" si="12"/>
        <v>0.849818086716014</v>
      </c>
      <c r="D391" t="b">
        <f t="shared" si="13"/>
        <v>0</v>
      </c>
    </row>
    <row r="392" spans="1:4" x14ac:dyDescent="0.25">
      <c r="A392" t="s">
        <v>91</v>
      </c>
      <c r="B392">
        <v>161000</v>
      </c>
      <c r="C392">
        <f t="shared" si="12"/>
        <v>0.29962802109650705</v>
      </c>
      <c r="D392" t="b">
        <f t="shared" si="13"/>
        <v>0</v>
      </c>
    </row>
    <row r="393" spans="1:4" x14ac:dyDescent="0.25">
      <c r="A393" t="s">
        <v>91</v>
      </c>
      <c r="B393">
        <v>110000</v>
      </c>
      <c r="C393">
        <f t="shared" si="12"/>
        <v>0.91669908950112367</v>
      </c>
      <c r="D393" t="b">
        <f t="shared" si="13"/>
        <v>0</v>
      </c>
    </row>
    <row r="394" spans="1:4" x14ac:dyDescent="0.25">
      <c r="A394" t="s">
        <v>91</v>
      </c>
      <c r="B394">
        <v>263435</v>
      </c>
      <c r="C394">
        <f t="shared" si="12"/>
        <v>0.93977736894323605</v>
      </c>
      <c r="D394" t="b">
        <f t="shared" si="13"/>
        <v>0</v>
      </c>
    </row>
    <row r="395" spans="1:4" x14ac:dyDescent="0.25">
      <c r="A395" t="s">
        <v>91</v>
      </c>
      <c r="B395">
        <v>155000</v>
      </c>
      <c r="C395">
        <f t="shared" si="12"/>
        <v>0.3722246173794031</v>
      </c>
      <c r="D395" t="b">
        <f t="shared" si="13"/>
        <v>0</v>
      </c>
    </row>
    <row r="396" spans="1:4" x14ac:dyDescent="0.25">
      <c r="A396" t="s">
        <v>91</v>
      </c>
      <c r="B396">
        <v>62383</v>
      </c>
      <c r="C396">
        <f t="shared" si="12"/>
        <v>1.4928377770349006</v>
      </c>
      <c r="D396" t="b">
        <f t="shared" si="13"/>
        <v>0</v>
      </c>
    </row>
    <row r="397" spans="1:4" x14ac:dyDescent="0.25">
      <c r="A397" t="s">
        <v>91</v>
      </c>
      <c r="B397">
        <v>188700</v>
      </c>
      <c r="C397">
        <f t="shared" si="12"/>
        <v>3.5526265076196446E-2</v>
      </c>
      <c r="D397" t="b">
        <f t="shared" si="13"/>
        <v>0</v>
      </c>
    </row>
    <row r="398" spans="1:4" x14ac:dyDescent="0.25">
      <c r="A398" t="s">
        <v>91</v>
      </c>
      <c r="B398">
        <v>124000</v>
      </c>
      <c r="C398">
        <f t="shared" si="12"/>
        <v>0.7473070315076995</v>
      </c>
      <c r="D398" t="b">
        <f t="shared" si="13"/>
        <v>0</v>
      </c>
    </row>
    <row r="399" spans="1:4" x14ac:dyDescent="0.25">
      <c r="A399" t="s">
        <v>91</v>
      </c>
      <c r="B399">
        <v>167000</v>
      </c>
      <c r="C399">
        <f t="shared" si="12"/>
        <v>0.22703142481361099</v>
      </c>
      <c r="D399" t="b">
        <f t="shared" si="13"/>
        <v>0</v>
      </c>
    </row>
    <row r="400" spans="1:4" x14ac:dyDescent="0.25">
      <c r="A400" t="s">
        <v>91</v>
      </c>
      <c r="B400">
        <v>146500</v>
      </c>
      <c r="C400">
        <f t="shared" si="12"/>
        <v>0.47506979544683919</v>
      </c>
      <c r="D400" t="b">
        <f t="shared" si="13"/>
        <v>0</v>
      </c>
    </row>
    <row r="401" spans="1:4" x14ac:dyDescent="0.25">
      <c r="A401" t="s">
        <v>91</v>
      </c>
      <c r="B401">
        <v>250000</v>
      </c>
      <c r="C401">
        <f t="shared" si="12"/>
        <v>0.77722149043311795</v>
      </c>
      <c r="D401" t="b">
        <f t="shared" si="13"/>
        <v>0</v>
      </c>
    </row>
    <row r="402" spans="1:4" x14ac:dyDescent="0.25">
      <c r="A402" t="s">
        <v>91</v>
      </c>
      <c r="B402">
        <v>187000</v>
      </c>
      <c r="C402">
        <f t="shared" si="12"/>
        <v>1.4957229462709226E-2</v>
      </c>
      <c r="D402" t="b">
        <f t="shared" si="13"/>
        <v>0</v>
      </c>
    </row>
    <row r="403" spans="1:4" x14ac:dyDescent="0.25">
      <c r="A403" t="s">
        <v>91</v>
      </c>
      <c r="B403">
        <v>190000</v>
      </c>
      <c r="C403">
        <f t="shared" si="12"/>
        <v>5.1255527604157261E-2</v>
      </c>
      <c r="D403" t="b">
        <f t="shared" si="13"/>
        <v>0</v>
      </c>
    </row>
    <row r="404" spans="1:4" x14ac:dyDescent="0.25">
      <c r="A404" t="s">
        <v>91</v>
      </c>
      <c r="B404">
        <v>440000</v>
      </c>
      <c r="C404">
        <f t="shared" si="12"/>
        <v>3.0761137060581598</v>
      </c>
      <c r="D404" t="b">
        <f t="shared" si="13"/>
        <v>1</v>
      </c>
    </row>
    <row r="405" spans="1:4" x14ac:dyDescent="0.25">
      <c r="A405" t="s">
        <v>91</v>
      </c>
      <c r="B405">
        <v>132500</v>
      </c>
      <c r="C405">
        <f t="shared" si="12"/>
        <v>0.64446185344026341</v>
      </c>
      <c r="D405" t="b">
        <f t="shared" si="13"/>
        <v>0</v>
      </c>
    </row>
    <row r="406" spans="1:4" x14ac:dyDescent="0.25">
      <c r="A406" t="s">
        <v>91</v>
      </c>
      <c r="B406">
        <v>208900</v>
      </c>
      <c r="C406">
        <f t="shared" si="12"/>
        <v>0.27993480589527986</v>
      </c>
      <c r="D406" t="b">
        <f t="shared" si="13"/>
        <v>0</v>
      </c>
    </row>
    <row r="407" spans="1:4" x14ac:dyDescent="0.25">
      <c r="A407" t="s">
        <v>91</v>
      </c>
      <c r="B407">
        <v>380000</v>
      </c>
      <c r="C407">
        <f t="shared" si="12"/>
        <v>2.3501477432291993</v>
      </c>
      <c r="D407" t="b">
        <f t="shared" si="13"/>
        <v>0</v>
      </c>
    </row>
    <row r="408" spans="1:4" x14ac:dyDescent="0.25">
      <c r="A408" t="s">
        <v>91</v>
      </c>
      <c r="B408">
        <v>297000</v>
      </c>
      <c r="C408">
        <f t="shared" si="12"/>
        <v>1.3458948279824705</v>
      </c>
      <c r="D408" t="b">
        <f t="shared" si="13"/>
        <v>0</v>
      </c>
    </row>
    <row r="409" spans="1:4" x14ac:dyDescent="0.25">
      <c r="A409" t="s">
        <v>91</v>
      </c>
      <c r="B409">
        <v>89471</v>
      </c>
      <c r="C409">
        <f t="shared" si="12"/>
        <v>1.1650883436830526</v>
      </c>
      <c r="D409" t="b">
        <f t="shared" si="13"/>
        <v>0</v>
      </c>
    </row>
    <row r="410" spans="1:4" x14ac:dyDescent="0.25">
      <c r="A410" t="s">
        <v>91</v>
      </c>
      <c r="B410">
        <v>326000</v>
      </c>
      <c r="C410">
        <f t="shared" si="12"/>
        <v>1.6967783766831348</v>
      </c>
      <c r="D410" t="b">
        <f t="shared" si="13"/>
        <v>0</v>
      </c>
    </row>
    <row r="411" spans="1:4" x14ac:dyDescent="0.25">
      <c r="A411" t="s">
        <v>91</v>
      </c>
      <c r="B411">
        <v>374000</v>
      </c>
      <c r="C411">
        <f t="shared" si="12"/>
        <v>2.2775511469463035</v>
      </c>
      <c r="D411" t="b">
        <f t="shared" si="13"/>
        <v>0</v>
      </c>
    </row>
    <row r="412" spans="1:4" x14ac:dyDescent="0.25">
      <c r="A412" t="s">
        <v>91</v>
      </c>
      <c r="B412">
        <v>155000</v>
      </c>
      <c r="C412">
        <f t="shared" si="12"/>
        <v>0.3722246173794031</v>
      </c>
      <c r="D412" t="b">
        <f t="shared" si="13"/>
        <v>0</v>
      </c>
    </row>
    <row r="413" spans="1:4" x14ac:dyDescent="0.25">
      <c r="A413" t="s">
        <v>91</v>
      </c>
      <c r="B413">
        <v>132500</v>
      </c>
      <c r="C413">
        <f t="shared" si="12"/>
        <v>0.64446185344026341</v>
      </c>
      <c r="D413" t="b">
        <f t="shared" si="13"/>
        <v>0</v>
      </c>
    </row>
    <row r="414" spans="1:4" x14ac:dyDescent="0.25">
      <c r="A414" t="s">
        <v>91</v>
      </c>
      <c r="B414">
        <v>147000</v>
      </c>
      <c r="C414">
        <f t="shared" si="12"/>
        <v>0.46902007908993121</v>
      </c>
      <c r="D414" t="b">
        <f t="shared" si="13"/>
        <v>0</v>
      </c>
    </row>
    <row r="415" spans="1:4" x14ac:dyDescent="0.25">
      <c r="A415" t="s">
        <v>91</v>
      </c>
      <c r="B415">
        <v>156000</v>
      </c>
      <c r="C415">
        <f t="shared" si="12"/>
        <v>0.36012518466558713</v>
      </c>
      <c r="D415" t="b">
        <f t="shared" si="13"/>
        <v>0</v>
      </c>
    </row>
    <row r="416" spans="1:4" x14ac:dyDescent="0.25">
      <c r="A416" t="s">
        <v>91</v>
      </c>
      <c r="B416">
        <v>175000</v>
      </c>
      <c r="C416">
        <f t="shared" si="12"/>
        <v>0.13023596310308291</v>
      </c>
      <c r="D416" t="b">
        <f t="shared" si="13"/>
        <v>0</v>
      </c>
    </row>
    <row r="417" spans="1:4" x14ac:dyDescent="0.25">
      <c r="A417" t="s">
        <v>91</v>
      </c>
      <c r="B417">
        <v>133000</v>
      </c>
      <c r="C417">
        <f t="shared" si="12"/>
        <v>0.63841213708335531</v>
      </c>
      <c r="D417" t="b">
        <f t="shared" si="13"/>
        <v>0</v>
      </c>
    </row>
    <row r="418" spans="1:4" x14ac:dyDescent="0.25">
      <c r="A418" t="s">
        <v>91</v>
      </c>
      <c r="B418">
        <v>172785</v>
      </c>
      <c r="C418">
        <f t="shared" si="12"/>
        <v>0.15703620656418538</v>
      </c>
      <c r="D418" t="b">
        <f t="shared" si="13"/>
        <v>0</v>
      </c>
    </row>
    <row r="419" spans="1:4" x14ac:dyDescent="0.25">
      <c r="A419" t="s">
        <v>91</v>
      </c>
      <c r="B419">
        <v>155000</v>
      </c>
      <c r="C419">
        <f t="shared" si="12"/>
        <v>0.3722246173794031</v>
      </c>
      <c r="D419" t="b">
        <f t="shared" si="13"/>
        <v>0</v>
      </c>
    </row>
    <row r="420" spans="1:4" x14ac:dyDescent="0.25">
      <c r="A420" t="s">
        <v>91</v>
      </c>
      <c r="B420">
        <v>91300</v>
      </c>
      <c r="C420">
        <f t="shared" si="12"/>
        <v>1.1429584812494831</v>
      </c>
      <c r="D420" t="b">
        <f t="shared" si="13"/>
        <v>0</v>
      </c>
    </row>
    <row r="421" spans="1:4" x14ac:dyDescent="0.25">
      <c r="A421" t="s">
        <v>91</v>
      </c>
      <c r="B421">
        <v>34900</v>
      </c>
      <c r="C421">
        <f t="shared" si="12"/>
        <v>1.825366486308706</v>
      </c>
      <c r="D421" t="b">
        <f t="shared" si="13"/>
        <v>0</v>
      </c>
    </row>
    <row r="422" spans="1:4" x14ac:dyDescent="0.25">
      <c r="A422" t="s">
        <v>91</v>
      </c>
      <c r="B422">
        <v>430000</v>
      </c>
      <c r="C422">
        <f t="shared" si="12"/>
        <v>2.9551193789200001</v>
      </c>
      <c r="D422" t="b">
        <f t="shared" si="13"/>
        <v>0</v>
      </c>
    </row>
    <row r="423" spans="1:4" x14ac:dyDescent="0.25">
      <c r="A423" t="s">
        <v>91</v>
      </c>
      <c r="B423">
        <v>184000</v>
      </c>
      <c r="C423">
        <f t="shared" si="12"/>
        <v>2.1341068678738806E-2</v>
      </c>
      <c r="D423" t="b">
        <f t="shared" si="13"/>
        <v>0</v>
      </c>
    </row>
    <row r="424" spans="1:4" x14ac:dyDescent="0.25">
      <c r="A424" t="s">
        <v>91</v>
      </c>
      <c r="B424">
        <v>130000</v>
      </c>
      <c r="C424">
        <f t="shared" si="12"/>
        <v>0.67471043522480345</v>
      </c>
      <c r="D424" t="b">
        <f t="shared" si="13"/>
        <v>0</v>
      </c>
    </row>
    <row r="425" spans="1:4" x14ac:dyDescent="0.25">
      <c r="A425" t="s">
        <v>91</v>
      </c>
      <c r="B425">
        <v>120000</v>
      </c>
      <c r="C425">
        <f t="shared" si="12"/>
        <v>0.7957047623629635</v>
      </c>
      <c r="D425" t="b">
        <f t="shared" si="13"/>
        <v>0</v>
      </c>
    </row>
    <row r="426" spans="1:4" x14ac:dyDescent="0.25">
      <c r="A426" t="s">
        <v>91</v>
      </c>
      <c r="B426">
        <v>226700</v>
      </c>
      <c r="C426">
        <f t="shared" si="12"/>
        <v>0.49530470820120487</v>
      </c>
      <c r="D426" t="b">
        <f t="shared" si="13"/>
        <v>0</v>
      </c>
    </row>
    <row r="427" spans="1:4" x14ac:dyDescent="0.25">
      <c r="A427" t="s">
        <v>91</v>
      </c>
      <c r="B427">
        <v>140000</v>
      </c>
      <c r="C427">
        <f t="shared" si="12"/>
        <v>0.55371610808664329</v>
      </c>
      <c r="D427" t="b">
        <f t="shared" si="13"/>
        <v>0</v>
      </c>
    </row>
    <row r="428" spans="1:4" x14ac:dyDescent="0.25">
      <c r="A428" t="s">
        <v>91</v>
      </c>
      <c r="B428">
        <v>289000</v>
      </c>
      <c r="C428">
        <f t="shared" si="12"/>
        <v>1.2490993662719423</v>
      </c>
      <c r="D428" t="b">
        <f t="shared" si="13"/>
        <v>0</v>
      </c>
    </row>
    <row r="429" spans="1:4" x14ac:dyDescent="0.25">
      <c r="A429" t="s">
        <v>91</v>
      </c>
      <c r="B429">
        <v>215000</v>
      </c>
      <c r="C429">
        <f t="shared" si="12"/>
        <v>0.35374134544955754</v>
      </c>
      <c r="D429" t="b">
        <f t="shared" si="13"/>
        <v>0</v>
      </c>
    </row>
    <row r="430" spans="1:4" x14ac:dyDescent="0.25">
      <c r="A430" t="s">
        <v>91</v>
      </c>
      <c r="B430">
        <v>208300</v>
      </c>
      <c r="C430">
        <f t="shared" si="12"/>
        <v>0.27267514626699024</v>
      </c>
      <c r="D430" t="b">
        <f t="shared" si="13"/>
        <v>0</v>
      </c>
    </row>
    <row r="431" spans="1:4" x14ac:dyDescent="0.25">
      <c r="A431" t="s">
        <v>91</v>
      </c>
      <c r="B431">
        <v>161000</v>
      </c>
      <c r="C431">
        <f t="shared" si="12"/>
        <v>0.29962802109650705</v>
      </c>
      <c r="D431" t="b">
        <f t="shared" si="13"/>
        <v>0</v>
      </c>
    </row>
    <row r="432" spans="1:4" x14ac:dyDescent="0.25">
      <c r="A432" t="s">
        <v>91</v>
      </c>
      <c r="B432">
        <v>124500</v>
      </c>
      <c r="C432">
        <f t="shared" si="12"/>
        <v>0.74125731515079141</v>
      </c>
      <c r="D432" t="b">
        <f t="shared" si="13"/>
        <v>0</v>
      </c>
    </row>
    <row r="433" spans="1:4" x14ac:dyDescent="0.25">
      <c r="A433" t="s">
        <v>91</v>
      </c>
      <c r="B433">
        <v>164900</v>
      </c>
      <c r="C433">
        <f t="shared" si="12"/>
        <v>0.25244023351262462</v>
      </c>
      <c r="D433" t="b">
        <f t="shared" si="13"/>
        <v>0</v>
      </c>
    </row>
    <row r="434" spans="1:4" x14ac:dyDescent="0.25">
      <c r="A434" t="s">
        <v>91</v>
      </c>
      <c r="B434">
        <v>129900</v>
      </c>
      <c r="C434">
        <f t="shared" si="12"/>
        <v>0.67592037849618503</v>
      </c>
      <c r="D434" t="b">
        <f t="shared" si="13"/>
        <v>0</v>
      </c>
    </row>
    <row r="435" spans="1:4" x14ac:dyDescent="0.25">
      <c r="A435" t="s">
        <v>91</v>
      </c>
      <c r="B435">
        <v>134000</v>
      </c>
      <c r="C435">
        <f t="shared" si="12"/>
        <v>0.62631270436953934</v>
      </c>
      <c r="D435" t="b">
        <f t="shared" si="13"/>
        <v>0</v>
      </c>
    </row>
    <row r="436" spans="1:4" x14ac:dyDescent="0.25">
      <c r="A436" t="s">
        <v>91</v>
      </c>
      <c r="B436">
        <v>96500</v>
      </c>
      <c r="C436">
        <f t="shared" si="12"/>
        <v>1.0800414311376398</v>
      </c>
      <c r="D436" t="b">
        <f t="shared" si="13"/>
        <v>0</v>
      </c>
    </row>
    <row r="437" spans="1:4" x14ac:dyDescent="0.25">
      <c r="A437" t="s">
        <v>91</v>
      </c>
      <c r="B437">
        <v>402861</v>
      </c>
      <c r="C437">
        <f t="shared" si="12"/>
        <v>2.626752874499747</v>
      </c>
      <c r="D437" t="b">
        <f t="shared" si="13"/>
        <v>0</v>
      </c>
    </row>
    <row r="438" spans="1:4" x14ac:dyDescent="0.25">
      <c r="A438" t="s">
        <v>91</v>
      </c>
      <c r="B438">
        <v>158000</v>
      </c>
      <c r="C438">
        <f t="shared" si="12"/>
        <v>0.33592631923795507</v>
      </c>
      <c r="D438" t="b">
        <f t="shared" si="13"/>
        <v>0</v>
      </c>
    </row>
    <row r="439" spans="1:4" x14ac:dyDescent="0.25">
      <c r="A439" t="s">
        <v>91</v>
      </c>
      <c r="B439">
        <v>265000</v>
      </c>
      <c r="C439">
        <f t="shared" si="12"/>
        <v>0.95871298114035808</v>
      </c>
      <c r="D439" t="b">
        <f t="shared" si="13"/>
        <v>0</v>
      </c>
    </row>
    <row r="440" spans="1:4" x14ac:dyDescent="0.25">
      <c r="A440" t="s">
        <v>91</v>
      </c>
      <c r="B440">
        <v>211000</v>
      </c>
      <c r="C440">
        <f t="shared" si="12"/>
        <v>0.30534361459429349</v>
      </c>
      <c r="D440" t="b">
        <f t="shared" si="13"/>
        <v>0</v>
      </c>
    </row>
    <row r="441" spans="1:4" x14ac:dyDescent="0.25">
      <c r="A441" t="s">
        <v>91</v>
      </c>
      <c r="B441">
        <v>234000</v>
      </c>
      <c r="C441">
        <f t="shared" si="12"/>
        <v>0.58363056701206173</v>
      </c>
      <c r="D441" t="b">
        <f t="shared" si="13"/>
        <v>0</v>
      </c>
    </row>
    <row r="442" spans="1:4" x14ac:dyDescent="0.25">
      <c r="A442" t="s">
        <v>91</v>
      </c>
      <c r="B442">
        <v>150000</v>
      </c>
      <c r="C442">
        <f t="shared" si="12"/>
        <v>0.43272178094848318</v>
      </c>
      <c r="D442" t="b">
        <f t="shared" si="13"/>
        <v>0</v>
      </c>
    </row>
    <row r="443" spans="1:4" x14ac:dyDescent="0.25">
      <c r="A443" t="s">
        <v>91</v>
      </c>
      <c r="B443">
        <v>159000</v>
      </c>
      <c r="C443">
        <f t="shared" si="12"/>
        <v>0.3238268865241391</v>
      </c>
      <c r="D443" t="b">
        <f t="shared" si="13"/>
        <v>0</v>
      </c>
    </row>
    <row r="444" spans="1:4" x14ac:dyDescent="0.25">
      <c r="A444" t="s">
        <v>91</v>
      </c>
      <c r="B444">
        <v>184750</v>
      </c>
      <c r="C444">
        <f t="shared" si="12"/>
        <v>1.2266494143376798E-2</v>
      </c>
      <c r="D444" t="b">
        <f t="shared" si="13"/>
        <v>0</v>
      </c>
    </row>
    <row r="445" spans="1:4" x14ac:dyDescent="0.25">
      <c r="A445" t="s">
        <v>91</v>
      </c>
      <c r="B445">
        <v>315750</v>
      </c>
      <c r="C445">
        <f t="shared" si="12"/>
        <v>1.5727591913665206</v>
      </c>
      <c r="D445" t="b">
        <f t="shared" si="13"/>
        <v>0</v>
      </c>
    </row>
    <row r="446" spans="1:4" x14ac:dyDescent="0.25">
      <c r="A446" t="s">
        <v>91</v>
      </c>
      <c r="B446">
        <v>176000</v>
      </c>
      <c r="C446">
        <f t="shared" si="12"/>
        <v>0.1181365303892669</v>
      </c>
      <c r="D446" t="b">
        <f t="shared" si="13"/>
        <v>0</v>
      </c>
    </row>
    <row r="447" spans="1:4" x14ac:dyDescent="0.25">
      <c r="A447" t="s">
        <v>91</v>
      </c>
      <c r="B447">
        <v>132000</v>
      </c>
      <c r="C447">
        <f t="shared" si="12"/>
        <v>0.6505115697971714</v>
      </c>
      <c r="D447" t="b">
        <f t="shared" si="13"/>
        <v>0</v>
      </c>
    </row>
    <row r="448" spans="1:4" x14ac:dyDescent="0.25">
      <c r="A448" t="s">
        <v>91</v>
      </c>
      <c r="B448">
        <v>446261</v>
      </c>
      <c r="C448">
        <f t="shared" si="12"/>
        <v>3.1518682542793619</v>
      </c>
      <c r="D448" t="b">
        <f t="shared" si="13"/>
        <v>1</v>
      </c>
    </row>
    <row r="449" spans="1:4" x14ac:dyDescent="0.25">
      <c r="A449" t="s">
        <v>91</v>
      </c>
      <c r="B449">
        <v>86000</v>
      </c>
      <c r="C449">
        <f t="shared" si="12"/>
        <v>1.207085474632708</v>
      </c>
      <c r="D449" t="b">
        <f t="shared" si="13"/>
        <v>0</v>
      </c>
    </row>
    <row r="450" spans="1:4" x14ac:dyDescent="0.25">
      <c r="A450" t="s">
        <v>91</v>
      </c>
      <c r="B450">
        <v>200624</v>
      </c>
      <c r="C450">
        <f t="shared" si="12"/>
        <v>0.17979990075573857</v>
      </c>
      <c r="D450" t="b">
        <f t="shared" si="13"/>
        <v>0</v>
      </c>
    </row>
    <row r="451" spans="1:4" x14ac:dyDescent="0.25">
      <c r="A451" t="s">
        <v>91</v>
      </c>
      <c r="B451">
        <v>175000</v>
      </c>
      <c r="C451">
        <f t="shared" ref="C451:C514" si="14">ABS((B451-$G$4)/$G$8)</f>
        <v>0.13023596310308291</v>
      </c>
      <c r="D451" t="b">
        <f t="shared" ref="D451:D514" si="15">IF(C451&gt;3,TRUE,FALSE)</f>
        <v>0</v>
      </c>
    </row>
    <row r="452" spans="1:4" x14ac:dyDescent="0.25">
      <c r="A452" t="s">
        <v>91</v>
      </c>
      <c r="B452">
        <v>128000</v>
      </c>
      <c r="C452">
        <f t="shared" si="14"/>
        <v>0.69890930065243539</v>
      </c>
      <c r="D452" t="b">
        <f t="shared" si="15"/>
        <v>0</v>
      </c>
    </row>
    <row r="453" spans="1:4" x14ac:dyDescent="0.25">
      <c r="A453" t="s">
        <v>91</v>
      </c>
      <c r="B453">
        <v>107500</v>
      </c>
      <c r="C453">
        <f t="shared" si="14"/>
        <v>0.94694767128566359</v>
      </c>
      <c r="D453" t="b">
        <f t="shared" si="15"/>
        <v>0</v>
      </c>
    </row>
    <row r="454" spans="1:4" x14ac:dyDescent="0.25">
      <c r="A454" t="s">
        <v>91</v>
      </c>
      <c r="B454">
        <v>39300</v>
      </c>
      <c r="C454">
        <f t="shared" si="14"/>
        <v>1.7721289823679156</v>
      </c>
      <c r="D454" t="b">
        <f t="shared" si="15"/>
        <v>0</v>
      </c>
    </row>
    <row r="455" spans="1:4" x14ac:dyDescent="0.25">
      <c r="A455" t="s">
        <v>91</v>
      </c>
      <c r="B455">
        <v>178000</v>
      </c>
      <c r="C455">
        <f t="shared" si="14"/>
        <v>9.3937664961634873E-2</v>
      </c>
      <c r="D455" t="b">
        <f t="shared" si="15"/>
        <v>0</v>
      </c>
    </row>
    <row r="456" spans="1:4" x14ac:dyDescent="0.25">
      <c r="A456" t="s">
        <v>91</v>
      </c>
      <c r="B456">
        <v>188000</v>
      </c>
      <c r="C456">
        <f t="shared" si="14"/>
        <v>2.7056662176525238E-2</v>
      </c>
      <c r="D456" t="b">
        <f t="shared" si="15"/>
        <v>0</v>
      </c>
    </row>
    <row r="457" spans="1:4" x14ac:dyDescent="0.25">
      <c r="A457" t="s">
        <v>91</v>
      </c>
      <c r="B457">
        <v>111250</v>
      </c>
      <c r="C457">
        <f t="shared" si="14"/>
        <v>0.90157479860885359</v>
      </c>
      <c r="D457" t="b">
        <f t="shared" si="15"/>
        <v>0</v>
      </c>
    </row>
    <row r="458" spans="1:4" x14ac:dyDescent="0.25">
      <c r="A458" t="s">
        <v>91</v>
      </c>
      <c r="B458">
        <v>158000</v>
      </c>
      <c r="C458">
        <f t="shared" si="14"/>
        <v>0.33592631923795507</v>
      </c>
      <c r="D458" t="b">
        <f t="shared" si="15"/>
        <v>0</v>
      </c>
    </row>
    <row r="459" spans="1:4" x14ac:dyDescent="0.25">
      <c r="A459" t="s">
        <v>91</v>
      </c>
      <c r="B459">
        <v>272000</v>
      </c>
      <c r="C459">
        <f t="shared" si="14"/>
        <v>1.0434090101370701</v>
      </c>
      <c r="D459" t="b">
        <f t="shared" si="15"/>
        <v>0</v>
      </c>
    </row>
    <row r="460" spans="1:4" x14ac:dyDescent="0.25">
      <c r="A460" t="s">
        <v>91</v>
      </c>
      <c r="B460">
        <v>315000</v>
      </c>
      <c r="C460">
        <f t="shared" si="14"/>
        <v>1.5636846168311587</v>
      </c>
      <c r="D460" t="b">
        <f t="shared" si="15"/>
        <v>0</v>
      </c>
    </row>
    <row r="461" spans="1:4" x14ac:dyDescent="0.25">
      <c r="A461" t="s">
        <v>91</v>
      </c>
      <c r="B461">
        <v>248000</v>
      </c>
      <c r="C461">
        <f t="shared" si="14"/>
        <v>0.75302262500548589</v>
      </c>
      <c r="D461" t="b">
        <f t="shared" si="15"/>
        <v>0</v>
      </c>
    </row>
    <row r="462" spans="1:4" x14ac:dyDescent="0.25">
      <c r="A462" t="s">
        <v>91</v>
      </c>
      <c r="B462">
        <v>213250</v>
      </c>
      <c r="C462">
        <f t="shared" si="14"/>
        <v>0.33256733820037954</v>
      </c>
      <c r="D462" t="b">
        <f t="shared" si="15"/>
        <v>0</v>
      </c>
    </row>
    <row r="463" spans="1:4" x14ac:dyDescent="0.25">
      <c r="A463" t="s">
        <v>91</v>
      </c>
      <c r="B463">
        <v>179665</v>
      </c>
      <c r="C463">
        <f t="shared" si="14"/>
        <v>7.3792109493131211E-2</v>
      </c>
      <c r="D463" t="b">
        <f t="shared" si="15"/>
        <v>0</v>
      </c>
    </row>
    <row r="464" spans="1:4" x14ac:dyDescent="0.25">
      <c r="A464" t="s">
        <v>91</v>
      </c>
      <c r="B464">
        <v>229000</v>
      </c>
      <c r="C464">
        <f t="shared" si="14"/>
        <v>0.52313340344298165</v>
      </c>
      <c r="D464" t="b">
        <f t="shared" si="15"/>
        <v>0</v>
      </c>
    </row>
    <row r="465" spans="1:4" x14ac:dyDescent="0.25">
      <c r="A465" t="s">
        <v>91</v>
      </c>
      <c r="B465">
        <v>210000</v>
      </c>
      <c r="C465">
        <f t="shared" si="14"/>
        <v>0.29324418188047746</v>
      </c>
      <c r="D465" t="b">
        <f t="shared" si="15"/>
        <v>0</v>
      </c>
    </row>
    <row r="466" spans="1:4" x14ac:dyDescent="0.25">
      <c r="A466" t="s">
        <v>91</v>
      </c>
      <c r="B466">
        <v>129500</v>
      </c>
      <c r="C466">
        <f t="shared" si="14"/>
        <v>0.68076015158171144</v>
      </c>
      <c r="D466" t="b">
        <f t="shared" si="15"/>
        <v>0</v>
      </c>
    </row>
    <row r="467" spans="1:4" x14ac:dyDescent="0.25">
      <c r="A467" t="s">
        <v>91</v>
      </c>
      <c r="B467">
        <v>125000</v>
      </c>
      <c r="C467">
        <f t="shared" si="14"/>
        <v>0.73520759879388342</v>
      </c>
      <c r="D467" t="b">
        <f t="shared" si="15"/>
        <v>0</v>
      </c>
    </row>
    <row r="468" spans="1:4" x14ac:dyDescent="0.25">
      <c r="A468" t="s">
        <v>91</v>
      </c>
      <c r="B468">
        <v>263000</v>
      </c>
      <c r="C468">
        <f t="shared" si="14"/>
        <v>0.93451411571272602</v>
      </c>
      <c r="D468" t="b">
        <f t="shared" si="15"/>
        <v>0</v>
      </c>
    </row>
    <row r="469" spans="1:4" x14ac:dyDescent="0.25">
      <c r="A469" t="s">
        <v>91</v>
      </c>
      <c r="B469">
        <v>112500</v>
      </c>
      <c r="C469">
        <f t="shared" si="14"/>
        <v>0.88645050771658362</v>
      </c>
      <c r="D469" t="b">
        <f t="shared" si="15"/>
        <v>0</v>
      </c>
    </row>
    <row r="470" spans="1:4" x14ac:dyDescent="0.25">
      <c r="A470" t="s">
        <v>91</v>
      </c>
      <c r="B470">
        <v>255500</v>
      </c>
      <c r="C470">
        <f t="shared" si="14"/>
        <v>0.84376837035910601</v>
      </c>
      <c r="D470" t="b">
        <f t="shared" si="15"/>
        <v>0</v>
      </c>
    </row>
    <row r="471" spans="1:4" x14ac:dyDescent="0.25">
      <c r="A471" t="s">
        <v>91</v>
      </c>
      <c r="B471">
        <v>108000</v>
      </c>
      <c r="C471">
        <f t="shared" si="14"/>
        <v>0.94089795492875561</v>
      </c>
      <c r="D471" t="b">
        <f t="shared" si="15"/>
        <v>0</v>
      </c>
    </row>
    <row r="472" spans="1:4" x14ac:dyDescent="0.25">
      <c r="A472" t="s">
        <v>91</v>
      </c>
      <c r="B472">
        <v>284000</v>
      </c>
      <c r="C472">
        <f t="shared" si="14"/>
        <v>1.1886022027028622</v>
      </c>
      <c r="D472" t="b">
        <f t="shared" si="15"/>
        <v>0</v>
      </c>
    </row>
    <row r="473" spans="1:4" x14ac:dyDescent="0.25">
      <c r="A473" t="s">
        <v>91</v>
      </c>
      <c r="B473">
        <v>113000</v>
      </c>
      <c r="C473">
        <f t="shared" si="14"/>
        <v>0.88040079135967564</v>
      </c>
      <c r="D473" t="b">
        <f t="shared" si="15"/>
        <v>0</v>
      </c>
    </row>
    <row r="474" spans="1:4" x14ac:dyDescent="0.25">
      <c r="A474" t="s">
        <v>91</v>
      </c>
      <c r="B474">
        <v>141000</v>
      </c>
      <c r="C474">
        <f t="shared" si="14"/>
        <v>0.54161667537282732</v>
      </c>
      <c r="D474" t="b">
        <f t="shared" si="15"/>
        <v>0</v>
      </c>
    </row>
    <row r="475" spans="1:4" x14ac:dyDescent="0.25">
      <c r="A475" t="s">
        <v>91</v>
      </c>
      <c r="B475">
        <v>108000</v>
      </c>
      <c r="C475">
        <f t="shared" si="14"/>
        <v>0.94089795492875561</v>
      </c>
      <c r="D475" t="b">
        <f t="shared" si="15"/>
        <v>0</v>
      </c>
    </row>
    <row r="476" spans="1:4" x14ac:dyDescent="0.25">
      <c r="A476" t="s">
        <v>91</v>
      </c>
      <c r="B476">
        <v>175000</v>
      </c>
      <c r="C476">
        <f t="shared" si="14"/>
        <v>0.13023596310308291</v>
      </c>
      <c r="D476" t="b">
        <f t="shared" si="15"/>
        <v>0</v>
      </c>
    </row>
    <row r="477" spans="1:4" x14ac:dyDescent="0.25">
      <c r="A477" t="s">
        <v>91</v>
      </c>
      <c r="B477">
        <v>121500</v>
      </c>
      <c r="C477">
        <f t="shared" si="14"/>
        <v>0.77755561329223954</v>
      </c>
      <c r="D477" t="b">
        <f t="shared" si="15"/>
        <v>0</v>
      </c>
    </row>
    <row r="478" spans="1:4" x14ac:dyDescent="0.25">
      <c r="A478" t="s">
        <v>91</v>
      </c>
      <c r="B478">
        <v>170000</v>
      </c>
      <c r="C478">
        <f t="shared" si="14"/>
        <v>0.19073312667216297</v>
      </c>
      <c r="D478" t="b">
        <f t="shared" si="15"/>
        <v>0</v>
      </c>
    </row>
    <row r="479" spans="1:4" x14ac:dyDescent="0.25">
      <c r="A479" t="s">
        <v>91</v>
      </c>
      <c r="B479">
        <v>108000</v>
      </c>
      <c r="C479">
        <f t="shared" si="14"/>
        <v>0.94089795492875561</v>
      </c>
      <c r="D479" t="b">
        <f t="shared" si="15"/>
        <v>0</v>
      </c>
    </row>
    <row r="480" spans="1:4" x14ac:dyDescent="0.25">
      <c r="A480" t="s">
        <v>91</v>
      </c>
      <c r="B480">
        <v>185000</v>
      </c>
      <c r="C480">
        <f t="shared" si="14"/>
        <v>9.241635964922796E-3</v>
      </c>
      <c r="D480" t="b">
        <f t="shared" si="15"/>
        <v>0</v>
      </c>
    </row>
    <row r="481" spans="1:4" x14ac:dyDescent="0.25">
      <c r="A481" t="s">
        <v>91</v>
      </c>
      <c r="B481">
        <v>268000</v>
      </c>
      <c r="C481">
        <f t="shared" si="14"/>
        <v>0.9950112792818061</v>
      </c>
      <c r="D481" t="b">
        <f t="shared" si="15"/>
        <v>0</v>
      </c>
    </row>
    <row r="482" spans="1:4" x14ac:dyDescent="0.25">
      <c r="A482" t="s">
        <v>91</v>
      </c>
      <c r="B482">
        <v>128000</v>
      </c>
      <c r="C482">
        <f t="shared" si="14"/>
        <v>0.69890930065243539</v>
      </c>
      <c r="D482" t="b">
        <f t="shared" si="15"/>
        <v>0</v>
      </c>
    </row>
    <row r="483" spans="1:4" x14ac:dyDescent="0.25">
      <c r="A483" t="s">
        <v>91</v>
      </c>
      <c r="B483">
        <v>325000</v>
      </c>
      <c r="C483">
        <f t="shared" si="14"/>
        <v>1.6846789439693188</v>
      </c>
      <c r="D483" t="b">
        <f t="shared" si="15"/>
        <v>0</v>
      </c>
    </row>
    <row r="484" spans="1:4" x14ac:dyDescent="0.25">
      <c r="A484" t="s">
        <v>91</v>
      </c>
      <c r="B484">
        <v>214000</v>
      </c>
      <c r="C484">
        <f t="shared" si="14"/>
        <v>0.34164191273574152</v>
      </c>
      <c r="D484" t="b">
        <f t="shared" si="15"/>
        <v>0</v>
      </c>
    </row>
    <row r="485" spans="1:4" x14ac:dyDescent="0.25">
      <c r="A485" t="s">
        <v>91</v>
      </c>
      <c r="B485">
        <v>316600</v>
      </c>
      <c r="C485">
        <f t="shared" si="14"/>
        <v>1.5830437091732643</v>
      </c>
      <c r="D485" t="b">
        <f t="shared" si="15"/>
        <v>0</v>
      </c>
    </row>
    <row r="486" spans="1:4" x14ac:dyDescent="0.25">
      <c r="A486" t="s">
        <v>91</v>
      </c>
      <c r="B486">
        <v>120000</v>
      </c>
      <c r="C486">
        <f t="shared" si="14"/>
        <v>0.7957047623629635</v>
      </c>
      <c r="D486" t="b">
        <f t="shared" si="15"/>
        <v>0</v>
      </c>
    </row>
    <row r="487" spans="1:4" x14ac:dyDescent="0.25">
      <c r="A487" t="s">
        <v>91</v>
      </c>
      <c r="B487">
        <v>224500</v>
      </c>
      <c r="C487">
        <f t="shared" si="14"/>
        <v>0.46868595623080966</v>
      </c>
      <c r="D487" t="b">
        <f t="shared" si="15"/>
        <v>0</v>
      </c>
    </row>
    <row r="488" spans="1:4" x14ac:dyDescent="0.25">
      <c r="A488" t="s">
        <v>91</v>
      </c>
      <c r="B488">
        <v>170000</v>
      </c>
      <c r="C488">
        <f t="shared" si="14"/>
        <v>0.19073312667216297</v>
      </c>
      <c r="D488" t="b">
        <f t="shared" si="15"/>
        <v>0</v>
      </c>
    </row>
    <row r="489" spans="1:4" x14ac:dyDescent="0.25">
      <c r="A489" t="s">
        <v>91</v>
      </c>
      <c r="B489">
        <v>139000</v>
      </c>
      <c r="C489">
        <f t="shared" si="14"/>
        <v>0.56581554080045926</v>
      </c>
      <c r="D489" t="b">
        <f t="shared" si="15"/>
        <v>0</v>
      </c>
    </row>
    <row r="490" spans="1:4" x14ac:dyDescent="0.25">
      <c r="A490" t="s">
        <v>91</v>
      </c>
      <c r="B490">
        <v>118500</v>
      </c>
      <c r="C490">
        <f t="shared" si="14"/>
        <v>0.81385391143368757</v>
      </c>
      <c r="D490" t="b">
        <f t="shared" si="15"/>
        <v>0</v>
      </c>
    </row>
    <row r="491" spans="1:4" x14ac:dyDescent="0.25">
      <c r="A491" t="s">
        <v>91</v>
      </c>
      <c r="B491">
        <v>145000</v>
      </c>
      <c r="C491">
        <f t="shared" si="14"/>
        <v>0.49321894451756326</v>
      </c>
      <c r="D491" t="b">
        <f t="shared" si="15"/>
        <v>0</v>
      </c>
    </row>
    <row r="492" spans="1:4" x14ac:dyDescent="0.25">
      <c r="A492" t="s">
        <v>91</v>
      </c>
      <c r="B492">
        <v>164500</v>
      </c>
      <c r="C492">
        <f t="shared" si="14"/>
        <v>0.25728000659815103</v>
      </c>
      <c r="D492" t="b">
        <f t="shared" si="15"/>
        <v>0</v>
      </c>
    </row>
    <row r="493" spans="1:4" x14ac:dyDescent="0.25">
      <c r="A493" t="s">
        <v>91</v>
      </c>
      <c r="B493">
        <v>131500</v>
      </c>
      <c r="C493">
        <f t="shared" si="14"/>
        <v>0.65656128615407938</v>
      </c>
      <c r="D493" t="b">
        <f t="shared" si="15"/>
        <v>0</v>
      </c>
    </row>
    <row r="494" spans="1:4" x14ac:dyDescent="0.25">
      <c r="A494" t="s">
        <v>91</v>
      </c>
      <c r="B494">
        <v>181900</v>
      </c>
      <c r="C494">
        <f t="shared" si="14"/>
        <v>4.6749877377752429E-2</v>
      </c>
      <c r="D494" t="b">
        <f t="shared" si="15"/>
        <v>0</v>
      </c>
    </row>
    <row r="495" spans="1:4" x14ac:dyDescent="0.25">
      <c r="A495" t="s">
        <v>91</v>
      </c>
      <c r="B495">
        <v>253293</v>
      </c>
      <c r="C495">
        <f t="shared" si="14"/>
        <v>0.81706492235971406</v>
      </c>
      <c r="D495" t="b">
        <f t="shared" si="15"/>
        <v>0</v>
      </c>
    </row>
    <row r="496" spans="1:4" x14ac:dyDescent="0.25">
      <c r="A496" t="s">
        <v>91</v>
      </c>
      <c r="B496">
        <v>325000</v>
      </c>
      <c r="C496">
        <f t="shared" si="14"/>
        <v>1.6846789439693188</v>
      </c>
      <c r="D496" t="b">
        <f t="shared" si="15"/>
        <v>0</v>
      </c>
    </row>
    <row r="497" spans="1:4" x14ac:dyDescent="0.25">
      <c r="A497" t="s">
        <v>91</v>
      </c>
      <c r="B497">
        <v>133000</v>
      </c>
      <c r="C497">
        <f t="shared" si="14"/>
        <v>0.63841213708335531</v>
      </c>
      <c r="D497" t="b">
        <f t="shared" si="15"/>
        <v>0</v>
      </c>
    </row>
    <row r="498" spans="1:4" x14ac:dyDescent="0.25">
      <c r="A498" t="s">
        <v>91</v>
      </c>
      <c r="B498">
        <v>369900</v>
      </c>
      <c r="C498">
        <f t="shared" si="14"/>
        <v>2.2279434728196574</v>
      </c>
      <c r="D498" t="b">
        <f t="shared" si="15"/>
        <v>0</v>
      </c>
    </row>
    <row r="499" spans="1:4" x14ac:dyDescent="0.25">
      <c r="A499" t="s">
        <v>91</v>
      </c>
      <c r="B499">
        <v>130000</v>
      </c>
      <c r="C499">
        <f t="shared" si="14"/>
        <v>0.67471043522480345</v>
      </c>
      <c r="D499" t="b">
        <f t="shared" si="15"/>
        <v>0</v>
      </c>
    </row>
    <row r="500" spans="1:4" x14ac:dyDescent="0.25">
      <c r="A500" t="s">
        <v>91</v>
      </c>
      <c r="B500">
        <v>137000</v>
      </c>
      <c r="C500">
        <f t="shared" si="14"/>
        <v>0.59001440622809131</v>
      </c>
      <c r="D500" t="b">
        <f t="shared" si="15"/>
        <v>0</v>
      </c>
    </row>
    <row r="501" spans="1:4" x14ac:dyDescent="0.25">
      <c r="A501" t="s">
        <v>91</v>
      </c>
      <c r="B501">
        <v>143000</v>
      </c>
      <c r="C501">
        <f t="shared" si="14"/>
        <v>0.51741780994519526</v>
      </c>
      <c r="D501" t="b">
        <f t="shared" si="15"/>
        <v>0</v>
      </c>
    </row>
    <row r="502" spans="1:4" x14ac:dyDescent="0.25">
      <c r="A502" t="s">
        <v>91</v>
      </c>
      <c r="B502">
        <v>79500</v>
      </c>
      <c r="C502">
        <f t="shared" si="14"/>
        <v>1.285731787272512</v>
      </c>
      <c r="D502" t="b">
        <f t="shared" si="15"/>
        <v>0</v>
      </c>
    </row>
    <row r="503" spans="1:4" x14ac:dyDescent="0.25">
      <c r="A503" t="s">
        <v>91</v>
      </c>
      <c r="B503">
        <v>185900</v>
      </c>
      <c r="C503">
        <f t="shared" si="14"/>
        <v>1.6478534775116146E-3</v>
      </c>
      <c r="D503" t="b">
        <f t="shared" si="15"/>
        <v>0</v>
      </c>
    </row>
    <row r="504" spans="1:4" x14ac:dyDescent="0.25">
      <c r="A504" t="s">
        <v>91</v>
      </c>
      <c r="B504">
        <v>451950</v>
      </c>
      <c r="C504">
        <f t="shared" si="14"/>
        <v>3.2207019269882613</v>
      </c>
      <c r="D504" t="b">
        <f t="shared" si="15"/>
        <v>1</v>
      </c>
    </row>
    <row r="505" spans="1:4" x14ac:dyDescent="0.25">
      <c r="A505" t="s">
        <v>91</v>
      </c>
      <c r="B505">
        <v>138000</v>
      </c>
      <c r="C505">
        <f t="shared" si="14"/>
        <v>0.57791497351427534</v>
      </c>
      <c r="D505" t="b">
        <f t="shared" si="15"/>
        <v>0</v>
      </c>
    </row>
    <row r="506" spans="1:4" x14ac:dyDescent="0.25">
      <c r="A506" t="s">
        <v>91</v>
      </c>
      <c r="B506">
        <v>110000</v>
      </c>
      <c r="C506">
        <f t="shared" si="14"/>
        <v>0.91669908950112367</v>
      </c>
      <c r="D506" t="b">
        <f t="shared" si="15"/>
        <v>0</v>
      </c>
    </row>
    <row r="507" spans="1:4" x14ac:dyDescent="0.25">
      <c r="A507" t="s">
        <v>91</v>
      </c>
      <c r="B507">
        <v>319000</v>
      </c>
      <c r="C507">
        <f t="shared" si="14"/>
        <v>1.6120823476864228</v>
      </c>
      <c r="D507" t="b">
        <f t="shared" si="15"/>
        <v>0</v>
      </c>
    </row>
    <row r="508" spans="1:4" x14ac:dyDescent="0.25">
      <c r="A508" t="s">
        <v>91</v>
      </c>
      <c r="B508">
        <v>114504</v>
      </c>
      <c r="C508">
        <f t="shared" si="14"/>
        <v>0.86220324455809627</v>
      </c>
      <c r="D508" t="b">
        <f t="shared" si="15"/>
        <v>0</v>
      </c>
    </row>
    <row r="509" spans="1:4" x14ac:dyDescent="0.25">
      <c r="A509" t="s">
        <v>91</v>
      </c>
      <c r="B509">
        <v>217500</v>
      </c>
      <c r="C509">
        <f t="shared" si="14"/>
        <v>0.38398992723409758</v>
      </c>
      <c r="D509" t="b">
        <f t="shared" si="15"/>
        <v>0</v>
      </c>
    </row>
    <row r="510" spans="1:4" x14ac:dyDescent="0.25">
      <c r="A510" t="s">
        <v>91</v>
      </c>
      <c r="B510">
        <v>275000</v>
      </c>
      <c r="C510">
        <f t="shared" si="14"/>
        <v>1.0797073082785182</v>
      </c>
      <c r="D510" t="b">
        <f t="shared" si="15"/>
        <v>0</v>
      </c>
    </row>
    <row r="511" spans="1:4" x14ac:dyDescent="0.25">
      <c r="A511" t="s">
        <v>91</v>
      </c>
      <c r="B511">
        <v>141000</v>
      </c>
      <c r="C511">
        <f t="shared" si="14"/>
        <v>0.54161667537282732</v>
      </c>
      <c r="D511" t="b">
        <f t="shared" si="15"/>
        <v>0</v>
      </c>
    </row>
    <row r="512" spans="1:4" x14ac:dyDescent="0.25">
      <c r="A512" t="s">
        <v>91</v>
      </c>
      <c r="B512">
        <v>220000</v>
      </c>
      <c r="C512">
        <f t="shared" si="14"/>
        <v>0.41423850901863757</v>
      </c>
      <c r="D512" t="b">
        <f t="shared" si="15"/>
        <v>0</v>
      </c>
    </row>
    <row r="513" spans="1:4" x14ac:dyDescent="0.25">
      <c r="A513" t="s">
        <v>91</v>
      </c>
      <c r="B513">
        <v>221000</v>
      </c>
      <c r="C513">
        <f t="shared" si="14"/>
        <v>0.4263379417324536</v>
      </c>
      <c r="D513" t="b">
        <f t="shared" si="15"/>
        <v>0</v>
      </c>
    </row>
    <row r="514" spans="1:4" x14ac:dyDescent="0.25">
      <c r="A514" t="s">
        <v>91</v>
      </c>
      <c r="B514">
        <v>205000</v>
      </c>
      <c r="C514">
        <f t="shared" si="14"/>
        <v>0.23274701831139744</v>
      </c>
      <c r="D514" t="b">
        <f t="shared" si="15"/>
        <v>0</v>
      </c>
    </row>
    <row r="515" spans="1:4" x14ac:dyDescent="0.25">
      <c r="A515" t="s">
        <v>91</v>
      </c>
      <c r="B515">
        <v>152000</v>
      </c>
      <c r="C515">
        <f t="shared" ref="C515:C578" si="16">ABS((B515-$G$4)/$G$8)</f>
        <v>0.40852291552085118</v>
      </c>
      <c r="D515" t="b">
        <f t="shared" ref="D515:D578" si="17">IF(C515&gt;3,TRUE,FALSE)</f>
        <v>0</v>
      </c>
    </row>
    <row r="516" spans="1:4" x14ac:dyDescent="0.25">
      <c r="A516" t="s">
        <v>91</v>
      </c>
      <c r="B516">
        <v>225000</v>
      </c>
      <c r="C516">
        <f t="shared" si="16"/>
        <v>0.47473567258771765</v>
      </c>
      <c r="D516" t="b">
        <f t="shared" si="17"/>
        <v>0</v>
      </c>
    </row>
    <row r="517" spans="1:4" x14ac:dyDescent="0.25">
      <c r="A517" t="s">
        <v>91</v>
      </c>
      <c r="B517">
        <v>359100</v>
      </c>
      <c r="C517">
        <f t="shared" si="16"/>
        <v>2.0972695995104447</v>
      </c>
      <c r="D517" t="b">
        <f t="shared" si="17"/>
        <v>0</v>
      </c>
    </row>
    <row r="518" spans="1:4" x14ac:dyDescent="0.25">
      <c r="A518" t="s">
        <v>91</v>
      </c>
      <c r="B518">
        <v>118500</v>
      </c>
      <c r="C518">
        <f t="shared" si="16"/>
        <v>0.81385391143368757</v>
      </c>
      <c r="D518" t="b">
        <f t="shared" si="17"/>
        <v>0</v>
      </c>
    </row>
    <row r="519" spans="1:4" x14ac:dyDescent="0.25">
      <c r="A519" t="s">
        <v>91</v>
      </c>
      <c r="B519">
        <v>313000</v>
      </c>
      <c r="C519">
        <f t="shared" si="16"/>
        <v>1.5394857514035265</v>
      </c>
      <c r="D519" t="b">
        <f t="shared" si="17"/>
        <v>0</v>
      </c>
    </row>
    <row r="520" spans="1:4" x14ac:dyDescent="0.25">
      <c r="A520" t="s">
        <v>91</v>
      </c>
      <c r="B520">
        <v>148000</v>
      </c>
      <c r="C520">
        <f t="shared" si="16"/>
        <v>0.45692064637611518</v>
      </c>
      <c r="D520" t="b">
        <f t="shared" si="17"/>
        <v>0</v>
      </c>
    </row>
    <row r="521" spans="1:4" x14ac:dyDescent="0.25">
      <c r="A521" t="s">
        <v>91</v>
      </c>
      <c r="B521">
        <v>261500</v>
      </c>
      <c r="C521">
        <f t="shared" si="16"/>
        <v>0.91636496664200207</v>
      </c>
      <c r="D521" t="b">
        <f t="shared" si="17"/>
        <v>0</v>
      </c>
    </row>
    <row r="522" spans="1:4" x14ac:dyDescent="0.25">
      <c r="A522" t="s">
        <v>91</v>
      </c>
      <c r="B522">
        <v>147000</v>
      </c>
      <c r="C522">
        <f t="shared" si="16"/>
        <v>0.46902007908993121</v>
      </c>
      <c r="D522" t="b">
        <f t="shared" si="17"/>
        <v>0</v>
      </c>
    </row>
    <row r="523" spans="1:4" x14ac:dyDescent="0.25">
      <c r="A523" t="s">
        <v>91</v>
      </c>
      <c r="B523">
        <v>137500</v>
      </c>
      <c r="C523">
        <f t="shared" si="16"/>
        <v>0.58396468987118333</v>
      </c>
      <c r="D523" t="b">
        <f t="shared" si="17"/>
        <v>0</v>
      </c>
    </row>
    <row r="524" spans="1:4" x14ac:dyDescent="0.25">
      <c r="A524" t="s">
        <v>91</v>
      </c>
      <c r="B524">
        <v>183200</v>
      </c>
      <c r="C524">
        <f t="shared" si="16"/>
        <v>3.1020614849791614E-2</v>
      </c>
      <c r="D524" t="b">
        <f t="shared" si="17"/>
        <v>0</v>
      </c>
    </row>
    <row r="525" spans="1:4" x14ac:dyDescent="0.25">
      <c r="A525" t="s">
        <v>91</v>
      </c>
      <c r="B525">
        <v>105500</v>
      </c>
      <c r="C525">
        <f t="shared" si="16"/>
        <v>0.97114653671329565</v>
      </c>
      <c r="D525" t="b">
        <f t="shared" si="17"/>
        <v>0</v>
      </c>
    </row>
    <row r="526" spans="1:4" x14ac:dyDescent="0.25">
      <c r="A526" t="s">
        <v>91</v>
      </c>
      <c r="B526">
        <v>314813</v>
      </c>
      <c r="C526">
        <f t="shared" si="16"/>
        <v>1.561422022913675</v>
      </c>
      <c r="D526" t="b">
        <f t="shared" si="17"/>
        <v>0</v>
      </c>
    </row>
    <row r="527" spans="1:4" x14ac:dyDescent="0.25">
      <c r="A527" t="s">
        <v>91</v>
      </c>
      <c r="B527">
        <v>305000</v>
      </c>
      <c r="C527">
        <f t="shared" si="16"/>
        <v>1.4426902896929985</v>
      </c>
      <c r="D527" t="b">
        <f t="shared" si="17"/>
        <v>0</v>
      </c>
    </row>
    <row r="528" spans="1:4" x14ac:dyDescent="0.25">
      <c r="A528" t="s">
        <v>91</v>
      </c>
      <c r="B528">
        <v>67000</v>
      </c>
      <c r="C528">
        <f t="shared" si="16"/>
        <v>1.4369746961952121</v>
      </c>
      <c r="D528" t="b">
        <f t="shared" si="17"/>
        <v>0</v>
      </c>
    </row>
    <row r="529" spans="1:4" x14ac:dyDescent="0.25">
      <c r="A529" t="s">
        <v>91</v>
      </c>
      <c r="B529">
        <v>240000</v>
      </c>
      <c r="C529">
        <f t="shared" si="16"/>
        <v>0.65622716329495778</v>
      </c>
      <c r="D529" t="b">
        <f t="shared" si="17"/>
        <v>0</v>
      </c>
    </row>
    <row r="530" spans="1:4" x14ac:dyDescent="0.25">
      <c r="A530" t="s">
        <v>91</v>
      </c>
      <c r="B530">
        <v>135000</v>
      </c>
      <c r="C530">
        <f t="shared" si="16"/>
        <v>0.61421327165572337</v>
      </c>
      <c r="D530" t="b">
        <f t="shared" si="17"/>
        <v>0</v>
      </c>
    </row>
    <row r="531" spans="1:4" x14ac:dyDescent="0.25">
      <c r="A531" t="s">
        <v>91</v>
      </c>
      <c r="B531">
        <v>165150</v>
      </c>
      <c r="C531">
        <f t="shared" si="16"/>
        <v>0.2494153753341706</v>
      </c>
      <c r="D531" t="b">
        <f t="shared" si="17"/>
        <v>0</v>
      </c>
    </row>
    <row r="532" spans="1:4" x14ac:dyDescent="0.25">
      <c r="A532" t="s">
        <v>91</v>
      </c>
      <c r="B532">
        <v>160000</v>
      </c>
      <c r="C532">
        <f t="shared" si="16"/>
        <v>0.31172745381032307</v>
      </c>
      <c r="D532" t="b">
        <f t="shared" si="17"/>
        <v>0</v>
      </c>
    </row>
    <row r="533" spans="1:4" x14ac:dyDescent="0.25">
      <c r="A533" t="s">
        <v>91</v>
      </c>
      <c r="B533">
        <v>139900</v>
      </c>
      <c r="C533">
        <f t="shared" si="16"/>
        <v>0.55492605135802486</v>
      </c>
      <c r="D533" t="b">
        <f t="shared" si="17"/>
        <v>0</v>
      </c>
    </row>
    <row r="534" spans="1:4" x14ac:dyDescent="0.25">
      <c r="A534" t="s">
        <v>91</v>
      </c>
      <c r="B534">
        <v>153000</v>
      </c>
      <c r="C534">
        <f t="shared" si="16"/>
        <v>0.39642348280703515</v>
      </c>
      <c r="D534" t="b">
        <f t="shared" si="17"/>
        <v>0</v>
      </c>
    </row>
    <row r="535" spans="1:4" x14ac:dyDescent="0.25">
      <c r="A535" t="s">
        <v>91</v>
      </c>
      <c r="B535">
        <v>135000</v>
      </c>
      <c r="C535">
        <f t="shared" si="16"/>
        <v>0.61421327165572337</v>
      </c>
      <c r="D535" t="b">
        <f t="shared" si="17"/>
        <v>0</v>
      </c>
    </row>
    <row r="536" spans="1:4" x14ac:dyDescent="0.25">
      <c r="A536" t="s">
        <v>91</v>
      </c>
      <c r="B536">
        <v>168500</v>
      </c>
      <c r="C536">
        <f t="shared" si="16"/>
        <v>0.20888227574288698</v>
      </c>
      <c r="D536" t="b">
        <f t="shared" si="17"/>
        <v>0</v>
      </c>
    </row>
    <row r="537" spans="1:4" x14ac:dyDescent="0.25">
      <c r="A537" t="s">
        <v>91</v>
      </c>
      <c r="B537">
        <v>124000</v>
      </c>
      <c r="C537">
        <f t="shared" si="16"/>
        <v>0.7473070315076995</v>
      </c>
      <c r="D537" t="b">
        <f t="shared" si="17"/>
        <v>0</v>
      </c>
    </row>
    <row r="538" spans="1:4" x14ac:dyDescent="0.25">
      <c r="A538" t="s">
        <v>91</v>
      </c>
      <c r="B538">
        <v>82500</v>
      </c>
      <c r="C538">
        <f t="shared" si="16"/>
        <v>1.2494334891310639</v>
      </c>
      <c r="D538" t="b">
        <f t="shared" si="17"/>
        <v>0</v>
      </c>
    </row>
    <row r="539" spans="1:4" x14ac:dyDescent="0.25">
      <c r="A539" t="s">
        <v>91</v>
      </c>
      <c r="B539">
        <v>139400</v>
      </c>
      <c r="C539">
        <f t="shared" si="16"/>
        <v>0.56097576771493285</v>
      </c>
      <c r="D539" t="b">
        <f t="shared" si="17"/>
        <v>0</v>
      </c>
    </row>
    <row r="540" spans="1:4" x14ac:dyDescent="0.25">
      <c r="A540" t="s">
        <v>91</v>
      </c>
      <c r="B540">
        <v>60000</v>
      </c>
      <c r="C540">
        <f t="shared" si="16"/>
        <v>1.5216707251919241</v>
      </c>
      <c r="D540" t="b">
        <f t="shared" si="17"/>
        <v>0</v>
      </c>
    </row>
    <row r="541" spans="1:4" x14ac:dyDescent="0.25">
      <c r="A541" t="s">
        <v>91</v>
      </c>
      <c r="B541">
        <v>85000</v>
      </c>
      <c r="C541">
        <f t="shared" si="16"/>
        <v>1.219184907346524</v>
      </c>
      <c r="D541" t="b">
        <f t="shared" si="17"/>
        <v>0</v>
      </c>
    </row>
    <row r="542" spans="1:4" x14ac:dyDescent="0.25">
      <c r="A542" t="s">
        <v>91</v>
      </c>
      <c r="B542">
        <v>226000</v>
      </c>
      <c r="C542">
        <f t="shared" si="16"/>
        <v>0.48683510530153368</v>
      </c>
      <c r="D542" t="b">
        <f t="shared" si="17"/>
        <v>0</v>
      </c>
    </row>
    <row r="543" spans="1:4" x14ac:dyDescent="0.25">
      <c r="A543" t="s">
        <v>91</v>
      </c>
      <c r="B543">
        <v>345000</v>
      </c>
      <c r="C543">
        <f t="shared" si="16"/>
        <v>1.9266675982456389</v>
      </c>
      <c r="D543" t="b">
        <f t="shared" si="17"/>
        <v>0</v>
      </c>
    </row>
    <row r="544" spans="1:4" x14ac:dyDescent="0.25">
      <c r="A544" t="s">
        <v>91</v>
      </c>
      <c r="B544">
        <v>152000</v>
      </c>
      <c r="C544">
        <f t="shared" si="16"/>
        <v>0.40852291552085118</v>
      </c>
      <c r="D544" t="b">
        <f t="shared" si="17"/>
        <v>0</v>
      </c>
    </row>
    <row r="545" spans="1:4" x14ac:dyDescent="0.25">
      <c r="A545" t="s">
        <v>91</v>
      </c>
      <c r="B545">
        <v>370878</v>
      </c>
      <c r="C545">
        <f t="shared" si="16"/>
        <v>2.2397767180137698</v>
      </c>
      <c r="D545" t="b">
        <f t="shared" si="17"/>
        <v>0</v>
      </c>
    </row>
    <row r="546" spans="1:4" x14ac:dyDescent="0.25">
      <c r="A546" t="s">
        <v>91</v>
      </c>
      <c r="B546">
        <v>143250</v>
      </c>
      <c r="C546">
        <f t="shared" si="16"/>
        <v>0.51439295176674127</v>
      </c>
      <c r="D546" t="b">
        <f t="shared" si="17"/>
        <v>0</v>
      </c>
    </row>
    <row r="547" spans="1:4" x14ac:dyDescent="0.25">
      <c r="A547" t="s">
        <v>91</v>
      </c>
      <c r="B547">
        <v>98300</v>
      </c>
      <c r="C547">
        <f t="shared" si="16"/>
        <v>1.058262452252771</v>
      </c>
      <c r="D547" t="b">
        <f t="shared" si="17"/>
        <v>0</v>
      </c>
    </row>
    <row r="548" spans="1:4" x14ac:dyDescent="0.25">
      <c r="A548" t="s">
        <v>91</v>
      </c>
      <c r="B548">
        <v>155000</v>
      </c>
      <c r="C548">
        <f t="shared" si="16"/>
        <v>0.3722246173794031</v>
      </c>
      <c r="D548" t="b">
        <f t="shared" si="17"/>
        <v>0</v>
      </c>
    </row>
    <row r="549" spans="1:4" x14ac:dyDescent="0.25">
      <c r="A549" t="s">
        <v>91</v>
      </c>
      <c r="B549">
        <v>155000</v>
      </c>
      <c r="C549">
        <f t="shared" si="16"/>
        <v>0.3722246173794031</v>
      </c>
      <c r="D549" t="b">
        <f t="shared" si="17"/>
        <v>0</v>
      </c>
    </row>
    <row r="550" spans="1:4" x14ac:dyDescent="0.25">
      <c r="A550" t="s">
        <v>91</v>
      </c>
      <c r="B550">
        <v>205950</v>
      </c>
      <c r="C550">
        <f t="shared" si="16"/>
        <v>0.24424147938952265</v>
      </c>
      <c r="D550" t="b">
        <f t="shared" si="17"/>
        <v>0</v>
      </c>
    </row>
    <row r="551" spans="1:4" x14ac:dyDescent="0.25">
      <c r="A551" t="s">
        <v>91</v>
      </c>
      <c r="B551">
        <v>108000</v>
      </c>
      <c r="C551">
        <f t="shared" si="16"/>
        <v>0.94089795492875561</v>
      </c>
      <c r="D551" t="b">
        <f t="shared" si="17"/>
        <v>0</v>
      </c>
    </row>
    <row r="552" spans="1:4" x14ac:dyDescent="0.25">
      <c r="A552" t="s">
        <v>91</v>
      </c>
      <c r="B552">
        <v>191000</v>
      </c>
      <c r="C552">
        <f t="shared" si="16"/>
        <v>6.3354960317973275E-2</v>
      </c>
      <c r="D552" t="b">
        <f t="shared" si="17"/>
        <v>0</v>
      </c>
    </row>
    <row r="553" spans="1:4" x14ac:dyDescent="0.25">
      <c r="A553" t="s">
        <v>91</v>
      </c>
      <c r="B553">
        <v>135000</v>
      </c>
      <c r="C553">
        <f t="shared" si="16"/>
        <v>0.61421327165572337</v>
      </c>
      <c r="D553" t="b">
        <f t="shared" si="17"/>
        <v>0</v>
      </c>
    </row>
    <row r="554" spans="1:4" x14ac:dyDescent="0.25">
      <c r="A554" t="s">
        <v>91</v>
      </c>
      <c r="B554">
        <v>350000</v>
      </c>
      <c r="C554">
        <f t="shared" si="16"/>
        <v>1.987164761814719</v>
      </c>
      <c r="D554" t="b">
        <f t="shared" si="17"/>
        <v>0</v>
      </c>
    </row>
    <row r="555" spans="1:4" x14ac:dyDescent="0.25">
      <c r="A555" t="s">
        <v>91</v>
      </c>
      <c r="B555">
        <v>145500</v>
      </c>
      <c r="C555">
        <f t="shared" si="16"/>
        <v>0.48716922816065522</v>
      </c>
      <c r="D555" t="b">
        <f t="shared" si="17"/>
        <v>0</v>
      </c>
    </row>
    <row r="556" spans="1:4" x14ac:dyDescent="0.25">
      <c r="A556" t="s">
        <v>91</v>
      </c>
      <c r="B556">
        <v>149000</v>
      </c>
      <c r="C556">
        <f t="shared" si="16"/>
        <v>0.44482121366229921</v>
      </c>
      <c r="D556" t="b">
        <f t="shared" si="17"/>
        <v>0</v>
      </c>
    </row>
    <row r="557" spans="1:4" x14ac:dyDescent="0.25">
      <c r="A557" t="s">
        <v>91</v>
      </c>
      <c r="B557">
        <v>97500</v>
      </c>
      <c r="C557">
        <f t="shared" si="16"/>
        <v>1.0679419984238239</v>
      </c>
      <c r="D557" t="b">
        <f t="shared" si="17"/>
        <v>0</v>
      </c>
    </row>
    <row r="558" spans="1:4" x14ac:dyDescent="0.25">
      <c r="A558" t="s">
        <v>91</v>
      </c>
      <c r="B558">
        <v>167000</v>
      </c>
      <c r="C558">
        <f t="shared" si="16"/>
        <v>0.22703142481361099</v>
      </c>
      <c r="D558" t="b">
        <f t="shared" si="17"/>
        <v>0</v>
      </c>
    </row>
    <row r="559" spans="1:4" x14ac:dyDescent="0.25">
      <c r="A559" t="s">
        <v>91</v>
      </c>
      <c r="B559">
        <v>197900</v>
      </c>
      <c r="C559">
        <f t="shared" si="16"/>
        <v>0.14684104604330375</v>
      </c>
      <c r="D559" t="b">
        <f t="shared" si="17"/>
        <v>0</v>
      </c>
    </row>
    <row r="560" spans="1:4" x14ac:dyDescent="0.25">
      <c r="A560" t="s">
        <v>91</v>
      </c>
      <c r="B560">
        <v>402000</v>
      </c>
      <c r="C560">
        <f t="shared" si="16"/>
        <v>2.6163352629331516</v>
      </c>
      <c r="D560" t="b">
        <f t="shared" si="17"/>
        <v>0</v>
      </c>
    </row>
    <row r="561" spans="1:4" x14ac:dyDescent="0.25">
      <c r="A561" t="s">
        <v>91</v>
      </c>
      <c r="B561">
        <v>110000</v>
      </c>
      <c r="C561">
        <f t="shared" si="16"/>
        <v>0.91669908950112367</v>
      </c>
      <c r="D561" t="b">
        <f t="shared" si="17"/>
        <v>0</v>
      </c>
    </row>
    <row r="562" spans="1:4" x14ac:dyDescent="0.25">
      <c r="A562" t="s">
        <v>91</v>
      </c>
      <c r="B562">
        <v>137500</v>
      </c>
      <c r="C562">
        <f t="shared" si="16"/>
        <v>0.58396468987118333</v>
      </c>
      <c r="D562" t="b">
        <f t="shared" si="17"/>
        <v>0</v>
      </c>
    </row>
    <row r="563" spans="1:4" x14ac:dyDescent="0.25">
      <c r="A563" t="s">
        <v>91</v>
      </c>
      <c r="B563">
        <v>423000</v>
      </c>
      <c r="C563">
        <f t="shared" si="16"/>
        <v>2.8704233499232878</v>
      </c>
      <c r="D563" t="b">
        <f t="shared" si="17"/>
        <v>0</v>
      </c>
    </row>
    <row r="564" spans="1:4" x14ac:dyDescent="0.25">
      <c r="A564" t="s">
        <v>91</v>
      </c>
      <c r="B564">
        <v>230500</v>
      </c>
      <c r="C564">
        <f t="shared" si="16"/>
        <v>0.54128255251370572</v>
      </c>
      <c r="D564" t="b">
        <f t="shared" si="17"/>
        <v>0</v>
      </c>
    </row>
    <row r="565" spans="1:4" x14ac:dyDescent="0.25">
      <c r="A565" t="s">
        <v>91</v>
      </c>
      <c r="B565">
        <v>129000</v>
      </c>
      <c r="C565">
        <f t="shared" si="16"/>
        <v>0.68680986793861942</v>
      </c>
      <c r="D565" t="b">
        <f t="shared" si="17"/>
        <v>0</v>
      </c>
    </row>
    <row r="566" spans="1:4" x14ac:dyDescent="0.25">
      <c r="A566" t="s">
        <v>91</v>
      </c>
      <c r="B566">
        <v>193500</v>
      </c>
      <c r="C566">
        <f t="shared" si="16"/>
        <v>9.3603542102513301E-2</v>
      </c>
      <c r="D566" t="b">
        <f t="shared" si="17"/>
        <v>0</v>
      </c>
    </row>
    <row r="567" spans="1:4" x14ac:dyDescent="0.25">
      <c r="A567" t="s">
        <v>91</v>
      </c>
      <c r="B567">
        <v>168000</v>
      </c>
      <c r="C567">
        <f t="shared" si="16"/>
        <v>0.21493199209979499</v>
      </c>
      <c r="D567" t="b">
        <f t="shared" si="17"/>
        <v>0</v>
      </c>
    </row>
    <row r="568" spans="1:4" x14ac:dyDescent="0.25">
      <c r="A568" t="s">
        <v>91</v>
      </c>
      <c r="B568">
        <v>137500</v>
      </c>
      <c r="C568">
        <f t="shared" si="16"/>
        <v>0.58396468987118333</v>
      </c>
      <c r="D568" t="b">
        <f t="shared" si="17"/>
        <v>0</v>
      </c>
    </row>
    <row r="569" spans="1:4" x14ac:dyDescent="0.25">
      <c r="A569" t="s">
        <v>91</v>
      </c>
      <c r="B569">
        <v>173500</v>
      </c>
      <c r="C569">
        <f t="shared" si="16"/>
        <v>0.14838511217380693</v>
      </c>
      <c r="D569" t="b">
        <f t="shared" si="17"/>
        <v>0</v>
      </c>
    </row>
    <row r="570" spans="1:4" x14ac:dyDescent="0.25">
      <c r="A570" t="s">
        <v>91</v>
      </c>
      <c r="B570">
        <v>103600</v>
      </c>
      <c r="C570">
        <f t="shared" si="16"/>
        <v>0.99413545886954613</v>
      </c>
      <c r="D570" t="b">
        <f t="shared" si="17"/>
        <v>0</v>
      </c>
    </row>
    <row r="571" spans="1:4" x14ac:dyDescent="0.25">
      <c r="A571" t="s">
        <v>91</v>
      </c>
      <c r="B571">
        <v>165000</v>
      </c>
      <c r="C571">
        <f t="shared" si="16"/>
        <v>0.25123029024124299</v>
      </c>
      <c r="D571" t="b">
        <f t="shared" si="17"/>
        <v>0</v>
      </c>
    </row>
    <row r="572" spans="1:4" x14ac:dyDescent="0.25">
      <c r="A572" t="s">
        <v>91</v>
      </c>
      <c r="B572">
        <v>257500</v>
      </c>
      <c r="C572">
        <f t="shared" si="16"/>
        <v>0.86796723578673796</v>
      </c>
      <c r="D572" t="b">
        <f t="shared" si="17"/>
        <v>0</v>
      </c>
    </row>
    <row r="573" spans="1:4" x14ac:dyDescent="0.25">
      <c r="A573" t="s">
        <v>91</v>
      </c>
      <c r="B573">
        <v>140000</v>
      </c>
      <c r="C573">
        <f t="shared" si="16"/>
        <v>0.55371610808664329</v>
      </c>
      <c r="D573" t="b">
        <f t="shared" si="17"/>
        <v>0</v>
      </c>
    </row>
    <row r="574" spans="1:4" x14ac:dyDescent="0.25">
      <c r="A574" t="s">
        <v>91</v>
      </c>
      <c r="B574">
        <v>87000</v>
      </c>
      <c r="C574">
        <f t="shared" si="16"/>
        <v>1.1949860419188918</v>
      </c>
      <c r="D574" t="b">
        <f t="shared" si="17"/>
        <v>0</v>
      </c>
    </row>
    <row r="575" spans="1:4" x14ac:dyDescent="0.25">
      <c r="A575" t="s">
        <v>91</v>
      </c>
      <c r="B575">
        <v>109500</v>
      </c>
      <c r="C575">
        <f t="shared" si="16"/>
        <v>0.92274880585803165</v>
      </c>
      <c r="D575" t="b">
        <f t="shared" si="17"/>
        <v>0</v>
      </c>
    </row>
    <row r="576" spans="1:4" x14ac:dyDescent="0.25">
      <c r="A576" t="s">
        <v>91</v>
      </c>
      <c r="B576">
        <v>372500</v>
      </c>
      <c r="C576">
        <f t="shared" si="16"/>
        <v>2.259401997875579</v>
      </c>
      <c r="D576" t="b">
        <f t="shared" si="17"/>
        <v>0</v>
      </c>
    </row>
    <row r="577" spans="1:4" x14ac:dyDescent="0.25">
      <c r="A577" t="s">
        <v>91</v>
      </c>
      <c r="B577">
        <v>128500</v>
      </c>
      <c r="C577">
        <f t="shared" si="16"/>
        <v>0.69285958429552741</v>
      </c>
      <c r="D577" t="b">
        <f t="shared" si="17"/>
        <v>0</v>
      </c>
    </row>
    <row r="578" spans="1:4" x14ac:dyDescent="0.25">
      <c r="A578" t="s">
        <v>91</v>
      </c>
      <c r="B578">
        <v>159434</v>
      </c>
      <c r="C578">
        <f t="shared" si="16"/>
        <v>0.31857573272634293</v>
      </c>
      <c r="D578" t="b">
        <f t="shared" si="17"/>
        <v>0</v>
      </c>
    </row>
    <row r="579" spans="1:4" x14ac:dyDescent="0.25">
      <c r="A579" t="s">
        <v>91</v>
      </c>
      <c r="B579">
        <v>173000</v>
      </c>
      <c r="C579">
        <f t="shared" ref="C579:C642" si="18">ABS((B579-$G$4)/$G$8)</f>
        <v>0.15443482853071494</v>
      </c>
      <c r="D579" t="b">
        <f t="shared" ref="D579:D642" si="19">IF(C579&gt;3,TRUE,FALSE)</f>
        <v>0</v>
      </c>
    </row>
    <row r="580" spans="1:4" x14ac:dyDescent="0.25">
      <c r="A580" t="s">
        <v>91</v>
      </c>
      <c r="B580">
        <v>285000</v>
      </c>
      <c r="C580">
        <f t="shared" si="18"/>
        <v>1.2007016354166784</v>
      </c>
      <c r="D580" t="b">
        <f t="shared" si="19"/>
        <v>0</v>
      </c>
    </row>
    <row r="581" spans="1:4" x14ac:dyDescent="0.25">
      <c r="A581" t="s">
        <v>91</v>
      </c>
      <c r="B581">
        <v>221000</v>
      </c>
      <c r="C581">
        <f t="shared" si="18"/>
        <v>0.4263379417324536</v>
      </c>
      <c r="D581" t="b">
        <f t="shared" si="19"/>
        <v>0</v>
      </c>
    </row>
    <row r="582" spans="1:4" x14ac:dyDescent="0.25">
      <c r="A582" t="s">
        <v>91</v>
      </c>
      <c r="B582">
        <v>227875</v>
      </c>
      <c r="C582">
        <f t="shared" si="18"/>
        <v>0.50952154163993868</v>
      </c>
      <c r="D582" t="b">
        <f t="shared" si="19"/>
        <v>0</v>
      </c>
    </row>
    <row r="583" spans="1:4" x14ac:dyDescent="0.25">
      <c r="A583" t="s">
        <v>91</v>
      </c>
      <c r="B583">
        <v>392000</v>
      </c>
      <c r="C583">
        <f t="shared" si="18"/>
        <v>2.4953409357949914</v>
      </c>
      <c r="D583" t="b">
        <f t="shared" si="19"/>
        <v>0</v>
      </c>
    </row>
    <row r="584" spans="1:4" x14ac:dyDescent="0.25">
      <c r="A584" t="s">
        <v>91</v>
      </c>
      <c r="B584">
        <v>755000</v>
      </c>
      <c r="C584">
        <f t="shared" si="18"/>
        <v>6.8874350109102025</v>
      </c>
      <c r="D584" t="b">
        <f t="shared" si="19"/>
        <v>1</v>
      </c>
    </row>
    <row r="585" spans="1:4" x14ac:dyDescent="0.25">
      <c r="A585" t="s">
        <v>91</v>
      </c>
      <c r="B585">
        <v>335000</v>
      </c>
      <c r="C585">
        <f t="shared" si="18"/>
        <v>1.8056732711074788</v>
      </c>
      <c r="D585" t="b">
        <f t="shared" si="19"/>
        <v>0</v>
      </c>
    </row>
    <row r="586" spans="1:4" x14ac:dyDescent="0.25">
      <c r="A586" t="s">
        <v>91</v>
      </c>
      <c r="B586">
        <v>108480</v>
      </c>
      <c r="C586">
        <f t="shared" si="18"/>
        <v>0.935090227226124</v>
      </c>
      <c r="D586" t="b">
        <f t="shared" si="19"/>
        <v>0</v>
      </c>
    </row>
    <row r="587" spans="1:4" x14ac:dyDescent="0.25">
      <c r="A587" t="s">
        <v>91</v>
      </c>
      <c r="B587">
        <v>141500</v>
      </c>
      <c r="C587">
        <f t="shared" si="18"/>
        <v>0.53556695901591922</v>
      </c>
      <c r="D587" t="b">
        <f t="shared" si="19"/>
        <v>0</v>
      </c>
    </row>
    <row r="588" spans="1:4" x14ac:dyDescent="0.25">
      <c r="A588" t="s">
        <v>91</v>
      </c>
      <c r="B588">
        <v>176000</v>
      </c>
      <c r="C588">
        <f t="shared" si="18"/>
        <v>0.1181365303892669</v>
      </c>
      <c r="D588" t="b">
        <f t="shared" si="19"/>
        <v>0</v>
      </c>
    </row>
    <row r="589" spans="1:4" x14ac:dyDescent="0.25">
      <c r="A589" t="s">
        <v>91</v>
      </c>
      <c r="B589">
        <v>89000</v>
      </c>
      <c r="C589">
        <f t="shared" si="18"/>
        <v>1.1707871764912599</v>
      </c>
      <c r="D589" t="b">
        <f t="shared" si="19"/>
        <v>0</v>
      </c>
    </row>
    <row r="590" spans="1:4" x14ac:dyDescent="0.25">
      <c r="A590" t="s">
        <v>91</v>
      </c>
      <c r="B590">
        <v>123500</v>
      </c>
      <c r="C590">
        <f t="shared" si="18"/>
        <v>0.75335674786460749</v>
      </c>
      <c r="D590" t="b">
        <f t="shared" si="19"/>
        <v>0</v>
      </c>
    </row>
    <row r="591" spans="1:4" x14ac:dyDescent="0.25">
      <c r="A591" t="s">
        <v>91</v>
      </c>
      <c r="B591">
        <v>138500</v>
      </c>
      <c r="C591">
        <f t="shared" si="18"/>
        <v>0.57186525715736736</v>
      </c>
      <c r="D591" t="b">
        <f t="shared" si="19"/>
        <v>0</v>
      </c>
    </row>
    <row r="592" spans="1:4" x14ac:dyDescent="0.25">
      <c r="A592" t="s">
        <v>91</v>
      </c>
      <c r="B592">
        <v>312500</v>
      </c>
      <c r="C592">
        <f t="shared" si="18"/>
        <v>1.5334360350466185</v>
      </c>
      <c r="D592" t="b">
        <f t="shared" si="19"/>
        <v>0</v>
      </c>
    </row>
    <row r="593" spans="1:4" x14ac:dyDescent="0.25">
      <c r="A593" t="s">
        <v>91</v>
      </c>
      <c r="B593">
        <v>140000</v>
      </c>
      <c r="C593">
        <f t="shared" si="18"/>
        <v>0.55371610808664329</v>
      </c>
      <c r="D593" t="b">
        <f t="shared" si="19"/>
        <v>0</v>
      </c>
    </row>
    <row r="594" spans="1:4" x14ac:dyDescent="0.25">
      <c r="A594" t="s">
        <v>91</v>
      </c>
      <c r="B594">
        <v>361919</v>
      </c>
      <c r="C594">
        <f t="shared" si="18"/>
        <v>2.1313779003306919</v>
      </c>
      <c r="D594" t="b">
        <f t="shared" si="19"/>
        <v>0</v>
      </c>
    </row>
    <row r="595" spans="1:4" x14ac:dyDescent="0.25">
      <c r="A595" t="s">
        <v>91</v>
      </c>
      <c r="B595">
        <v>213000</v>
      </c>
      <c r="C595">
        <f t="shared" si="18"/>
        <v>0.32954248002192549</v>
      </c>
      <c r="D595" t="b">
        <f t="shared" si="19"/>
        <v>0</v>
      </c>
    </row>
    <row r="596" spans="1:4" x14ac:dyDescent="0.25">
      <c r="A596" t="s">
        <v>91</v>
      </c>
      <c r="B596">
        <v>302000</v>
      </c>
      <c r="C596">
        <f t="shared" si="18"/>
        <v>1.4063919915515506</v>
      </c>
      <c r="D596" t="b">
        <f t="shared" si="19"/>
        <v>0</v>
      </c>
    </row>
    <row r="597" spans="1:4" x14ac:dyDescent="0.25">
      <c r="A597" t="s">
        <v>91</v>
      </c>
      <c r="B597">
        <v>179540</v>
      </c>
      <c r="C597">
        <f t="shared" si="18"/>
        <v>7.5304538582358221E-2</v>
      </c>
      <c r="D597" t="b">
        <f t="shared" si="19"/>
        <v>0</v>
      </c>
    </row>
    <row r="598" spans="1:4" x14ac:dyDescent="0.25">
      <c r="A598" t="s">
        <v>91</v>
      </c>
      <c r="B598">
        <v>109900</v>
      </c>
      <c r="C598">
        <f t="shared" si="18"/>
        <v>0.91790903277250524</v>
      </c>
      <c r="D598" t="b">
        <f t="shared" si="19"/>
        <v>0</v>
      </c>
    </row>
    <row r="599" spans="1:4" x14ac:dyDescent="0.25">
      <c r="A599" t="s">
        <v>91</v>
      </c>
      <c r="B599">
        <v>52000</v>
      </c>
      <c r="C599">
        <f t="shared" si="18"/>
        <v>1.6184661869024524</v>
      </c>
      <c r="D599" t="b">
        <f t="shared" si="19"/>
        <v>0</v>
      </c>
    </row>
    <row r="600" spans="1:4" x14ac:dyDescent="0.25">
      <c r="A600" t="s">
        <v>91</v>
      </c>
      <c r="B600">
        <v>102776</v>
      </c>
      <c r="C600">
        <f t="shared" si="18"/>
        <v>1.0041053914257305</v>
      </c>
      <c r="D600" t="b">
        <f t="shared" si="19"/>
        <v>0</v>
      </c>
    </row>
    <row r="601" spans="1:4" x14ac:dyDescent="0.25">
      <c r="A601" t="s">
        <v>91</v>
      </c>
      <c r="B601">
        <v>130500</v>
      </c>
      <c r="C601">
        <f t="shared" si="18"/>
        <v>0.66866071886789535</v>
      </c>
      <c r="D601" t="b">
        <f t="shared" si="19"/>
        <v>0</v>
      </c>
    </row>
    <row r="602" spans="1:4" x14ac:dyDescent="0.25">
      <c r="A602" t="s">
        <v>91</v>
      </c>
      <c r="B602">
        <v>165000</v>
      </c>
      <c r="C602">
        <f t="shared" si="18"/>
        <v>0.25123029024124299</v>
      </c>
      <c r="D602" t="b">
        <f t="shared" si="19"/>
        <v>0</v>
      </c>
    </row>
    <row r="603" spans="1:4" x14ac:dyDescent="0.25">
      <c r="A603" t="s">
        <v>91</v>
      </c>
      <c r="B603">
        <v>159500</v>
      </c>
      <c r="C603">
        <f t="shared" si="18"/>
        <v>0.31777717016723106</v>
      </c>
      <c r="D603" t="b">
        <f t="shared" si="19"/>
        <v>0</v>
      </c>
    </row>
    <row r="604" spans="1:4" x14ac:dyDescent="0.25">
      <c r="A604" t="s">
        <v>91</v>
      </c>
      <c r="B604">
        <v>157000</v>
      </c>
      <c r="C604">
        <f t="shared" si="18"/>
        <v>0.3480257519517711</v>
      </c>
      <c r="D604" t="b">
        <f t="shared" si="19"/>
        <v>0</v>
      </c>
    </row>
    <row r="605" spans="1:4" x14ac:dyDescent="0.25">
      <c r="A605" t="s">
        <v>91</v>
      </c>
      <c r="B605">
        <v>341000</v>
      </c>
      <c r="C605">
        <f t="shared" si="18"/>
        <v>1.8782698673903748</v>
      </c>
      <c r="D605" t="b">
        <f t="shared" si="19"/>
        <v>0</v>
      </c>
    </row>
    <row r="606" spans="1:4" x14ac:dyDescent="0.25">
      <c r="A606" t="s">
        <v>91</v>
      </c>
      <c r="B606">
        <v>128500</v>
      </c>
      <c r="C606">
        <f t="shared" si="18"/>
        <v>0.69285958429552741</v>
      </c>
      <c r="D606" t="b">
        <f t="shared" si="19"/>
        <v>0</v>
      </c>
    </row>
    <row r="607" spans="1:4" x14ac:dyDescent="0.25">
      <c r="A607" t="s">
        <v>91</v>
      </c>
      <c r="B607">
        <v>275000</v>
      </c>
      <c r="C607">
        <f t="shared" si="18"/>
        <v>1.0797073082785182</v>
      </c>
      <c r="D607" t="b">
        <f t="shared" si="19"/>
        <v>0</v>
      </c>
    </row>
    <row r="608" spans="1:4" x14ac:dyDescent="0.25">
      <c r="A608" t="s">
        <v>91</v>
      </c>
      <c r="B608">
        <v>124500</v>
      </c>
      <c r="C608">
        <f t="shared" si="18"/>
        <v>0.74125731515079141</v>
      </c>
      <c r="D608" t="b">
        <f t="shared" si="19"/>
        <v>0</v>
      </c>
    </row>
    <row r="609" spans="1:4" x14ac:dyDescent="0.25">
      <c r="A609" t="s">
        <v>91</v>
      </c>
      <c r="B609">
        <v>135000</v>
      </c>
      <c r="C609">
        <f t="shared" si="18"/>
        <v>0.61421327165572337</v>
      </c>
      <c r="D609" t="b">
        <f t="shared" si="19"/>
        <v>0</v>
      </c>
    </row>
    <row r="610" spans="1:4" x14ac:dyDescent="0.25">
      <c r="A610" t="s">
        <v>91</v>
      </c>
      <c r="B610">
        <v>320000</v>
      </c>
      <c r="C610">
        <f t="shared" si="18"/>
        <v>1.6241817804002388</v>
      </c>
      <c r="D610" t="b">
        <f t="shared" si="19"/>
        <v>0</v>
      </c>
    </row>
    <row r="611" spans="1:4" x14ac:dyDescent="0.25">
      <c r="A611" t="s">
        <v>91</v>
      </c>
      <c r="B611">
        <v>120500</v>
      </c>
      <c r="C611">
        <f t="shared" si="18"/>
        <v>0.78965504600605552</v>
      </c>
      <c r="D611" t="b">
        <f t="shared" si="19"/>
        <v>0</v>
      </c>
    </row>
    <row r="612" spans="1:4" x14ac:dyDescent="0.25">
      <c r="A612" t="s">
        <v>91</v>
      </c>
      <c r="B612">
        <v>222000</v>
      </c>
      <c r="C612">
        <f t="shared" si="18"/>
        <v>0.43843737444626962</v>
      </c>
      <c r="D612" t="b">
        <f t="shared" si="19"/>
        <v>0</v>
      </c>
    </row>
    <row r="613" spans="1:4" x14ac:dyDescent="0.25">
      <c r="A613" t="s">
        <v>91</v>
      </c>
      <c r="B613">
        <v>194500</v>
      </c>
      <c r="C613">
        <f t="shared" si="18"/>
        <v>0.10570297481632931</v>
      </c>
      <c r="D613" t="b">
        <f t="shared" si="19"/>
        <v>0</v>
      </c>
    </row>
    <row r="614" spans="1:4" x14ac:dyDescent="0.25">
      <c r="A614" t="s">
        <v>91</v>
      </c>
      <c r="B614">
        <v>103000</v>
      </c>
      <c r="C614">
        <f t="shared" si="18"/>
        <v>1.0013951184978358</v>
      </c>
      <c r="D614" t="b">
        <f t="shared" si="19"/>
        <v>0</v>
      </c>
    </row>
    <row r="615" spans="1:4" x14ac:dyDescent="0.25">
      <c r="A615" t="s">
        <v>91</v>
      </c>
      <c r="B615">
        <v>187500</v>
      </c>
      <c r="C615">
        <f t="shared" si="18"/>
        <v>2.1006945819617231E-2</v>
      </c>
      <c r="D615" t="b">
        <f t="shared" si="19"/>
        <v>0</v>
      </c>
    </row>
    <row r="616" spans="1:4" x14ac:dyDescent="0.25">
      <c r="A616" t="s">
        <v>91</v>
      </c>
      <c r="B616">
        <v>222500</v>
      </c>
      <c r="C616">
        <f t="shared" si="18"/>
        <v>0.44448709080317761</v>
      </c>
      <c r="D616" t="b">
        <f t="shared" si="19"/>
        <v>0</v>
      </c>
    </row>
    <row r="617" spans="1:4" x14ac:dyDescent="0.25">
      <c r="A617" t="s">
        <v>91</v>
      </c>
      <c r="B617">
        <v>131400</v>
      </c>
      <c r="C617">
        <f t="shared" si="18"/>
        <v>0.65777122942546096</v>
      </c>
      <c r="D617" t="b">
        <f t="shared" si="19"/>
        <v>0</v>
      </c>
    </row>
    <row r="618" spans="1:4" x14ac:dyDescent="0.25">
      <c r="A618" t="s">
        <v>91</v>
      </c>
      <c r="B618">
        <v>108000</v>
      </c>
      <c r="C618">
        <f t="shared" si="18"/>
        <v>0.94089795492875561</v>
      </c>
      <c r="D618" t="b">
        <f t="shared" si="19"/>
        <v>0</v>
      </c>
    </row>
    <row r="619" spans="1:4" x14ac:dyDescent="0.25">
      <c r="A619" t="s">
        <v>91</v>
      </c>
      <c r="B619">
        <v>163000</v>
      </c>
      <c r="C619">
        <f t="shared" si="18"/>
        <v>0.27542915566887505</v>
      </c>
      <c r="D619" t="b">
        <f t="shared" si="19"/>
        <v>0</v>
      </c>
    </row>
    <row r="620" spans="1:4" x14ac:dyDescent="0.25">
      <c r="A620" t="s">
        <v>91</v>
      </c>
      <c r="B620">
        <v>239900</v>
      </c>
      <c r="C620">
        <f t="shared" si="18"/>
        <v>0.65501722002357621</v>
      </c>
      <c r="D620" t="b">
        <f t="shared" si="19"/>
        <v>0</v>
      </c>
    </row>
    <row r="621" spans="1:4" x14ac:dyDescent="0.25">
      <c r="A621" t="s">
        <v>91</v>
      </c>
      <c r="B621">
        <v>190000</v>
      </c>
      <c r="C621">
        <f t="shared" si="18"/>
        <v>5.1255527604157261E-2</v>
      </c>
      <c r="D621" t="b">
        <f t="shared" si="19"/>
        <v>0</v>
      </c>
    </row>
    <row r="622" spans="1:4" x14ac:dyDescent="0.25">
      <c r="A622" t="s">
        <v>91</v>
      </c>
      <c r="B622">
        <v>132000</v>
      </c>
      <c r="C622">
        <f t="shared" si="18"/>
        <v>0.6505115697971714</v>
      </c>
      <c r="D622" t="b">
        <f t="shared" si="19"/>
        <v>0</v>
      </c>
    </row>
    <row r="623" spans="1:4" x14ac:dyDescent="0.25">
      <c r="A623" t="s">
        <v>91</v>
      </c>
      <c r="B623">
        <v>142000</v>
      </c>
      <c r="C623">
        <f t="shared" si="18"/>
        <v>0.52951724265901123</v>
      </c>
      <c r="D623" t="b">
        <f t="shared" si="19"/>
        <v>0</v>
      </c>
    </row>
    <row r="624" spans="1:4" x14ac:dyDescent="0.25">
      <c r="A624" t="s">
        <v>91</v>
      </c>
      <c r="B624">
        <v>179000</v>
      </c>
      <c r="C624">
        <f t="shared" si="18"/>
        <v>8.183823224781886E-2</v>
      </c>
      <c r="D624" t="b">
        <f t="shared" si="19"/>
        <v>0</v>
      </c>
    </row>
    <row r="625" spans="1:4" x14ac:dyDescent="0.25">
      <c r="A625" t="s">
        <v>91</v>
      </c>
      <c r="B625">
        <v>175000</v>
      </c>
      <c r="C625">
        <f t="shared" si="18"/>
        <v>0.13023596310308291</v>
      </c>
      <c r="D625" t="b">
        <f t="shared" si="19"/>
        <v>0</v>
      </c>
    </row>
    <row r="626" spans="1:4" x14ac:dyDescent="0.25">
      <c r="A626" t="s">
        <v>91</v>
      </c>
      <c r="B626">
        <v>299800</v>
      </c>
      <c r="C626">
        <f t="shared" si="18"/>
        <v>1.3797732395811553</v>
      </c>
      <c r="D626" t="b">
        <f t="shared" si="19"/>
        <v>0</v>
      </c>
    </row>
    <row r="627" spans="1:4" x14ac:dyDescent="0.25">
      <c r="A627" t="s">
        <v>91</v>
      </c>
      <c r="B627">
        <v>236000</v>
      </c>
      <c r="C627">
        <f t="shared" si="18"/>
        <v>0.60782943243969378</v>
      </c>
      <c r="D627" t="b">
        <f t="shared" si="19"/>
        <v>0</v>
      </c>
    </row>
    <row r="628" spans="1:4" x14ac:dyDescent="0.25">
      <c r="A628" t="s">
        <v>91</v>
      </c>
      <c r="B628">
        <v>265979</v>
      </c>
      <c r="C628">
        <f t="shared" si="18"/>
        <v>0.97055832576718393</v>
      </c>
      <c r="D628" t="b">
        <f t="shared" si="19"/>
        <v>0</v>
      </c>
    </row>
    <row r="629" spans="1:4" x14ac:dyDescent="0.25">
      <c r="A629" t="s">
        <v>91</v>
      </c>
      <c r="B629">
        <v>260400</v>
      </c>
      <c r="C629">
        <f t="shared" si="18"/>
        <v>0.90305559065680441</v>
      </c>
      <c r="D629" t="b">
        <f t="shared" si="19"/>
        <v>0</v>
      </c>
    </row>
    <row r="630" spans="1:4" x14ac:dyDescent="0.25">
      <c r="A630" t="s">
        <v>91</v>
      </c>
      <c r="B630">
        <v>98000</v>
      </c>
      <c r="C630">
        <f t="shared" si="18"/>
        <v>1.0618922820669157</v>
      </c>
      <c r="D630" t="b">
        <f t="shared" si="19"/>
        <v>0</v>
      </c>
    </row>
    <row r="631" spans="1:4" x14ac:dyDescent="0.25">
      <c r="A631" t="s">
        <v>91</v>
      </c>
      <c r="B631">
        <v>96500</v>
      </c>
      <c r="C631">
        <f t="shared" si="18"/>
        <v>1.0800414311376398</v>
      </c>
      <c r="D631" t="b">
        <f t="shared" si="19"/>
        <v>0</v>
      </c>
    </row>
    <row r="632" spans="1:4" x14ac:dyDescent="0.25">
      <c r="A632" t="s">
        <v>91</v>
      </c>
      <c r="B632">
        <v>162000</v>
      </c>
      <c r="C632">
        <f t="shared" si="18"/>
        <v>0.28752858838269107</v>
      </c>
      <c r="D632" t="b">
        <f t="shared" si="19"/>
        <v>0</v>
      </c>
    </row>
    <row r="633" spans="1:4" x14ac:dyDescent="0.25">
      <c r="A633" t="s">
        <v>91</v>
      </c>
      <c r="B633">
        <v>217000</v>
      </c>
      <c r="C633">
        <f t="shared" si="18"/>
        <v>0.37794021087718954</v>
      </c>
      <c r="D633" t="b">
        <f t="shared" si="19"/>
        <v>0</v>
      </c>
    </row>
    <row r="634" spans="1:4" x14ac:dyDescent="0.25">
      <c r="A634" t="s">
        <v>91</v>
      </c>
      <c r="B634">
        <v>275500</v>
      </c>
      <c r="C634">
        <f t="shared" si="18"/>
        <v>1.0857570246354262</v>
      </c>
      <c r="D634" t="b">
        <f t="shared" si="19"/>
        <v>0</v>
      </c>
    </row>
    <row r="635" spans="1:4" x14ac:dyDescent="0.25">
      <c r="A635" t="s">
        <v>91</v>
      </c>
      <c r="B635">
        <v>156000</v>
      </c>
      <c r="C635">
        <f t="shared" si="18"/>
        <v>0.36012518466558713</v>
      </c>
      <c r="D635" t="b">
        <f t="shared" si="19"/>
        <v>0</v>
      </c>
    </row>
    <row r="636" spans="1:4" x14ac:dyDescent="0.25">
      <c r="A636" t="s">
        <v>91</v>
      </c>
      <c r="B636">
        <v>212000</v>
      </c>
      <c r="C636">
        <f t="shared" si="18"/>
        <v>0.31744304730810952</v>
      </c>
      <c r="D636" t="b">
        <f t="shared" si="19"/>
        <v>0</v>
      </c>
    </row>
    <row r="637" spans="1:4" x14ac:dyDescent="0.25">
      <c r="A637" t="s">
        <v>91</v>
      </c>
      <c r="B637">
        <v>158900</v>
      </c>
      <c r="C637">
        <f t="shared" si="18"/>
        <v>0.32503682979552068</v>
      </c>
      <c r="D637" t="b">
        <f t="shared" si="19"/>
        <v>0</v>
      </c>
    </row>
    <row r="638" spans="1:4" x14ac:dyDescent="0.25">
      <c r="A638" t="s">
        <v>91</v>
      </c>
      <c r="B638">
        <v>290000</v>
      </c>
      <c r="C638">
        <f t="shared" si="18"/>
        <v>1.2611987989857583</v>
      </c>
      <c r="D638" t="b">
        <f t="shared" si="19"/>
        <v>0</v>
      </c>
    </row>
    <row r="639" spans="1:4" x14ac:dyDescent="0.25">
      <c r="A639" t="s">
        <v>91</v>
      </c>
      <c r="B639">
        <v>127500</v>
      </c>
      <c r="C639">
        <f t="shared" si="18"/>
        <v>0.70495901700934338</v>
      </c>
      <c r="D639" t="b">
        <f t="shared" si="19"/>
        <v>0</v>
      </c>
    </row>
    <row r="640" spans="1:4" x14ac:dyDescent="0.25">
      <c r="A640" t="s">
        <v>91</v>
      </c>
      <c r="B640">
        <v>100000</v>
      </c>
      <c r="C640">
        <f t="shared" si="18"/>
        <v>1.0376934166392837</v>
      </c>
      <c r="D640" t="b">
        <f t="shared" si="19"/>
        <v>0</v>
      </c>
    </row>
    <row r="641" spans="1:4" x14ac:dyDescent="0.25">
      <c r="A641" t="s">
        <v>91</v>
      </c>
      <c r="B641">
        <v>215200</v>
      </c>
      <c r="C641">
        <f t="shared" si="18"/>
        <v>0.35616123199232075</v>
      </c>
      <c r="D641" t="b">
        <f t="shared" si="19"/>
        <v>0</v>
      </c>
    </row>
    <row r="642" spans="1:4" x14ac:dyDescent="0.25">
      <c r="A642" t="s">
        <v>91</v>
      </c>
      <c r="B642">
        <v>337000</v>
      </c>
      <c r="C642">
        <f t="shared" si="18"/>
        <v>1.8298721365351109</v>
      </c>
      <c r="D642" t="b">
        <f t="shared" si="19"/>
        <v>0</v>
      </c>
    </row>
    <row r="643" spans="1:4" x14ac:dyDescent="0.25">
      <c r="A643" t="s">
        <v>91</v>
      </c>
      <c r="B643">
        <v>264132</v>
      </c>
      <c r="C643">
        <f t="shared" ref="C643:C706" si="20">ABS((B643-$G$4)/$G$8)</f>
        <v>0.94821067354476574</v>
      </c>
      <c r="D643" t="b">
        <f t="shared" ref="D643:D706" si="21">IF(C643&gt;3,TRUE,FALSE)</f>
        <v>0</v>
      </c>
    </row>
    <row r="644" spans="1:4" x14ac:dyDescent="0.25">
      <c r="A644" t="s">
        <v>91</v>
      </c>
      <c r="B644">
        <v>196500</v>
      </c>
      <c r="C644">
        <f t="shared" si="20"/>
        <v>0.12990184024396134</v>
      </c>
      <c r="D644" t="b">
        <f t="shared" si="21"/>
        <v>0</v>
      </c>
    </row>
    <row r="645" spans="1:4" x14ac:dyDescent="0.25">
      <c r="A645" t="s">
        <v>91</v>
      </c>
      <c r="B645">
        <v>160000</v>
      </c>
      <c r="C645">
        <f t="shared" si="20"/>
        <v>0.31172745381032307</v>
      </c>
      <c r="D645" t="b">
        <f t="shared" si="21"/>
        <v>0</v>
      </c>
    </row>
    <row r="646" spans="1:4" x14ac:dyDescent="0.25">
      <c r="A646" t="s">
        <v>91</v>
      </c>
      <c r="B646">
        <v>216837</v>
      </c>
      <c r="C646">
        <f t="shared" si="20"/>
        <v>0.37596800334483754</v>
      </c>
      <c r="D646" t="b">
        <f t="shared" si="21"/>
        <v>0</v>
      </c>
    </row>
    <row r="647" spans="1:4" x14ac:dyDescent="0.25">
      <c r="A647" t="s">
        <v>91</v>
      </c>
      <c r="B647">
        <v>538000</v>
      </c>
      <c r="C647">
        <f t="shared" si="20"/>
        <v>4.2618581120121295</v>
      </c>
      <c r="D647" t="b">
        <f t="shared" si="21"/>
        <v>1</v>
      </c>
    </row>
    <row r="648" spans="1:4" x14ac:dyDescent="0.25">
      <c r="A648" t="s">
        <v>91</v>
      </c>
      <c r="B648">
        <v>134900</v>
      </c>
      <c r="C648">
        <f t="shared" si="20"/>
        <v>0.61542321492710494</v>
      </c>
      <c r="D648" t="b">
        <f t="shared" si="21"/>
        <v>0</v>
      </c>
    </row>
    <row r="649" spans="1:4" x14ac:dyDescent="0.25">
      <c r="A649" t="s">
        <v>91</v>
      </c>
      <c r="B649">
        <v>102000</v>
      </c>
      <c r="C649">
        <f t="shared" si="20"/>
        <v>1.0134945512116518</v>
      </c>
      <c r="D649" t="b">
        <f t="shared" si="21"/>
        <v>0</v>
      </c>
    </row>
    <row r="650" spans="1:4" x14ac:dyDescent="0.25">
      <c r="A650" t="s">
        <v>91</v>
      </c>
      <c r="B650">
        <v>107000</v>
      </c>
      <c r="C650">
        <f t="shared" si="20"/>
        <v>0.95299738764257169</v>
      </c>
      <c r="D650" t="b">
        <f t="shared" si="21"/>
        <v>0</v>
      </c>
    </row>
    <row r="651" spans="1:4" x14ac:dyDescent="0.25">
      <c r="A651" t="s">
        <v>91</v>
      </c>
      <c r="B651">
        <v>114500</v>
      </c>
      <c r="C651">
        <f t="shared" si="20"/>
        <v>0.86225164228895157</v>
      </c>
      <c r="D651" t="b">
        <f t="shared" si="21"/>
        <v>0</v>
      </c>
    </row>
    <row r="652" spans="1:4" x14ac:dyDescent="0.25">
      <c r="A652" t="s">
        <v>91</v>
      </c>
      <c r="B652">
        <v>395000</v>
      </c>
      <c r="C652">
        <f t="shared" si="20"/>
        <v>2.5316392339364393</v>
      </c>
      <c r="D652" t="b">
        <f t="shared" si="21"/>
        <v>0</v>
      </c>
    </row>
    <row r="653" spans="1:4" x14ac:dyDescent="0.25">
      <c r="A653" t="s">
        <v>91</v>
      </c>
      <c r="B653">
        <v>221500</v>
      </c>
      <c r="C653">
        <f t="shared" si="20"/>
        <v>0.43238765808936158</v>
      </c>
      <c r="D653" t="b">
        <f t="shared" si="21"/>
        <v>0</v>
      </c>
    </row>
    <row r="654" spans="1:4" x14ac:dyDescent="0.25">
      <c r="A654" t="s">
        <v>91</v>
      </c>
      <c r="B654">
        <v>142500</v>
      </c>
      <c r="C654">
        <f t="shared" si="20"/>
        <v>0.52346752630210325</v>
      </c>
      <c r="D654" t="b">
        <f t="shared" si="21"/>
        <v>0</v>
      </c>
    </row>
    <row r="655" spans="1:4" x14ac:dyDescent="0.25">
      <c r="A655" t="s">
        <v>91</v>
      </c>
      <c r="B655">
        <v>176000</v>
      </c>
      <c r="C655">
        <f t="shared" si="20"/>
        <v>0.1181365303892669</v>
      </c>
      <c r="D655" t="b">
        <f t="shared" si="21"/>
        <v>0</v>
      </c>
    </row>
    <row r="656" spans="1:4" x14ac:dyDescent="0.25">
      <c r="A656" t="s">
        <v>91</v>
      </c>
      <c r="B656">
        <v>175900</v>
      </c>
      <c r="C656">
        <f t="shared" si="20"/>
        <v>0.11934647366064849</v>
      </c>
      <c r="D656" t="b">
        <f t="shared" si="21"/>
        <v>0</v>
      </c>
    </row>
    <row r="657" spans="1:4" x14ac:dyDescent="0.25">
      <c r="A657" t="s">
        <v>91</v>
      </c>
      <c r="B657">
        <v>187100</v>
      </c>
      <c r="C657">
        <f t="shared" si="20"/>
        <v>1.6167172734090827E-2</v>
      </c>
      <c r="D657" t="b">
        <f t="shared" si="21"/>
        <v>0</v>
      </c>
    </row>
    <row r="658" spans="1:4" x14ac:dyDescent="0.25">
      <c r="A658" t="s">
        <v>91</v>
      </c>
      <c r="B658">
        <v>165500</v>
      </c>
      <c r="C658">
        <f t="shared" si="20"/>
        <v>0.24518057388433501</v>
      </c>
      <c r="D658" t="b">
        <f t="shared" si="21"/>
        <v>0</v>
      </c>
    </row>
    <row r="659" spans="1:4" x14ac:dyDescent="0.25">
      <c r="A659" t="s">
        <v>91</v>
      </c>
      <c r="B659">
        <v>128000</v>
      </c>
      <c r="C659">
        <f t="shared" si="20"/>
        <v>0.69890930065243539</v>
      </c>
      <c r="D659" t="b">
        <f t="shared" si="21"/>
        <v>0</v>
      </c>
    </row>
    <row r="660" spans="1:4" x14ac:dyDescent="0.25">
      <c r="A660" t="s">
        <v>91</v>
      </c>
      <c r="B660">
        <v>161500</v>
      </c>
      <c r="C660">
        <f t="shared" si="20"/>
        <v>0.29357830473959906</v>
      </c>
      <c r="D660" t="b">
        <f t="shared" si="21"/>
        <v>0</v>
      </c>
    </row>
    <row r="661" spans="1:4" x14ac:dyDescent="0.25">
      <c r="A661" t="s">
        <v>91</v>
      </c>
      <c r="B661">
        <v>139000</v>
      </c>
      <c r="C661">
        <f t="shared" si="20"/>
        <v>0.56581554080045926</v>
      </c>
      <c r="D661" t="b">
        <f t="shared" si="21"/>
        <v>0</v>
      </c>
    </row>
    <row r="662" spans="1:4" x14ac:dyDescent="0.25">
      <c r="A662" t="s">
        <v>91</v>
      </c>
      <c r="B662">
        <v>233000</v>
      </c>
      <c r="C662">
        <f t="shared" si="20"/>
        <v>0.57153113429824576</v>
      </c>
      <c r="D662" t="b">
        <f t="shared" si="21"/>
        <v>0</v>
      </c>
    </row>
    <row r="663" spans="1:4" x14ac:dyDescent="0.25">
      <c r="A663" t="s">
        <v>91</v>
      </c>
      <c r="B663">
        <v>107900</v>
      </c>
      <c r="C663">
        <f t="shared" si="20"/>
        <v>0.94210789820013729</v>
      </c>
      <c r="D663" t="b">
        <f t="shared" si="21"/>
        <v>0</v>
      </c>
    </row>
    <row r="664" spans="1:4" x14ac:dyDescent="0.25">
      <c r="A664" t="s">
        <v>91</v>
      </c>
      <c r="B664">
        <v>187500</v>
      </c>
      <c r="C664">
        <f t="shared" si="20"/>
        <v>2.1006945819617231E-2</v>
      </c>
      <c r="D664" t="b">
        <f t="shared" si="21"/>
        <v>0</v>
      </c>
    </row>
    <row r="665" spans="1:4" x14ac:dyDescent="0.25">
      <c r="A665" t="s">
        <v>91</v>
      </c>
      <c r="B665">
        <v>146800</v>
      </c>
      <c r="C665">
        <f t="shared" si="20"/>
        <v>0.47143996563269441</v>
      </c>
      <c r="D665" t="b">
        <f t="shared" si="21"/>
        <v>0</v>
      </c>
    </row>
    <row r="666" spans="1:4" x14ac:dyDescent="0.25">
      <c r="A666" t="s">
        <v>91</v>
      </c>
      <c r="B666">
        <v>269790</v>
      </c>
      <c r="C666">
        <f t="shared" si="20"/>
        <v>1.0166692638395367</v>
      </c>
      <c r="D666" t="b">
        <f t="shared" si="21"/>
        <v>0</v>
      </c>
    </row>
    <row r="667" spans="1:4" x14ac:dyDescent="0.25">
      <c r="A667" t="s">
        <v>91</v>
      </c>
      <c r="B667">
        <v>225000</v>
      </c>
      <c r="C667">
        <f t="shared" si="20"/>
        <v>0.47473567258771765</v>
      </c>
      <c r="D667" t="b">
        <f t="shared" si="21"/>
        <v>0</v>
      </c>
    </row>
    <row r="668" spans="1:4" x14ac:dyDescent="0.25">
      <c r="A668" t="s">
        <v>91</v>
      </c>
      <c r="B668">
        <v>194500</v>
      </c>
      <c r="C668">
        <f t="shared" si="20"/>
        <v>0.10570297481632931</v>
      </c>
      <c r="D668" t="b">
        <f t="shared" si="21"/>
        <v>0</v>
      </c>
    </row>
    <row r="669" spans="1:4" x14ac:dyDescent="0.25">
      <c r="A669" t="s">
        <v>91</v>
      </c>
      <c r="B669">
        <v>171000</v>
      </c>
      <c r="C669">
        <f t="shared" si="20"/>
        <v>0.17863369395834694</v>
      </c>
      <c r="D669" t="b">
        <f t="shared" si="21"/>
        <v>0</v>
      </c>
    </row>
    <row r="670" spans="1:4" x14ac:dyDescent="0.25">
      <c r="A670" t="s">
        <v>91</v>
      </c>
      <c r="B670">
        <v>143500</v>
      </c>
      <c r="C670">
        <f t="shared" si="20"/>
        <v>0.51136809358828728</v>
      </c>
      <c r="D670" t="b">
        <f t="shared" si="21"/>
        <v>0</v>
      </c>
    </row>
    <row r="671" spans="1:4" x14ac:dyDescent="0.25">
      <c r="A671" t="s">
        <v>91</v>
      </c>
      <c r="B671">
        <v>110000</v>
      </c>
      <c r="C671">
        <f t="shared" si="20"/>
        <v>0.91669908950112367</v>
      </c>
      <c r="D671" t="b">
        <f t="shared" si="21"/>
        <v>0</v>
      </c>
    </row>
    <row r="672" spans="1:4" x14ac:dyDescent="0.25">
      <c r="A672" t="s">
        <v>91</v>
      </c>
      <c r="B672">
        <v>485000</v>
      </c>
      <c r="C672">
        <f t="shared" si="20"/>
        <v>3.6205881781798803</v>
      </c>
      <c r="D672" t="b">
        <f t="shared" si="21"/>
        <v>1</v>
      </c>
    </row>
    <row r="673" spans="1:4" x14ac:dyDescent="0.25">
      <c r="A673" t="s">
        <v>91</v>
      </c>
      <c r="B673">
        <v>175000</v>
      </c>
      <c r="C673">
        <f t="shared" si="20"/>
        <v>0.13023596310308291</v>
      </c>
      <c r="D673" t="b">
        <f t="shared" si="21"/>
        <v>0</v>
      </c>
    </row>
    <row r="674" spans="1:4" x14ac:dyDescent="0.25">
      <c r="A674" t="s">
        <v>91</v>
      </c>
      <c r="B674">
        <v>200000</v>
      </c>
      <c r="C674">
        <f t="shared" si="20"/>
        <v>0.17224985474231738</v>
      </c>
      <c r="D674" t="b">
        <f t="shared" si="21"/>
        <v>0</v>
      </c>
    </row>
    <row r="675" spans="1:4" x14ac:dyDescent="0.25">
      <c r="A675" t="s">
        <v>91</v>
      </c>
      <c r="B675">
        <v>109900</v>
      </c>
      <c r="C675">
        <f t="shared" si="20"/>
        <v>0.91790903277250524</v>
      </c>
      <c r="D675" t="b">
        <f t="shared" si="21"/>
        <v>0</v>
      </c>
    </row>
    <row r="676" spans="1:4" x14ac:dyDescent="0.25">
      <c r="A676" t="s">
        <v>91</v>
      </c>
      <c r="B676">
        <v>189000</v>
      </c>
      <c r="C676">
        <f t="shared" si="20"/>
        <v>3.9156094890341248E-2</v>
      </c>
      <c r="D676" t="b">
        <f t="shared" si="21"/>
        <v>0</v>
      </c>
    </row>
    <row r="677" spans="1:4" x14ac:dyDescent="0.25">
      <c r="A677" t="s">
        <v>91</v>
      </c>
      <c r="B677">
        <v>582933</v>
      </c>
      <c r="C677">
        <f t="shared" si="20"/>
        <v>4.8055219221420238</v>
      </c>
      <c r="D677" t="b">
        <f t="shared" si="21"/>
        <v>1</v>
      </c>
    </row>
    <row r="678" spans="1:4" x14ac:dyDescent="0.25">
      <c r="A678" t="s">
        <v>91</v>
      </c>
      <c r="B678">
        <v>118000</v>
      </c>
      <c r="C678">
        <f t="shared" si="20"/>
        <v>0.81990362779059556</v>
      </c>
      <c r="D678" t="b">
        <f t="shared" si="21"/>
        <v>0</v>
      </c>
    </row>
    <row r="679" spans="1:4" x14ac:dyDescent="0.25">
      <c r="A679" t="s">
        <v>91</v>
      </c>
      <c r="B679">
        <v>227680</v>
      </c>
      <c r="C679">
        <f t="shared" si="20"/>
        <v>0.50716215226074457</v>
      </c>
      <c r="D679" t="b">
        <f t="shared" si="21"/>
        <v>0</v>
      </c>
    </row>
    <row r="680" spans="1:4" x14ac:dyDescent="0.25">
      <c r="A680" t="s">
        <v>91</v>
      </c>
      <c r="B680">
        <v>135500</v>
      </c>
      <c r="C680">
        <f t="shared" si="20"/>
        <v>0.60816355529881538</v>
      </c>
      <c r="D680" t="b">
        <f t="shared" si="21"/>
        <v>0</v>
      </c>
    </row>
    <row r="681" spans="1:4" x14ac:dyDescent="0.25">
      <c r="A681" t="s">
        <v>91</v>
      </c>
      <c r="B681">
        <v>223500</v>
      </c>
      <c r="C681">
        <f t="shared" si="20"/>
        <v>0.45658652351699364</v>
      </c>
      <c r="D681" t="b">
        <f t="shared" si="21"/>
        <v>0</v>
      </c>
    </row>
    <row r="682" spans="1:4" x14ac:dyDescent="0.25">
      <c r="A682" t="s">
        <v>91</v>
      </c>
      <c r="B682">
        <v>159950</v>
      </c>
      <c r="C682">
        <f t="shared" si="20"/>
        <v>0.31233242544601386</v>
      </c>
      <c r="D682" t="b">
        <f t="shared" si="21"/>
        <v>0</v>
      </c>
    </row>
    <row r="683" spans="1:4" x14ac:dyDescent="0.25">
      <c r="A683" t="s">
        <v>91</v>
      </c>
      <c r="B683">
        <v>106000</v>
      </c>
      <c r="C683">
        <f t="shared" si="20"/>
        <v>0.96509682035638766</v>
      </c>
      <c r="D683" t="b">
        <f t="shared" si="21"/>
        <v>0</v>
      </c>
    </row>
    <row r="684" spans="1:4" x14ac:dyDescent="0.25">
      <c r="A684" t="s">
        <v>91</v>
      </c>
      <c r="B684">
        <v>181000</v>
      </c>
      <c r="C684">
        <f t="shared" si="20"/>
        <v>5.7639366820186839E-2</v>
      </c>
      <c r="D684" t="b">
        <f t="shared" si="21"/>
        <v>0</v>
      </c>
    </row>
    <row r="685" spans="1:4" x14ac:dyDescent="0.25">
      <c r="A685" t="s">
        <v>91</v>
      </c>
      <c r="B685">
        <v>55993</v>
      </c>
      <c r="C685">
        <f t="shared" si="20"/>
        <v>1.5701531520761849</v>
      </c>
      <c r="D685" t="b">
        <f t="shared" si="21"/>
        <v>0</v>
      </c>
    </row>
    <row r="686" spans="1:4" x14ac:dyDescent="0.25">
      <c r="A686" t="s">
        <v>91</v>
      </c>
      <c r="B686">
        <v>157900</v>
      </c>
      <c r="C686">
        <f t="shared" si="20"/>
        <v>0.3371362625093367</v>
      </c>
      <c r="D686" t="b">
        <f t="shared" si="21"/>
        <v>0</v>
      </c>
    </row>
    <row r="687" spans="1:4" x14ac:dyDescent="0.25">
      <c r="A687" t="s">
        <v>91</v>
      </c>
      <c r="B687">
        <v>116000</v>
      </c>
      <c r="C687">
        <f t="shared" si="20"/>
        <v>0.8441024932182275</v>
      </c>
      <c r="D687" t="b">
        <f t="shared" si="21"/>
        <v>0</v>
      </c>
    </row>
    <row r="688" spans="1:4" x14ac:dyDescent="0.25">
      <c r="A688" t="s">
        <v>91</v>
      </c>
      <c r="B688">
        <v>224900</v>
      </c>
      <c r="C688">
        <f t="shared" si="20"/>
        <v>0.47352572931633602</v>
      </c>
      <c r="D688" t="b">
        <f t="shared" si="21"/>
        <v>0</v>
      </c>
    </row>
    <row r="689" spans="1:4" x14ac:dyDescent="0.25">
      <c r="A689" t="s">
        <v>91</v>
      </c>
      <c r="B689">
        <v>137000</v>
      </c>
      <c r="C689">
        <f t="shared" si="20"/>
        <v>0.59001440622809131</v>
      </c>
      <c r="D689" t="b">
        <f t="shared" si="21"/>
        <v>0</v>
      </c>
    </row>
    <row r="690" spans="1:4" x14ac:dyDescent="0.25">
      <c r="A690" t="s">
        <v>91</v>
      </c>
      <c r="B690">
        <v>271000</v>
      </c>
      <c r="C690">
        <f t="shared" si="20"/>
        <v>1.0313095774232541</v>
      </c>
      <c r="D690" t="b">
        <f t="shared" si="21"/>
        <v>0</v>
      </c>
    </row>
    <row r="691" spans="1:4" x14ac:dyDescent="0.25">
      <c r="A691" t="s">
        <v>91</v>
      </c>
      <c r="B691">
        <v>155000</v>
      </c>
      <c r="C691">
        <f t="shared" si="20"/>
        <v>0.3722246173794031</v>
      </c>
      <c r="D691" t="b">
        <f t="shared" si="21"/>
        <v>0</v>
      </c>
    </row>
    <row r="692" spans="1:4" x14ac:dyDescent="0.25">
      <c r="A692" t="s">
        <v>91</v>
      </c>
      <c r="B692">
        <v>183000</v>
      </c>
      <c r="C692">
        <f t="shared" si="20"/>
        <v>3.3440501392554819E-2</v>
      </c>
      <c r="D692" t="b">
        <f t="shared" si="21"/>
        <v>0</v>
      </c>
    </row>
    <row r="693" spans="1:4" x14ac:dyDescent="0.25">
      <c r="A693" t="s">
        <v>91</v>
      </c>
      <c r="B693">
        <v>225000</v>
      </c>
      <c r="C693">
        <f t="shared" si="20"/>
        <v>0.47473567258771765</v>
      </c>
      <c r="D693" t="b">
        <f t="shared" si="21"/>
        <v>0</v>
      </c>
    </row>
    <row r="694" spans="1:4" x14ac:dyDescent="0.25">
      <c r="A694" t="s">
        <v>91</v>
      </c>
      <c r="B694">
        <v>139500</v>
      </c>
      <c r="C694">
        <f t="shared" si="20"/>
        <v>0.55976582444355127</v>
      </c>
      <c r="D694" t="b">
        <f t="shared" si="21"/>
        <v>0</v>
      </c>
    </row>
    <row r="695" spans="1:4" x14ac:dyDescent="0.25">
      <c r="A695" t="s">
        <v>91</v>
      </c>
      <c r="B695">
        <v>232600</v>
      </c>
      <c r="C695">
        <f t="shared" si="20"/>
        <v>0.56669136121271935</v>
      </c>
      <c r="D695" t="b">
        <f t="shared" si="21"/>
        <v>0</v>
      </c>
    </row>
    <row r="696" spans="1:4" x14ac:dyDescent="0.25">
      <c r="A696" t="s">
        <v>91</v>
      </c>
      <c r="B696">
        <v>385000</v>
      </c>
      <c r="C696">
        <f t="shared" si="20"/>
        <v>2.4106449067982796</v>
      </c>
      <c r="D696" t="b">
        <f t="shared" si="21"/>
        <v>0</v>
      </c>
    </row>
    <row r="697" spans="1:4" x14ac:dyDescent="0.25">
      <c r="A697" t="s">
        <v>91</v>
      </c>
      <c r="B697">
        <v>109500</v>
      </c>
      <c r="C697">
        <f t="shared" si="20"/>
        <v>0.92274880585803165</v>
      </c>
      <c r="D697" t="b">
        <f t="shared" si="21"/>
        <v>0</v>
      </c>
    </row>
    <row r="698" spans="1:4" x14ac:dyDescent="0.25">
      <c r="A698" t="s">
        <v>91</v>
      </c>
      <c r="B698">
        <v>189000</v>
      </c>
      <c r="C698">
        <f t="shared" si="20"/>
        <v>3.9156094890341248E-2</v>
      </c>
      <c r="D698" t="b">
        <f t="shared" si="21"/>
        <v>0</v>
      </c>
    </row>
    <row r="699" spans="1:4" x14ac:dyDescent="0.25">
      <c r="A699" t="s">
        <v>91</v>
      </c>
      <c r="B699">
        <v>185000</v>
      </c>
      <c r="C699">
        <f t="shared" si="20"/>
        <v>9.241635964922796E-3</v>
      </c>
      <c r="D699" t="b">
        <f t="shared" si="21"/>
        <v>0</v>
      </c>
    </row>
    <row r="700" spans="1:4" x14ac:dyDescent="0.25">
      <c r="A700" t="s">
        <v>91</v>
      </c>
      <c r="B700">
        <v>166000</v>
      </c>
      <c r="C700">
        <f t="shared" si="20"/>
        <v>0.23913085752742699</v>
      </c>
      <c r="D700" t="b">
        <f t="shared" si="21"/>
        <v>0</v>
      </c>
    </row>
    <row r="701" spans="1:4" x14ac:dyDescent="0.25">
      <c r="A701" t="s">
        <v>91</v>
      </c>
      <c r="B701">
        <v>237000</v>
      </c>
      <c r="C701">
        <f t="shared" si="20"/>
        <v>0.61992886515350976</v>
      </c>
      <c r="D701" t="b">
        <f t="shared" si="21"/>
        <v>0</v>
      </c>
    </row>
    <row r="702" spans="1:4" x14ac:dyDescent="0.25">
      <c r="A702" t="s">
        <v>91</v>
      </c>
      <c r="B702">
        <v>167000</v>
      </c>
      <c r="C702">
        <f t="shared" si="20"/>
        <v>0.22703142481361099</v>
      </c>
      <c r="D702" t="b">
        <f t="shared" si="21"/>
        <v>0</v>
      </c>
    </row>
    <row r="703" spans="1:4" x14ac:dyDescent="0.25">
      <c r="A703" t="s">
        <v>91</v>
      </c>
      <c r="B703">
        <v>139950</v>
      </c>
      <c r="C703">
        <f t="shared" si="20"/>
        <v>0.55432107972233413</v>
      </c>
      <c r="D703" t="b">
        <f t="shared" si="21"/>
        <v>0</v>
      </c>
    </row>
    <row r="704" spans="1:4" x14ac:dyDescent="0.25">
      <c r="A704" t="s">
        <v>91</v>
      </c>
      <c r="B704">
        <v>128000</v>
      </c>
      <c r="C704">
        <f t="shared" si="20"/>
        <v>0.69890930065243539</v>
      </c>
      <c r="D704" t="b">
        <f t="shared" si="21"/>
        <v>0</v>
      </c>
    </row>
    <row r="705" spans="1:4" x14ac:dyDescent="0.25">
      <c r="A705" t="s">
        <v>91</v>
      </c>
      <c r="B705">
        <v>153500</v>
      </c>
      <c r="C705">
        <f t="shared" si="20"/>
        <v>0.39037376645012717</v>
      </c>
      <c r="D705" t="b">
        <f t="shared" si="21"/>
        <v>0</v>
      </c>
    </row>
    <row r="706" spans="1:4" x14ac:dyDescent="0.25">
      <c r="A706" t="s">
        <v>91</v>
      </c>
      <c r="B706">
        <v>144000</v>
      </c>
      <c r="C706">
        <f t="shared" si="20"/>
        <v>0.50531837723137929</v>
      </c>
      <c r="D706" t="b">
        <f t="shared" si="21"/>
        <v>0</v>
      </c>
    </row>
    <row r="707" spans="1:4" x14ac:dyDescent="0.25">
      <c r="A707" t="s">
        <v>91</v>
      </c>
      <c r="B707">
        <v>130500</v>
      </c>
      <c r="C707">
        <f t="shared" ref="C707:C770" si="22">ABS((B707-$G$4)/$G$8)</f>
        <v>0.66866071886789535</v>
      </c>
      <c r="D707" t="b">
        <f t="shared" ref="D707:D770" si="23">IF(C707&gt;3,TRUE,FALSE)</f>
        <v>0</v>
      </c>
    </row>
    <row r="708" spans="1:4" x14ac:dyDescent="0.25">
      <c r="A708" t="s">
        <v>91</v>
      </c>
      <c r="B708">
        <v>140000</v>
      </c>
      <c r="C708">
        <f t="shared" si="22"/>
        <v>0.55371610808664329</v>
      </c>
      <c r="D708" t="b">
        <f t="shared" si="23"/>
        <v>0</v>
      </c>
    </row>
    <row r="709" spans="1:4" x14ac:dyDescent="0.25">
      <c r="A709" t="s">
        <v>91</v>
      </c>
      <c r="B709">
        <v>157500</v>
      </c>
      <c r="C709">
        <f t="shared" si="22"/>
        <v>0.34197603559486311</v>
      </c>
      <c r="D709" t="b">
        <f t="shared" si="23"/>
        <v>0</v>
      </c>
    </row>
    <row r="710" spans="1:4" x14ac:dyDescent="0.25">
      <c r="A710" t="s">
        <v>91</v>
      </c>
      <c r="B710">
        <v>174900</v>
      </c>
      <c r="C710">
        <f t="shared" si="22"/>
        <v>0.13144590637446452</v>
      </c>
      <c r="D710" t="b">
        <f t="shared" si="23"/>
        <v>0</v>
      </c>
    </row>
    <row r="711" spans="1:4" x14ac:dyDescent="0.25">
      <c r="A711" t="s">
        <v>91</v>
      </c>
      <c r="B711">
        <v>153900</v>
      </c>
      <c r="C711">
        <f t="shared" si="22"/>
        <v>0.38553399336460076</v>
      </c>
      <c r="D711" t="b">
        <f t="shared" si="23"/>
        <v>0</v>
      </c>
    </row>
    <row r="712" spans="1:4" x14ac:dyDescent="0.25">
      <c r="A712" t="s">
        <v>91</v>
      </c>
      <c r="B712">
        <v>171000</v>
      </c>
      <c r="C712">
        <f t="shared" si="22"/>
        <v>0.17863369395834694</v>
      </c>
      <c r="D712" t="b">
        <f t="shared" si="23"/>
        <v>0</v>
      </c>
    </row>
    <row r="713" spans="1:4" x14ac:dyDescent="0.25">
      <c r="A713" t="s">
        <v>91</v>
      </c>
      <c r="B713">
        <v>213000</v>
      </c>
      <c r="C713">
        <f t="shared" si="22"/>
        <v>0.32954248002192549</v>
      </c>
      <c r="D713" t="b">
        <f t="shared" si="23"/>
        <v>0</v>
      </c>
    </row>
    <row r="714" spans="1:4" x14ac:dyDescent="0.25">
      <c r="A714" t="s">
        <v>91</v>
      </c>
      <c r="B714">
        <v>133500</v>
      </c>
      <c r="C714">
        <f t="shared" si="22"/>
        <v>0.63236242072644733</v>
      </c>
      <c r="D714" t="b">
        <f t="shared" si="23"/>
        <v>0</v>
      </c>
    </row>
    <row r="715" spans="1:4" x14ac:dyDescent="0.25">
      <c r="A715" t="s">
        <v>91</v>
      </c>
      <c r="B715">
        <v>240000</v>
      </c>
      <c r="C715">
        <f t="shared" si="22"/>
        <v>0.65622716329495778</v>
      </c>
      <c r="D715" t="b">
        <f t="shared" si="23"/>
        <v>0</v>
      </c>
    </row>
    <row r="716" spans="1:4" x14ac:dyDescent="0.25">
      <c r="A716" t="s">
        <v>91</v>
      </c>
      <c r="B716">
        <v>187000</v>
      </c>
      <c r="C716">
        <f t="shared" si="22"/>
        <v>1.4957229462709226E-2</v>
      </c>
      <c r="D716" t="b">
        <f t="shared" si="23"/>
        <v>0</v>
      </c>
    </row>
    <row r="717" spans="1:4" x14ac:dyDescent="0.25">
      <c r="A717" t="s">
        <v>91</v>
      </c>
      <c r="B717">
        <v>164000</v>
      </c>
      <c r="C717">
        <f t="shared" si="22"/>
        <v>0.26332972295505902</v>
      </c>
      <c r="D717" t="b">
        <f t="shared" si="23"/>
        <v>0</v>
      </c>
    </row>
    <row r="718" spans="1:4" x14ac:dyDescent="0.25">
      <c r="A718" t="s">
        <v>91</v>
      </c>
      <c r="B718">
        <v>158000</v>
      </c>
      <c r="C718">
        <f t="shared" si="22"/>
        <v>0.33592631923795507</v>
      </c>
      <c r="D718" t="b">
        <f t="shared" si="23"/>
        <v>0</v>
      </c>
    </row>
    <row r="719" spans="1:4" x14ac:dyDescent="0.25">
      <c r="A719" t="s">
        <v>91</v>
      </c>
      <c r="B719">
        <v>170000</v>
      </c>
      <c r="C719">
        <f t="shared" si="22"/>
        <v>0.19073312667216297</v>
      </c>
      <c r="D719" t="b">
        <f t="shared" si="23"/>
        <v>0</v>
      </c>
    </row>
    <row r="720" spans="1:4" x14ac:dyDescent="0.25">
      <c r="A720" t="s">
        <v>91</v>
      </c>
      <c r="B720">
        <v>127000</v>
      </c>
      <c r="C720">
        <f t="shared" si="22"/>
        <v>0.71100873336625148</v>
      </c>
      <c r="D720" t="b">
        <f t="shared" si="23"/>
        <v>0</v>
      </c>
    </row>
    <row r="721" spans="1:4" x14ac:dyDescent="0.25">
      <c r="A721" t="s">
        <v>91</v>
      </c>
      <c r="B721">
        <v>147000</v>
      </c>
      <c r="C721">
        <f t="shared" si="22"/>
        <v>0.46902007908993121</v>
      </c>
      <c r="D721" t="b">
        <f t="shared" si="23"/>
        <v>0</v>
      </c>
    </row>
    <row r="722" spans="1:4" x14ac:dyDescent="0.25">
      <c r="A722" t="s">
        <v>91</v>
      </c>
      <c r="B722">
        <v>174000</v>
      </c>
      <c r="C722">
        <f t="shared" si="22"/>
        <v>0.14233539581689891</v>
      </c>
      <c r="D722" t="b">
        <f t="shared" si="23"/>
        <v>0</v>
      </c>
    </row>
    <row r="723" spans="1:4" x14ac:dyDescent="0.25">
      <c r="A723" t="s">
        <v>91</v>
      </c>
      <c r="B723">
        <v>152000</v>
      </c>
      <c r="C723">
        <f t="shared" si="22"/>
        <v>0.40852291552085118</v>
      </c>
      <c r="D723" t="b">
        <f t="shared" si="23"/>
        <v>0</v>
      </c>
    </row>
    <row r="724" spans="1:4" x14ac:dyDescent="0.25">
      <c r="A724" t="s">
        <v>91</v>
      </c>
      <c r="B724">
        <v>250000</v>
      </c>
      <c r="C724">
        <f t="shared" si="22"/>
        <v>0.77722149043311795</v>
      </c>
      <c r="D724" t="b">
        <f t="shared" si="23"/>
        <v>0</v>
      </c>
    </row>
    <row r="725" spans="1:4" x14ac:dyDescent="0.25">
      <c r="A725" t="s">
        <v>91</v>
      </c>
      <c r="B725">
        <v>189950</v>
      </c>
      <c r="C725">
        <f t="shared" si="22"/>
        <v>5.065055596846646E-2</v>
      </c>
      <c r="D725" t="b">
        <f t="shared" si="23"/>
        <v>0</v>
      </c>
    </row>
    <row r="726" spans="1:4" x14ac:dyDescent="0.25">
      <c r="A726" t="s">
        <v>91</v>
      </c>
      <c r="B726">
        <v>152000</v>
      </c>
      <c r="C726">
        <f t="shared" si="22"/>
        <v>0.40852291552085118</v>
      </c>
      <c r="D726" t="b">
        <f t="shared" si="23"/>
        <v>0</v>
      </c>
    </row>
    <row r="727" spans="1:4" x14ac:dyDescent="0.25">
      <c r="A727" t="s">
        <v>91</v>
      </c>
      <c r="B727">
        <v>132500</v>
      </c>
      <c r="C727">
        <f t="shared" si="22"/>
        <v>0.64446185344026341</v>
      </c>
      <c r="D727" t="b">
        <f t="shared" si="23"/>
        <v>0</v>
      </c>
    </row>
    <row r="728" spans="1:4" x14ac:dyDescent="0.25">
      <c r="A728" t="s">
        <v>91</v>
      </c>
      <c r="B728">
        <v>250580</v>
      </c>
      <c r="C728">
        <f t="shared" si="22"/>
        <v>0.78423916140713124</v>
      </c>
      <c r="D728" t="b">
        <f t="shared" si="23"/>
        <v>0</v>
      </c>
    </row>
    <row r="729" spans="1:4" x14ac:dyDescent="0.25">
      <c r="A729" t="s">
        <v>91</v>
      </c>
      <c r="B729">
        <v>148500</v>
      </c>
      <c r="C729">
        <f t="shared" si="22"/>
        <v>0.45087093001920719</v>
      </c>
      <c r="D729" t="b">
        <f t="shared" si="23"/>
        <v>0</v>
      </c>
    </row>
    <row r="730" spans="1:4" x14ac:dyDescent="0.25">
      <c r="A730" t="s">
        <v>91</v>
      </c>
      <c r="B730">
        <v>248900</v>
      </c>
      <c r="C730">
        <f t="shared" si="22"/>
        <v>0.76391211444792029</v>
      </c>
      <c r="D730" t="b">
        <f t="shared" si="23"/>
        <v>0</v>
      </c>
    </row>
    <row r="731" spans="1:4" x14ac:dyDescent="0.25">
      <c r="A731" t="s">
        <v>91</v>
      </c>
      <c r="B731">
        <v>129000</v>
      </c>
      <c r="C731">
        <f t="shared" si="22"/>
        <v>0.68680986793861942</v>
      </c>
      <c r="D731" t="b">
        <f t="shared" si="23"/>
        <v>0</v>
      </c>
    </row>
    <row r="732" spans="1:4" x14ac:dyDescent="0.25">
      <c r="A732" t="s">
        <v>91</v>
      </c>
      <c r="B732">
        <v>169000</v>
      </c>
      <c r="C732">
        <f t="shared" si="22"/>
        <v>0.20283255938597897</v>
      </c>
      <c r="D732" t="b">
        <f t="shared" si="23"/>
        <v>0</v>
      </c>
    </row>
    <row r="733" spans="1:4" x14ac:dyDescent="0.25">
      <c r="A733" t="s">
        <v>91</v>
      </c>
      <c r="B733">
        <v>236000</v>
      </c>
      <c r="C733">
        <f t="shared" si="22"/>
        <v>0.60782943243969378</v>
      </c>
      <c r="D733" t="b">
        <f t="shared" si="23"/>
        <v>0</v>
      </c>
    </row>
    <row r="734" spans="1:4" x14ac:dyDescent="0.25">
      <c r="A734" t="s">
        <v>91</v>
      </c>
      <c r="B734">
        <v>109500</v>
      </c>
      <c r="C734">
        <f t="shared" si="22"/>
        <v>0.92274880585803165</v>
      </c>
      <c r="D734" t="b">
        <f t="shared" si="23"/>
        <v>0</v>
      </c>
    </row>
    <row r="735" spans="1:4" x14ac:dyDescent="0.25">
      <c r="A735" t="s">
        <v>91</v>
      </c>
      <c r="B735">
        <v>200500</v>
      </c>
      <c r="C735">
        <f t="shared" si="22"/>
        <v>0.17829957109922537</v>
      </c>
      <c r="D735" t="b">
        <f t="shared" si="23"/>
        <v>0</v>
      </c>
    </row>
    <row r="736" spans="1:4" x14ac:dyDescent="0.25">
      <c r="A736" t="s">
        <v>91</v>
      </c>
      <c r="B736">
        <v>116000</v>
      </c>
      <c r="C736">
        <f t="shared" si="22"/>
        <v>0.8441024932182275</v>
      </c>
      <c r="D736" t="b">
        <f t="shared" si="23"/>
        <v>0</v>
      </c>
    </row>
    <row r="737" spans="1:4" x14ac:dyDescent="0.25">
      <c r="A737" t="s">
        <v>91</v>
      </c>
      <c r="B737">
        <v>133000</v>
      </c>
      <c r="C737">
        <f t="shared" si="22"/>
        <v>0.63841213708335531</v>
      </c>
      <c r="D737" t="b">
        <f t="shared" si="23"/>
        <v>0</v>
      </c>
    </row>
    <row r="738" spans="1:4" x14ac:dyDescent="0.25">
      <c r="A738" t="s">
        <v>91</v>
      </c>
      <c r="B738">
        <v>66500</v>
      </c>
      <c r="C738">
        <f t="shared" si="22"/>
        <v>1.4430244125521201</v>
      </c>
      <c r="D738" t="b">
        <f t="shared" si="23"/>
        <v>0</v>
      </c>
    </row>
    <row r="739" spans="1:4" x14ac:dyDescent="0.25">
      <c r="A739" t="s">
        <v>91</v>
      </c>
      <c r="B739">
        <v>303477</v>
      </c>
      <c r="C739">
        <f t="shared" si="22"/>
        <v>1.4242628536698567</v>
      </c>
      <c r="D739" t="b">
        <f t="shared" si="23"/>
        <v>0</v>
      </c>
    </row>
    <row r="740" spans="1:4" x14ac:dyDescent="0.25">
      <c r="A740" t="s">
        <v>91</v>
      </c>
      <c r="B740">
        <v>132250</v>
      </c>
      <c r="C740">
        <f t="shared" si="22"/>
        <v>0.6474867116187174</v>
      </c>
      <c r="D740" t="b">
        <f t="shared" si="23"/>
        <v>0</v>
      </c>
    </row>
    <row r="741" spans="1:4" x14ac:dyDescent="0.25">
      <c r="A741" t="s">
        <v>91</v>
      </c>
      <c r="B741">
        <v>350000</v>
      </c>
      <c r="C741">
        <f t="shared" si="22"/>
        <v>1.987164761814719</v>
      </c>
      <c r="D741" t="b">
        <f t="shared" si="23"/>
        <v>0</v>
      </c>
    </row>
    <row r="742" spans="1:4" x14ac:dyDescent="0.25">
      <c r="A742" t="s">
        <v>91</v>
      </c>
      <c r="B742">
        <v>148000</v>
      </c>
      <c r="C742">
        <f t="shared" si="22"/>
        <v>0.45692064637611518</v>
      </c>
      <c r="D742" t="b">
        <f t="shared" si="23"/>
        <v>0</v>
      </c>
    </row>
    <row r="743" spans="1:4" x14ac:dyDescent="0.25">
      <c r="A743" t="s">
        <v>91</v>
      </c>
      <c r="B743">
        <v>136500</v>
      </c>
      <c r="C743">
        <f t="shared" si="22"/>
        <v>0.5960641225849993</v>
      </c>
      <c r="D743" t="b">
        <f t="shared" si="23"/>
        <v>0</v>
      </c>
    </row>
    <row r="744" spans="1:4" x14ac:dyDescent="0.25">
      <c r="A744" t="s">
        <v>91</v>
      </c>
      <c r="B744">
        <v>157000</v>
      </c>
      <c r="C744">
        <f t="shared" si="22"/>
        <v>0.3480257519517711</v>
      </c>
      <c r="D744" t="b">
        <f t="shared" si="23"/>
        <v>0</v>
      </c>
    </row>
    <row r="745" spans="1:4" x14ac:dyDescent="0.25">
      <c r="A745" t="s">
        <v>91</v>
      </c>
      <c r="B745">
        <v>187500</v>
      </c>
      <c r="C745">
        <f t="shared" si="22"/>
        <v>2.1006945819617231E-2</v>
      </c>
      <c r="D745" t="b">
        <f t="shared" si="23"/>
        <v>0</v>
      </c>
    </row>
    <row r="746" spans="1:4" x14ac:dyDescent="0.25">
      <c r="A746" t="s">
        <v>91</v>
      </c>
      <c r="B746">
        <v>178000</v>
      </c>
      <c r="C746">
        <f t="shared" si="22"/>
        <v>9.3937664961634873E-2</v>
      </c>
      <c r="D746" t="b">
        <f t="shared" si="23"/>
        <v>0</v>
      </c>
    </row>
    <row r="747" spans="1:4" x14ac:dyDescent="0.25">
      <c r="A747" t="s">
        <v>91</v>
      </c>
      <c r="B747">
        <v>118500</v>
      </c>
      <c r="C747">
        <f t="shared" si="22"/>
        <v>0.81385391143368757</v>
      </c>
      <c r="D747" t="b">
        <f t="shared" si="23"/>
        <v>0</v>
      </c>
    </row>
    <row r="748" spans="1:4" x14ac:dyDescent="0.25">
      <c r="A748" t="s">
        <v>91</v>
      </c>
      <c r="B748">
        <v>100000</v>
      </c>
      <c r="C748">
        <f t="shared" si="22"/>
        <v>1.0376934166392837</v>
      </c>
      <c r="D748" t="b">
        <f t="shared" si="23"/>
        <v>0</v>
      </c>
    </row>
    <row r="749" spans="1:4" x14ac:dyDescent="0.25">
      <c r="A749" t="s">
        <v>91</v>
      </c>
      <c r="B749">
        <v>135500</v>
      </c>
      <c r="C749">
        <f t="shared" si="22"/>
        <v>0.60816355529881538</v>
      </c>
      <c r="D749" t="b">
        <f t="shared" si="23"/>
        <v>0</v>
      </c>
    </row>
    <row r="750" spans="1:4" x14ac:dyDescent="0.25">
      <c r="A750" t="s">
        <v>91</v>
      </c>
      <c r="B750">
        <v>268000</v>
      </c>
      <c r="C750">
        <f t="shared" si="22"/>
        <v>0.9950112792818061</v>
      </c>
      <c r="D750" t="b">
        <f t="shared" si="23"/>
        <v>0</v>
      </c>
    </row>
    <row r="751" spans="1:4" x14ac:dyDescent="0.25">
      <c r="A751" t="s">
        <v>91</v>
      </c>
      <c r="B751">
        <v>149500</v>
      </c>
      <c r="C751">
        <f t="shared" si="22"/>
        <v>0.43877149730539117</v>
      </c>
      <c r="D751" t="b">
        <f t="shared" si="23"/>
        <v>0</v>
      </c>
    </row>
    <row r="752" spans="1:4" x14ac:dyDescent="0.25">
      <c r="A752" t="s">
        <v>91</v>
      </c>
      <c r="B752">
        <v>122900</v>
      </c>
      <c r="C752">
        <f t="shared" si="22"/>
        <v>0.76061640749289705</v>
      </c>
      <c r="D752" t="b">
        <f t="shared" si="23"/>
        <v>0</v>
      </c>
    </row>
    <row r="753" spans="1:4" x14ac:dyDescent="0.25">
      <c r="A753" t="s">
        <v>91</v>
      </c>
      <c r="B753">
        <v>172500</v>
      </c>
      <c r="C753">
        <f t="shared" si="22"/>
        <v>0.16048454488762293</v>
      </c>
      <c r="D753" t="b">
        <f t="shared" si="23"/>
        <v>0</v>
      </c>
    </row>
    <row r="754" spans="1:4" x14ac:dyDescent="0.25">
      <c r="A754" t="s">
        <v>91</v>
      </c>
      <c r="B754">
        <v>154500</v>
      </c>
      <c r="C754">
        <f t="shared" si="22"/>
        <v>0.37827433373631114</v>
      </c>
      <c r="D754" t="b">
        <f t="shared" si="23"/>
        <v>0</v>
      </c>
    </row>
    <row r="755" spans="1:4" x14ac:dyDescent="0.25">
      <c r="A755" t="s">
        <v>91</v>
      </c>
      <c r="B755">
        <v>165000</v>
      </c>
      <c r="C755">
        <f t="shared" si="22"/>
        <v>0.25123029024124299</v>
      </c>
      <c r="D755" t="b">
        <f t="shared" si="23"/>
        <v>0</v>
      </c>
    </row>
    <row r="756" spans="1:4" x14ac:dyDescent="0.25">
      <c r="A756" t="s">
        <v>91</v>
      </c>
      <c r="B756">
        <v>140000</v>
      </c>
      <c r="C756">
        <f t="shared" si="22"/>
        <v>0.55371610808664329</v>
      </c>
      <c r="D756" t="b">
        <f t="shared" si="23"/>
        <v>0</v>
      </c>
    </row>
    <row r="757" spans="1:4" x14ac:dyDescent="0.25">
      <c r="A757" t="s">
        <v>91</v>
      </c>
      <c r="B757">
        <v>106500</v>
      </c>
      <c r="C757">
        <f t="shared" si="22"/>
        <v>0.95904710399947968</v>
      </c>
      <c r="D757" t="b">
        <f t="shared" si="23"/>
        <v>0</v>
      </c>
    </row>
    <row r="758" spans="1:4" x14ac:dyDescent="0.25">
      <c r="A758" t="s">
        <v>91</v>
      </c>
      <c r="B758">
        <v>611657</v>
      </c>
      <c r="C758">
        <f t="shared" si="22"/>
        <v>5.1530660274136748</v>
      </c>
      <c r="D758" t="b">
        <f t="shared" si="23"/>
        <v>1</v>
      </c>
    </row>
    <row r="759" spans="1:4" x14ac:dyDescent="0.25">
      <c r="A759" t="s">
        <v>91</v>
      </c>
      <c r="B759">
        <v>135000</v>
      </c>
      <c r="C759">
        <f t="shared" si="22"/>
        <v>0.61421327165572337</v>
      </c>
      <c r="D759" t="b">
        <f t="shared" si="23"/>
        <v>0</v>
      </c>
    </row>
    <row r="760" spans="1:4" x14ac:dyDescent="0.25">
      <c r="A760" t="s">
        <v>91</v>
      </c>
      <c r="B760">
        <v>110000</v>
      </c>
      <c r="C760">
        <f t="shared" si="22"/>
        <v>0.91669908950112367</v>
      </c>
      <c r="D760" t="b">
        <f t="shared" si="23"/>
        <v>0</v>
      </c>
    </row>
    <row r="761" spans="1:4" x14ac:dyDescent="0.25">
      <c r="A761" t="s">
        <v>91</v>
      </c>
      <c r="B761">
        <v>153000</v>
      </c>
      <c r="C761">
        <f t="shared" si="22"/>
        <v>0.39642348280703515</v>
      </c>
      <c r="D761" t="b">
        <f t="shared" si="23"/>
        <v>0</v>
      </c>
    </row>
    <row r="762" spans="1:4" x14ac:dyDescent="0.25">
      <c r="A762" t="s">
        <v>91</v>
      </c>
      <c r="B762">
        <v>180000</v>
      </c>
      <c r="C762">
        <f t="shared" si="22"/>
        <v>6.9738799534002846E-2</v>
      </c>
      <c r="D762" t="b">
        <f t="shared" si="23"/>
        <v>0</v>
      </c>
    </row>
    <row r="763" spans="1:4" x14ac:dyDescent="0.25">
      <c r="A763" t="s">
        <v>91</v>
      </c>
      <c r="B763">
        <v>240000</v>
      </c>
      <c r="C763">
        <f t="shared" si="22"/>
        <v>0.65622716329495778</v>
      </c>
      <c r="D763" t="b">
        <f t="shared" si="23"/>
        <v>0</v>
      </c>
    </row>
    <row r="764" spans="1:4" x14ac:dyDescent="0.25">
      <c r="A764" t="s">
        <v>91</v>
      </c>
      <c r="B764">
        <v>125500</v>
      </c>
      <c r="C764">
        <f t="shared" si="22"/>
        <v>0.72915788243697544</v>
      </c>
      <c r="D764" t="b">
        <f t="shared" si="23"/>
        <v>0</v>
      </c>
    </row>
    <row r="765" spans="1:4" x14ac:dyDescent="0.25">
      <c r="A765" t="s">
        <v>91</v>
      </c>
      <c r="B765">
        <v>128000</v>
      </c>
      <c r="C765">
        <f t="shared" si="22"/>
        <v>0.69890930065243539</v>
      </c>
      <c r="D765" t="b">
        <f t="shared" si="23"/>
        <v>0</v>
      </c>
    </row>
    <row r="766" spans="1:4" x14ac:dyDescent="0.25">
      <c r="A766" t="s">
        <v>91</v>
      </c>
      <c r="B766">
        <v>255000</v>
      </c>
      <c r="C766">
        <f t="shared" si="22"/>
        <v>0.83771865400219803</v>
      </c>
      <c r="D766" t="b">
        <f t="shared" si="23"/>
        <v>0</v>
      </c>
    </row>
    <row r="767" spans="1:4" x14ac:dyDescent="0.25">
      <c r="A767" t="s">
        <v>91</v>
      </c>
      <c r="B767">
        <v>250000</v>
      </c>
      <c r="C767">
        <f t="shared" si="22"/>
        <v>0.77722149043311795</v>
      </c>
      <c r="D767" t="b">
        <f t="shared" si="23"/>
        <v>0</v>
      </c>
    </row>
    <row r="768" spans="1:4" x14ac:dyDescent="0.25">
      <c r="A768" t="s">
        <v>91</v>
      </c>
      <c r="B768">
        <v>131000</v>
      </c>
      <c r="C768">
        <f t="shared" si="22"/>
        <v>0.66261100251098737</v>
      </c>
      <c r="D768" t="b">
        <f t="shared" si="23"/>
        <v>0</v>
      </c>
    </row>
    <row r="769" spans="1:4" x14ac:dyDescent="0.25">
      <c r="A769" t="s">
        <v>91</v>
      </c>
      <c r="B769">
        <v>174000</v>
      </c>
      <c r="C769">
        <f t="shared" si="22"/>
        <v>0.14233539581689891</v>
      </c>
      <c r="D769" t="b">
        <f t="shared" si="23"/>
        <v>0</v>
      </c>
    </row>
    <row r="770" spans="1:4" x14ac:dyDescent="0.25">
      <c r="A770" t="s">
        <v>91</v>
      </c>
      <c r="B770">
        <v>143500</v>
      </c>
      <c r="C770">
        <f t="shared" si="22"/>
        <v>0.51136809358828728</v>
      </c>
      <c r="D770" t="b">
        <f t="shared" si="23"/>
        <v>0</v>
      </c>
    </row>
    <row r="771" spans="1:4" x14ac:dyDescent="0.25">
      <c r="A771" t="s">
        <v>91</v>
      </c>
      <c r="B771">
        <v>88000</v>
      </c>
      <c r="C771">
        <f t="shared" ref="C771:C834" si="24">ABS((B771-$G$4)/$G$8)</f>
        <v>1.1828866092050758</v>
      </c>
      <c r="D771" t="b">
        <f t="shared" ref="D771:D834" si="25">IF(C771&gt;3,TRUE,FALSE)</f>
        <v>0</v>
      </c>
    </row>
    <row r="772" spans="1:4" x14ac:dyDescent="0.25">
      <c r="A772" t="s">
        <v>91</v>
      </c>
      <c r="B772">
        <v>35311</v>
      </c>
      <c r="C772">
        <f t="shared" si="24"/>
        <v>1.8203936194633277</v>
      </c>
      <c r="D772" t="b">
        <f t="shared" si="25"/>
        <v>0</v>
      </c>
    </row>
    <row r="773" spans="1:4" x14ac:dyDescent="0.25">
      <c r="A773" t="s">
        <v>91</v>
      </c>
      <c r="B773">
        <v>135000</v>
      </c>
      <c r="C773">
        <f t="shared" si="24"/>
        <v>0.61421327165572337</v>
      </c>
      <c r="D773" t="b">
        <f t="shared" si="25"/>
        <v>0</v>
      </c>
    </row>
    <row r="774" spans="1:4" x14ac:dyDescent="0.25">
      <c r="A774" t="s">
        <v>91</v>
      </c>
      <c r="B774">
        <v>238000</v>
      </c>
      <c r="C774">
        <f t="shared" si="24"/>
        <v>0.63202829786732584</v>
      </c>
      <c r="D774" t="b">
        <f t="shared" si="25"/>
        <v>0</v>
      </c>
    </row>
    <row r="775" spans="1:4" x14ac:dyDescent="0.25">
      <c r="A775" t="s">
        <v>91</v>
      </c>
      <c r="B775">
        <v>176500</v>
      </c>
      <c r="C775">
        <f t="shared" si="24"/>
        <v>0.11208681403235889</v>
      </c>
      <c r="D775" t="b">
        <f t="shared" si="25"/>
        <v>0</v>
      </c>
    </row>
    <row r="776" spans="1:4" x14ac:dyDescent="0.25">
      <c r="A776" t="s">
        <v>91</v>
      </c>
      <c r="B776">
        <v>201000</v>
      </c>
      <c r="C776">
        <f t="shared" si="24"/>
        <v>0.18434928745613338</v>
      </c>
      <c r="D776" t="b">
        <f t="shared" si="25"/>
        <v>0</v>
      </c>
    </row>
    <row r="777" spans="1:4" x14ac:dyDescent="0.25">
      <c r="A777" t="s">
        <v>91</v>
      </c>
      <c r="B777">
        <v>169990</v>
      </c>
      <c r="C777">
        <f t="shared" si="24"/>
        <v>0.19085412099930113</v>
      </c>
      <c r="D777" t="b">
        <f t="shared" si="25"/>
        <v>0</v>
      </c>
    </row>
    <row r="778" spans="1:4" x14ac:dyDescent="0.25">
      <c r="A778" t="s">
        <v>91</v>
      </c>
      <c r="B778">
        <v>207500</v>
      </c>
      <c r="C778">
        <f t="shared" si="24"/>
        <v>0.26299560009593748</v>
      </c>
      <c r="D778" t="b">
        <f t="shared" si="25"/>
        <v>0</v>
      </c>
    </row>
    <row r="779" spans="1:4" x14ac:dyDescent="0.25">
      <c r="A779" t="s">
        <v>91</v>
      </c>
      <c r="B779">
        <v>175000</v>
      </c>
      <c r="C779">
        <f t="shared" si="24"/>
        <v>0.13023596310308291</v>
      </c>
      <c r="D779" t="b">
        <f t="shared" si="25"/>
        <v>0</v>
      </c>
    </row>
    <row r="780" spans="1:4" x14ac:dyDescent="0.25">
      <c r="A780" t="s">
        <v>91</v>
      </c>
      <c r="B780">
        <v>285000</v>
      </c>
      <c r="C780">
        <f t="shared" si="24"/>
        <v>1.2007016354166784</v>
      </c>
      <c r="D780" t="b">
        <f t="shared" si="25"/>
        <v>0</v>
      </c>
    </row>
    <row r="781" spans="1:4" x14ac:dyDescent="0.25">
      <c r="A781" t="s">
        <v>91</v>
      </c>
      <c r="B781">
        <v>176000</v>
      </c>
      <c r="C781">
        <f t="shared" si="24"/>
        <v>0.1181365303892669</v>
      </c>
      <c r="D781" t="b">
        <f t="shared" si="25"/>
        <v>0</v>
      </c>
    </row>
    <row r="782" spans="1:4" x14ac:dyDescent="0.25">
      <c r="A782" t="s">
        <v>91</v>
      </c>
      <c r="B782">
        <v>236500</v>
      </c>
      <c r="C782">
        <f t="shared" si="24"/>
        <v>0.61387914879660177</v>
      </c>
      <c r="D782" t="b">
        <f t="shared" si="25"/>
        <v>0</v>
      </c>
    </row>
    <row r="783" spans="1:4" x14ac:dyDescent="0.25">
      <c r="A783" t="s">
        <v>91</v>
      </c>
      <c r="B783">
        <v>222000</v>
      </c>
      <c r="C783">
        <f t="shared" si="24"/>
        <v>0.43843737444626962</v>
      </c>
      <c r="D783" t="b">
        <f t="shared" si="25"/>
        <v>0</v>
      </c>
    </row>
    <row r="784" spans="1:4" x14ac:dyDescent="0.25">
      <c r="A784" t="s">
        <v>91</v>
      </c>
      <c r="B784">
        <v>201000</v>
      </c>
      <c r="C784">
        <f t="shared" si="24"/>
        <v>0.18434928745613338</v>
      </c>
      <c r="D784" t="b">
        <f t="shared" si="25"/>
        <v>0</v>
      </c>
    </row>
    <row r="785" spans="1:4" x14ac:dyDescent="0.25">
      <c r="A785" t="s">
        <v>91</v>
      </c>
      <c r="B785">
        <v>117500</v>
      </c>
      <c r="C785">
        <f t="shared" si="24"/>
        <v>0.82595334414750354</v>
      </c>
      <c r="D785" t="b">
        <f t="shared" si="25"/>
        <v>0</v>
      </c>
    </row>
    <row r="786" spans="1:4" x14ac:dyDescent="0.25">
      <c r="A786" t="s">
        <v>91</v>
      </c>
      <c r="B786">
        <v>320000</v>
      </c>
      <c r="C786">
        <f t="shared" si="24"/>
        <v>1.6241817804002388</v>
      </c>
      <c r="D786" t="b">
        <f t="shared" si="25"/>
        <v>0</v>
      </c>
    </row>
    <row r="787" spans="1:4" x14ac:dyDescent="0.25">
      <c r="A787" t="s">
        <v>91</v>
      </c>
      <c r="B787">
        <v>190000</v>
      </c>
      <c r="C787">
        <f t="shared" si="24"/>
        <v>5.1255527604157261E-2</v>
      </c>
      <c r="D787" t="b">
        <f t="shared" si="25"/>
        <v>0</v>
      </c>
    </row>
    <row r="788" spans="1:4" x14ac:dyDescent="0.25">
      <c r="A788" t="s">
        <v>91</v>
      </c>
      <c r="B788">
        <v>242000</v>
      </c>
      <c r="C788">
        <f t="shared" si="24"/>
        <v>0.68042602872258984</v>
      </c>
      <c r="D788" t="b">
        <f t="shared" si="25"/>
        <v>0</v>
      </c>
    </row>
    <row r="789" spans="1:4" x14ac:dyDescent="0.25">
      <c r="A789" t="s">
        <v>91</v>
      </c>
      <c r="B789">
        <v>79900</v>
      </c>
      <c r="C789">
        <f t="shared" si="24"/>
        <v>1.2808920141869855</v>
      </c>
      <c r="D789" t="b">
        <f t="shared" si="25"/>
        <v>0</v>
      </c>
    </row>
    <row r="790" spans="1:4" x14ac:dyDescent="0.25">
      <c r="A790" t="s">
        <v>91</v>
      </c>
      <c r="B790">
        <v>184900</v>
      </c>
      <c r="C790">
        <f t="shared" si="24"/>
        <v>1.0451579236304397E-2</v>
      </c>
      <c r="D790" t="b">
        <f t="shared" si="25"/>
        <v>0</v>
      </c>
    </row>
    <row r="791" spans="1:4" x14ac:dyDescent="0.25">
      <c r="A791" t="s">
        <v>91</v>
      </c>
      <c r="B791">
        <v>253000</v>
      </c>
      <c r="C791">
        <f t="shared" si="24"/>
        <v>0.81351978857456597</v>
      </c>
      <c r="D791" t="b">
        <f t="shared" si="25"/>
        <v>0</v>
      </c>
    </row>
    <row r="792" spans="1:4" x14ac:dyDescent="0.25">
      <c r="A792" t="s">
        <v>91</v>
      </c>
      <c r="B792">
        <v>239799</v>
      </c>
      <c r="C792">
        <f t="shared" si="24"/>
        <v>0.65379517731948078</v>
      </c>
      <c r="D792" t="b">
        <f t="shared" si="25"/>
        <v>0</v>
      </c>
    </row>
    <row r="793" spans="1:4" x14ac:dyDescent="0.25">
      <c r="A793" t="s">
        <v>91</v>
      </c>
      <c r="B793">
        <v>244400</v>
      </c>
      <c r="C793">
        <f t="shared" si="24"/>
        <v>0.7094646672357483</v>
      </c>
      <c r="D793" t="b">
        <f t="shared" si="25"/>
        <v>0</v>
      </c>
    </row>
    <row r="794" spans="1:4" x14ac:dyDescent="0.25">
      <c r="A794" t="s">
        <v>91</v>
      </c>
      <c r="B794">
        <v>214000</v>
      </c>
      <c r="C794">
        <f t="shared" si="24"/>
        <v>0.34164191273574152</v>
      </c>
      <c r="D794" t="b">
        <f t="shared" si="25"/>
        <v>0</v>
      </c>
    </row>
    <row r="795" spans="1:4" x14ac:dyDescent="0.25">
      <c r="A795" t="s">
        <v>91</v>
      </c>
      <c r="B795">
        <v>137500</v>
      </c>
      <c r="C795">
        <f t="shared" si="24"/>
        <v>0.58396468987118333</v>
      </c>
      <c r="D795" t="b">
        <f t="shared" si="25"/>
        <v>0</v>
      </c>
    </row>
    <row r="796" spans="1:4" x14ac:dyDescent="0.25">
      <c r="A796" t="s">
        <v>91</v>
      </c>
      <c r="B796">
        <v>124900</v>
      </c>
      <c r="C796">
        <f t="shared" si="24"/>
        <v>0.73641754206526511</v>
      </c>
      <c r="D796" t="b">
        <f t="shared" si="25"/>
        <v>0</v>
      </c>
    </row>
    <row r="797" spans="1:4" x14ac:dyDescent="0.25">
      <c r="A797" t="s">
        <v>91</v>
      </c>
      <c r="B797">
        <v>143000</v>
      </c>
      <c r="C797">
        <f t="shared" si="24"/>
        <v>0.51741780994519526</v>
      </c>
      <c r="D797" t="b">
        <f t="shared" si="25"/>
        <v>0</v>
      </c>
    </row>
    <row r="798" spans="1:4" x14ac:dyDescent="0.25">
      <c r="A798" t="s">
        <v>91</v>
      </c>
      <c r="B798">
        <v>270000</v>
      </c>
      <c r="C798">
        <f t="shared" si="24"/>
        <v>1.0192101447094382</v>
      </c>
      <c r="D798" t="b">
        <f t="shared" si="25"/>
        <v>0</v>
      </c>
    </row>
    <row r="799" spans="1:4" x14ac:dyDescent="0.25">
      <c r="A799" t="s">
        <v>91</v>
      </c>
      <c r="B799">
        <v>192500</v>
      </c>
      <c r="C799">
        <f t="shared" si="24"/>
        <v>8.1504109388697288E-2</v>
      </c>
      <c r="D799" t="b">
        <f t="shared" si="25"/>
        <v>0</v>
      </c>
    </row>
    <row r="800" spans="1:4" x14ac:dyDescent="0.25">
      <c r="A800" t="s">
        <v>91</v>
      </c>
      <c r="B800">
        <v>197500</v>
      </c>
      <c r="C800">
        <f t="shared" si="24"/>
        <v>0.14200127295777734</v>
      </c>
      <c r="D800" t="b">
        <f t="shared" si="25"/>
        <v>0</v>
      </c>
    </row>
    <row r="801" spans="1:4" x14ac:dyDescent="0.25">
      <c r="A801" t="s">
        <v>91</v>
      </c>
      <c r="B801">
        <v>129000</v>
      </c>
      <c r="C801">
        <f t="shared" si="24"/>
        <v>0.68680986793861942</v>
      </c>
      <c r="D801" t="b">
        <f t="shared" si="25"/>
        <v>0</v>
      </c>
    </row>
    <row r="802" spans="1:4" x14ac:dyDescent="0.25">
      <c r="A802" t="s">
        <v>91</v>
      </c>
      <c r="B802">
        <v>119900</v>
      </c>
      <c r="C802">
        <f t="shared" si="24"/>
        <v>0.79691470563434508</v>
      </c>
      <c r="D802" t="b">
        <f t="shared" si="25"/>
        <v>0</v>
      </c>
    </row>
    <row r="803" spans="1:4" x14ac:dyDescent="0.25">
      <c r="A803" t="s">
        <v>91</v>
      </c>
      <c r="B803">
        <v>133900</v>
      </c>
      <c r="C803">
        <f t="shared" si="24"/>
        <v>0.62752264764092092</v>
      </c>
      <c r="D803" t="b">
        <f t="shared" si="25"/>
        <v>0</v>
      </c>
    </row>
    <row r="804" spans="1:4" x14ac:dyDescent="0.25">
      <c r="A804" t="s">
        <v>91</v>
      </c>
      <c r="B804">
        <v>172000</v>
      </c>
      <c r="C804">
        <f t="shared" si="24"/>
        <v>0.16653426124453094</v>
      </c>
      <c r="D804" t="b">
        <f t="shared" si="25"/>
        <v>0</v>
      </c>
    </row>
    <row r="805" spans="1:4" x14ac:dyDescent="0.25">
      <c r="A805" t="s">
        <v>91</v>
      </c>
      <c r="B805">
        <v>132000</v>
      </c>
      <c r="C805">
        <f t="shared" si="24"/>
        <v>0.6505115697971714</v>
      </c>
      <c r="D805" t="b">
        <f t="shared" si="25"/>
        <v>0</v>
      </c>
    </row>
    <row r="806" spans="1:4" x14ac:dyDescent="0.25">
      <c r="A806" t="s">
        <v>91</v>
      </c>
      <c r="B806">
        <v>185000</v>
      </c>
      <c r="C806">
        <f t="shared" si="24"/>
        <v>9.241635964922796E-3</v>
      </c>
      <c r="D806" t="b">
        <f t="shared" si="25"/>
        <v>0</v>
      </c>
    </row>
    <row r="807" spans="1:4" x14ac:dyDescent="0.25">
      <c r="A807" t="s">
        <v>91</v>
      </c>
      <c r="B807">
        <v>116500</v>
      </c>
      <c r="C807">
        <f t="shared" si="24"/>
        <v>0.83805277686131951</v>
      </c>
      <c r="D807" t="b">
        <f t="shared" si="25"/>
        <v>0</v>
      </c>
    </row>
    <row r="808" spans="1:4" x14ac:dyDescent="0.25">
      <c r="A808" t="s">
        <v>91</v>
      </c>
      <c r="B808">
        <v>272000</v>
      </c>
      <c r="C808">
        <f t="shared" si="24"/>
        <v>1.0434090101370701</v>
      </c>
      <c r="D808" t="b">
        <f t="shared" si="25"/>
        <v>0</v>
      </c>
    </row>
    <row r="809" spans="1:4" x14ac:dyDescent="0.25">
      <c r="A809" t="s">
        <v>91</v>
      </c>
      <c r="B809">
        <v>239000</v>
      </c>
      <c r="C809">
        <f t="shared" si="24"/>
        <v>0.64412773058114181</v>
      </c>
      <c r="D809" t="b">
        <f t="shared" si="25"/>
        <v>0</v>
      </c>
    </row>
    <row r="810" spans="1:4" x14ac:dyDescent="0.25">
      <c r="A810" t="s">
        <v>91</v>
      </c>
      <c r="B810">
        <v>214900</v>
      </c>
      <c r="C810">
        <f t="shared" si="24"/>
        <v>0.35253140217817591</v>
      </c>
      <c r="D810" t="b">
        <f t="shared" si="25"/>
        <v>0</v>
      </c>
    </row>
    <row r="811" spans="1:4" x14ac:dyDescent="0.25">
      <c r="A811" t="s">
        <v>91</v>
      </c>
      <c r="B811">
        <v>178900</v>
      </c>
      <c r="C811">
        <f t="shared" si="24"/>
        <v>8.3048175519200462E-2</v>
      </c>
      <c r="D811" t="b">
        <f t="shared" si="25"/>
        <v>0</v>
      </c>
    </row>
    <row r="812" spans="1:4" x14ac:dyDescent="0.25">
      <c r="A812" t="s">
        <v>91</v>
      </c>
      <c r="B812">
        <v>160000</v>
      </c>
      <c r="C812">
        <f t="shared" si="24"/>
        <v>0.31172745381032307</v>
      </c>
      <c r="D812" t="b">
        <f t="shared" si="25"/>
        <v>0</v>
      </c>
    </row>
    <row r="813" spans="1:4" x14ac:dyDescent="0.25">
      <c r="A813" t="s">
        <v>91</v>
      </c>
      <c r="B813">
        <v>135000</v>
      </c>
      <c r="C813">
        <f t="shared" si="24"/>
        <v>0.61421327165572337</v>
      </c>
      <c r="D813" t="b">
        <f t="shared" si="25"/>
        <v>0</v>
      </c>
    </row>
    <row r="814" spans="1:4" x14ac:dyDescent="0.25">
      <c r="A814" t="s">
        <v>91</v>
      </c>
      <c r="B814">
        <v>37900</v>
      </c>
      <c r="C814">
        <f t="shared" si="24"/>
        <v>1.7890681881672581</v>
      </c>
      <c r="D814" t="b">
        <f t="shared" si="25"/>
        <v>0</v>
      </c>
    </row>
    <row r="815" spans="1:4" x14ac:dyDescent="0.25">
      <c r="A815" t="s">
        <v>91</v>
      </c>
      <c r="B815">
        <v>135000</v>
      </c>
      <c r="C815">
        <f t="shared" si="24"/>
        <v>0.61421327165572337</v>
      </c>
      <c r="D815" t="b">
        <f t="shared" si="25"/>
        <v>0</v>
      </c>
    </row>
    <row r="816" spans="1:4" x14ac:dyDescent="0.25">
      <c r="A816" t="s">
        <v>91</v>
      </c>
      <c r="B816">
        <v>182000</v>
      </c>
      <c r="C816">
        <f t="shared" si="24"/>
        <v>4.5539934106370826E-2</v>
      </c>
      <c r="D816" t="b">
        <f t="shared" si="25"/>
        <v>0</v>
      </c>
    </row>
    <row r="817" spans="1:4" x14ac:dyDescent="0.25">
      <c r="A817" t="s">
        <v>91</v>
      </c>
      <c r="B817">
        <v>167500</v>
      </c>
      <c r="C817">
        <f t="shared" si="24"/>
        <v>0.22098170845670298</v>
      </c>
      <c r="D817" t="b">
        <f t="shared" si="25"/>
        <v>0</v>
      </c>
    </row>
    <row r="818" spans="1:4" x14ac:dyDescent="0.25">
      <c r="A818" t="s">
        <v>91</v>
      </c>
      <c r="B818">
        <v>85500</v>
      </c>
      <c r="C818">
        <f t="shared" si="24"/>
        <v>1.213135190989616</v>
      </c>
      <c r="D818" t="b">
        <f t="shared" si="25"/>
        <v>0</v>
      </c>
    </row>
    <row r="819" spans="1:4" x14ac:dyDescent="0.25">
      <c r="A819" t="s">
        <v>91</v>
      </c>
      <c r="B819">
        <v>110000</v>
      </c>
      <c r="C819">
        <f t="shared" si="24"/>
        <v>0.91669908950112367</v>
      </c>
      <c r="D819" t="b">
        <f t="shared" si="25"/>
        <v>0</v>
      </c>
    </row>
    <row r="820" spans="1:4" x14ac:dyDescent="0.25">
      <c r="A820" t="s">
        <v>91</v>
      </c>
      <c r="B820">
        <v>139000</v>
      </c>
      <c r="C820">
        <f t="shared" si="24"/>
        <v>0.56581554080045926</v>
      </c>
      <c r="D820" t="b">
        <f t="shared" si="25"/>
        <v>0</v>
      </c>
    </row>
    <row r="821" spans="1:4" x14ac:dyDescent="0.25">
      <c r="A821" t="s">
        <v>91</v>
      </c>
      <c r="B821">
        <v>178400</v>
      </c>
      <c r="C821">
        <f t="shared" si="24"/>
        <v>8.9097891876108462E-2</v>
      </c>
      <c r="D821" t="b">
        <f t="shared" si="25"/>
        <v>0</v>
      </c>
    </row>
    <row r="822" spans="1:4" x14ac:dyDescent="0.25">
      <c r="A822" t="s">
        <v>91</v>
      </c>
      <c r="B822">
        <v>336000</v>
      </c>
      <c r="C822">
        <f t="shared" si="24"/>
        <v>1.817772703821295</v>
      </c>
      <c r="D822" t="b">
        <f t="shared" si="25"/>
        <v>0</v>
      </c>
    </row>
    <row r="823" spans="1:4" x14ac:dyDescent="0.25">
      <c r="A823" t="s">
        <v>91</v>
      </c>
      <c r="B823">
        <v>159895</v>
      </c>
      <c r="C823">
        <f t="shared" si="24"/>
        <v>0.31299789424527374</v>
      </c>
      <c r="D823" t="b">
        <f t="shared" si="25"/>
        <v>0</v>
      </c>
    </row>
    <row r="824" spans="1:4" x14ac:dyDescent="0.25">
      <c r="A824" t="s">
        <v>91</v>
      </c>
      <c r="B824">
        <v>255900</v>
      </c>
      <c r="C824">
        <f t="shared" si="24"/>
        <v>0.84860814344463242</v>
      </c>
      <c r="D824" t="b">
        <f t="shared" si="25"/>
        <v>0</v>
      </c>
    </row>
    <row r="825" spans="1:4" x14ac:dyDescent="0.25">
      <c r="A825" t="s">
        <v>91</v>
      </c>
      <c r="B825">
        <v>117000</v>
      </c>
      <c r="C825">
        <f t="shared" si="24"/>
        <v>0.83200306050441153</v>
      </c>
      <c r="D825" t="b">
        <f t="shared" si="25"/>
        <v>0</v>
      </c>
    </row>
    <row r="826" spans="1:4" x14ac:dyDescent="0.25">
      <c r="A826" t="s">
        <v>91</v>
      </c>
      <c r="B826">
        <v>395192</v>
      </c>
      <c r="C826">
        <f t="shared" si="24"/>
        <v>2.5339623250174923</v>
      </c>
      <c r="D826" t="b">
        <f t="shared" si="25"/>
        <v>0</v>
      </c>
    </row>
    <row r="827" spans="1:4" x14ac:dyDescent="0.25">
      <c r="A827" t="s">
        <v>91</v>
      </c>
      <c r="B827">
        <v>195000</v>
      </c>
      <c r="C827">
        <f t="shared" si="24"/>
        <v>0.11175269117323731</v>
      </c>
      <c r="D827" t="b">
        <f t="shared" si="25"/>
        <v>0</v>
      </c>
    </row>
    <row r="828" spans="1:4" x14ac:dyDescent="0.25">
      <c r="A828" t="s">
        <v>91</v>
      </c>
      <c r="B828">
        <v>197000</v>
      </c>
      <c r="C828">
        <f t="shared" si="24"/>
        <v>0.13595155660086933</v>
      </c>
      <c r="D828" t="b">
        <f t="shared" si="25"/>
        <v>0</v>
      </c>
    </row>
    <row r="829" spans="1:4" x14ac:dyDescent="0.25">
      <c r="A829" t="s">
        <v>91</v>
      </c>
      <c r="B829">
        <v>348000</v>
      </c>
      <c r="C829">
        <f t="shared" si="24"/>
        <v>1.9629658963870871</v>
      </c>
      <c r="D829" t="b">
        <f t="shared" si="25"/>
        <v>0</v>
      </c>
    </row>
    <row r="830" spans="1:4" x14ac:dyDescent="0.25">
      <c r="A830" t="s">
        <v>91</v>
      </c>
      <c r="B830">
        <v>168000</v>
      </c>
      <c r="C830">
        <f t="shared" si="24"/>
        <v>0.21493199209979499</v>
      </c>
      <c r="D830" t="b">
        <f t="shared" si="25"/>
        <v>0</v>
      </c>
    </row>
    <row r="831" spans="1:4" x14ac:dyDescent="0.25">
      <c r="A831" t="s">
        <v>91</v>
      </c>
      <c r="B831">
        <v>187000</v>
      </c>
      <c r="C831">
        <f t="shared" si="24"/>
        <v>1.4957229462709226E-2</v>
      </c>
      <c r="D831" t="b">
        <f t="shared" si="25"/>
        <v>0</v>
      </c>
    </row>
    <row r="832" spans="1:4" x14ac:dyDescent="0.25">
      <c r="A832" t="s">
        <v>91</v>
      </c>
      <c r="B832">
        <v>173900</v>
      </c>
      <c r="C832">
        <f t="shared" si="24"/>
        <v>0.14354533908828052</v>
      </c>
      <c r="D832" t="b">
        <f t="shared" si="25"/>
        <v>0</v>
      </c>
    </row>
    <row r="833" spans="1:4" x14ac:dyDescent="0.25">
      <c r="A833" t="s">
        <v>91</v>
      </c>
      <c r="B833">
        <v>337500</v>
      </c>
      <c r="C833">
        <f t="shared" si="24"/>
        <v>1.8359218528920189</v>
      </c>
      <c r="D833" t="b">
        <f t="shared" si="25"/>
        <v>0</v>
      </c>
    </row>
    <row r="834" spans="1:4" x14ac:dyDescent="0.25">
      <c r="A834" t="s">
        <v>91</v>
      </c>
      <c r="B834">
        <v>121600</v>
      </c>
      <c r="C834">
        <f t="shared" si="24"/>
        <v>0.77634567002085786</v>
      </c>
      <c r="D834" t="b">
        <f t="shared" si="25"/>
        <v>0</v>
      </c>
    </row>
    <row r="835" spans="1:4" x14ac:dyDescent="0.25">
      <c r="A835" t="s">
        <v>91</v>
      </c>
      <c r="B835">
        <v>136500</v>
      </c>
      <c r="C835">
        <f t="shared" ref="C835:C898" si="26">ABS((B835-$G$4)/$G$8)</f>
        <v>0.5960641225849993</v>
      </c>
      <c r="D835" t="b">
        <f t="shared" ref="D835:D898" si="27">IF(C835&gt;3,TRUE,FALSE)</f>
        <v>0</v>
      </c>
    </row>
    <row r="836" spans="1:4" x14ac:dyDescent="0.25">
      <c r="A836" t="s">
        <v>91</v>
      </c>
      <c r="B836">
        <v>185000</v>
      </c>
      <c r="C836">
        <f t="shared" si="26"/>
        <v>9.241635964922796E-3</v>
      </c>
      <c r="D836" t="b">
        <f t="shared" si="27"/>
        <v>0</v>
      </c>
    </row>
    <row r="837" spans="1:4" x14ac:dyDescent="0.25">
      <c r="A837" t="s">
        <v>91</v>
      </c>
      <c r="B837">
        <v>91000</v>
      </c>
      <c r="C837">
        <f t="shared" si="26"/>
        <v>1.1465883110636279</v>
      </c>
      <c r="D837" t="b">
        <f t="shared" si="27"/>
        <v>0</v>
      </c>
    </row>
    <row r="838" spans="1:4" x14ac:dyDescent="0.25">
      <c r="A838" t="s">
        <v>91</v>
      </c>
      <c r="B838">
        <v>206000</v>
      </c>
      <c r="C838">
        <f t="shared" si="26"/>
        <v>0.24484645102521344</v>
      </c>
      <c r="D838" t="b">
        <f t="shared" si="27"/>
        <v>0</v>
      </c>
    </row>
    <row r="839" spans="1:4" x14ac:dyDescent="0.25">
      <c r="A839" t="s">
        <v>91</v>
      </c>
      <c r="B839">
        <v>82000</v>
      </c>
      <c r="C839">
        <f t="shared" si="26"/>
        <v>1.2554832054879719</v>
      </c>
      <c r="D839" t="b">
        <f t="shared" si="27"/>
        <v>0</v>
      </c>
    </row>
    <row r="840" spans="1:4" x14ac:dyDescent="0.25">
      <c r="A840" t="s">
        <v>91</v>
      </c>
      <c r="B840">
        <v>86000</v>
      </c>
      <c r="C840">
        <f t="shared" si="26"/>
        <v>1.207085474632708</v>
      </c>
      <c r="D840" t="b">
        <f t="shared" si="27"/>
        <v>0</v>
      </c>
    </row>
    <row r="841" spans="1:4" x14ac:dyDescent="0.25">
      <c r="A841" t="s">
        <v>91</v>
      </c>
      <c r="B841">
        <v>232000</v>
      </c>
      <c r="C841">
        <f t="shared" si="26"/>
        <v>0.55943170158442967</v>
      </c>
      <c r="D841" t="b">
        <f t="shared" si="27"/>
        <v>0</v>
      </c>
    </row>
    <row r="842" spans="1:4" x14ac:dyDescent="0.25">
      <c r="A842" t="s">
        <v>91</v>
      </c>
      <c r="B842">
        <v>149900</v>
      </c>
      <c r="C842">
        <f t="shared" si="26"/>
        <v>0.43393172421986476</v>
      </c>
      <c r="D842" t="b">
        <f t="shared" si="27"/>
        <v>0</v>
      </c>
    </row>
    <row r="843" spans="1:4" x14ac:dyDescent="0.25">
      <c r="A843" t="s">
        <v>91</v>
      </c>
      <c r="B843">
        <v>163500</v>
      </c>
      <c r="C843">
        <f t="shared" si="26"/>
        <v>0.26937943931196701</v>
      </c>
      <c r="D843" t="b">
        <f t="shared" si="27"/>
        <v>0</v>
      </c>
    </row>
    <row r="844" spans="1:4" x14ac:dyDescent="0.25">
      <c r="A844" t="s">
        <v>91</v>
      </c>
      <c r="B844">
        <v>240000</v>
      </c>
      <c r="C844">
        <f t="shared" si="26"/>
        <v>0.65622716329495778</v>
      </c>
      <c r="D844" t="b">
        <f t="shared" si="27"/>
        <v>0</v>
      </c>
    </row>
    <row r="845" spans="1:4" x14ac:dyDescent="0.25">
      <c r="A845" t="s">
        <v>91</v>
      </c>
      <c r="B845">
        <v>102000</v>
      </c>
      <c r="C845">
        <f t="shared" si="26"/>
        <v>1.0134945512116518</v>
      </c>
      <c r="D845" t="b">
        <f t="shared" si="27"/>
        <v>0</v>
      </c>
    </row>
    <row r="846" spans="1:4" x14ac:dyDescent="0.25">
      <c r="A846" t="s">
        <v>91</v>
      </c>
      <c r="B846">
        <v>135000</v>
      </c>
      <c r="C846">
        <f t="shared" si="26"/>
        <v>0.61421327165572337</v>
      </c>
      <c r="D846" t="b">
        <f t="shared" si="27"/>
        <v>0</v>
      </c>
    </row>
    <row r="847" spans="1:4" x14ac:dyDescent="0.25">
      <c r="A847" t="s">
        <v>91</v>
      </c>
      <c r="B847">
        <v>165000</v>
      </c>
      <c r="C847">
        <f t="shared" si="26"/>
        <v>0.25123029024124299</v>
      </c>
      <c r="D847" t="b">
        <f t="shared" si="27"/>
        <v>0</v>
      </c>
    </row>
    <row r="848" spans="1:4" x14ac:dyDescent="0.25">
      <c r="A848" t="s">
        <v>91</v>
      </c>
      <c r="B848">
        <v>85000</v>
      </c>
      <c r="C848">
        <f t="shared" si="26"/>
        <v>1.219184907346524</v>
      </c>
      <c r="D848" t="b">
        <f t="shared" si="27"/>
        <v>0</v>
      </c>
    </row>
    <row r="849" spans="1:4" x14ac:dyDescent="0.25">
      <c r="A849" t="s">
        <v>91</v>
      </c>
      <c r="B849">
        <v>119200</v>
      </c>
      <c r="C849">
        <f t="shared" si="26"/>
        <v>0.80538430853401632</v>
      </c>
      <c r="D849" t="b">
        <f t="shared" si="27"/>
        <v>0</v>
      </c>
    </row>
    <row r="850" spans="1:4" x14ac:dyDescent="0.25">
      <c r="A850" t="s">
        <v>91</v>
      </c>
      <c r="B850">
        <v>227000</v>
      </c>
      <c r="C850">
        <f t="shared" si="26"/>
        <v>0.49893453801534965</v>
      </c>
      <c r="D850" t="b">
        <f t="shared" si="27"/>
        <v>0</v>
      </c>
    </row>
    <row r="851" spans="1:4" x14ac:dyDescent="0.25">
      <c r="A851" t="s">
        <v>91</v>
      </c>
      <c r="B851">
        <v>203000</v>
      </c>
      <c r="C851">
        <f t="shared" si="26"/>
        <v>0.20854815288376541</v>
      </c>
      <c r="D851" t="b">
        <f t="shared" si="27"/>
        <v>0</v>
      </c>
    </row>
    <row r="852" spans="1:4" x14ac:dyDescent="0.25">
      <c r="A852" t="s">
        <v>91</v>
      </c>
      <c r="B852">
        <v>160000</v>
      </c>
      <c r="C852">
        <f t="shared" si="26"/>
        <v>0.31172745381032307</v>
      </c>
      <c r="D852" t="b">
        <f t="shared" si="27"/>
        <v>0</v>
      </c>
    </row>
    <row r="853" spans="1:4" x14ac:dyDescent="0.25">
      <c r="A853" t="s">
        <v>91</v>
      </c>
      <c r="B853">
        <v>176000</v>
      </c>
      <c r="C853">
        <f t="shared" si="26"/>
        <v>0.1181365303892669</v>
      </c>
      <c r="D853" t="b">
        <f t="shared" si="27"/>
        <v>0</v>
      </c>
    </row>
    <row r="854" spans="1:4" x14ac:dyDescent="0.25">
      <c r="A854" t="s">
        <v>91</v>
      </c>
      <c r="B854">
        <v>194000</v>
      </c>
      <c r="C854">
        <f t="shared" si="26"/>
        <v>9.9653258459421301E-2</v>
      </c>
      <c r="D854" t="b">
        <f t="shared" si="27"/>
        <v>0</v>
      </c>
    </row>
    <row r="855" spans="1:4" x14ac:dyDescent="0.25">
      <c r="A855" t="s">
        <v>91</v>
      </c>
      <c r="B855">
        <v>87000</v>
      </c>
      <c r="C855">
        <f t="shared" si="26"/>
        <v>1.1949860419188918</v>
      </c>
      <c r="D855" t="b">
        <f t="shared" si="27"/>
        <v>0</v>
      </c>
    </row>
    <row r="856" spans="1:4" x14ac:dyDescent="0.25">
      <c r="A856" t="s">
        <v>91</v>
      </c>
      <c r="B856">
        <v>287000</v>
      </c>
      <c r="C856">
        <f t="shared" si="26"/>
        <v>1.2249005008443103</v>
      </c>
      <c r="D856" t="b">
        <f t="shared" si="27"/>
        <v>0</v>
      </c>
    </row>
    <row r="857" spans="1:4" x14ac:dyDescent="0.25">
      <c r="A857" t="s">
        <v>91</v>
      </c>
      <c r="B857">
        <v>112500</v>
      </c>
      <c r="C857">
        <f t="shared" si="26"/>
        <v>0.88645050771658362</v>
      </c>
      <c r="D857" t="b">
        <f t="shared" si="27"/>
        <v>0</v>
      </c>
    </row>
    <row r="858" spans="1:4" x14ac:dyDescent="0.25">
      <c r="A858" t="s">
        <v>91</v>
      </c>
      <c r="B858">
        <v>167500</v>
      </c>
      <c r="C858">
        <f t="shared" si="26"/>
        <v>0.22098170845670298</v>
      </c>
      <c r="D858" t="b">
        <f t="shared" si="27"/>
        <v>0</v>
      </c>
    </row>
    <row r="859" spans="1:4" x14ac:dyDescent="0.25">
      <c r="A859" t="s">
        <v>91</v>
      </c>
      <c r="B859">
        <v>293077</v>
      </c>
      <c r="C859">
        <f t="shared" si="26"/>
        <v>1.2984287534461703</v>
      </c>
      <c r="D859" t="b">
        <f t="shared" si="27"/>
        <v>0</v>
      </c>
    </row>
    <row r="860" spans="1:4" x14ac:dyDescent="0.25">
      <c r="A860" t="s">
        <v>91</v>
      </c>
      <c r="B860">
        <v>105000</v>
      </c>
      <c r="C860">
        <f t="shared" si="26"/>
        <v>0.97719625307020364</v>
      </c>
      <c r="D860" t="b">
        <f t="shared" si="27"/>
        <v>0</v>
      </c>
    </row>
    <row r="861" spans="1:4" x14ac:dyDescent="0.25">
      <c r="A861" t="s">
        <v>91</v>
      </c>
      <c r="B861">
        <v>197000</v>
      </c>
      <c r="C861">
        <f t="shared" si="26"/>
        <v>0.13595155660086933</v>
      </c>
      <c r="D861" t="b">
        <f t="shared" si="27"/>
        <v>0</v>
      </c>
    </row>
    <row r="862" spans="1:4" x14ac:dyDescent="0.25">
      <c r="A862" t="s">
        <v>91</v>
      </c>
      <c r="B862">
        <v>310000</v>
      </c>
      <c r="C862">
        <f t="shared" si="26"/>
        <v>1.5031874532620786</v>
      </c>
      <c r="D862" t="b">
        <f t="shared" si="27"/>
        <v>0</v>
      </c>
    </row>
    <row r="863" spans="1:4" x14ac:dyDescent="0.25">
      <c r="A863" t="s">
        <v>91</v>
      </c>
      <c r="B863">
        <v>230000</v>
      </c>
      <c r="C863">
        <f t="shared" si="26"/>
        <v>0.53523283615679773</v>
      </c>
      <c r="D863" t="b">
        <f t="shared" si="27"/>
        <v>0</v>
      </c>
    </row>
    <row r="864" spans="1:4" x14ac:dyDescent="0.25">
      <c r="A864" t="s">
        <v>91</v>
      </c>
      <c r="B864">
        <v>119750</v>
      </c>
      <c r="C864">
        <f t="shared" si="26"/>
        <v>0.7987296205414175</v>
      </c>
      <c r="D864" t="b">
        <f t="shared" si="27"/>
        <v>0</v>
      </c>
    </row>
    <row r="865" spans="1:4" x14ac:dyDescent="0.25">
      <c r="A865" t="s">
        <v>91</v>
      </c>
      <c r="B865">
        <v>84000</v>
      </c>
      <c r="C865">
        <f t="shared" si="26"/>
        <v>1.2312843400603399</v>
      </c>
      <c r="D865" t="b">
        <f t="shared" si="27"/>
        <v>0</v>
      </c>
    </row>
    <row r="866" spans="1:4" x14ac:dyDescent="0.25">
      <c r="A866" t="s">
        <v>91</v>
      </c>
      <c r="B866">
        <v>315500</v>
      </c>
      <c r="C866">
        <f t="shared" si="26"/>
        <v>1.5697343331880667</v>
      </c>
      <c r="D866" t="b">
        <f t="shared" si="27"/>
        <v>0</v>
      </c>
    </row>
    <row r="867" spans="1:4" x14ac:dyDescent="0.25">
      <c r="A867" t="s">
        <v>91</v>
      </c>
      <c r="B867">
        <v>287000</v>
      </c>
      <c r="C867">
        <f t="shared" si="26"/>
        <v>1.2249005008443103</v>
      </c>
      <c r="D867" t="b">
        <f t="shared" si="27"/>
        <v>0</v>
      </c>
    </row>
    <row r="868" spans="1:4" x14ac:dyDescent="0.25">
      <c r="A868" t="s">
        <v>91</v>
      </c>
      <c r="B868">
        <v>155000</v>
      </c>
      <c r="C868">
        <f t="shared" si="26"/>
        <v>0.3722246173794031</v>
      </c>
      <c r="D868" t="b">
        <f t="shared" si="27"/>
        <v>0</v>
      </c>
    </row>
    <row r="869" spans="1:4" x14ac:dyDescent="0.25">
      <c r="A869" t="s">
        <v>91</v>
      </c>
      <c r="B869">
        <v>173000</v>
      </c>
      <c r="C869">
        <f t="shared" si="26"/>
        <v>0.15443482853071494</v>
      </c>
      <c r="D869" t="b">
        <f t="shared" si="27"/>
        <v>0</v>
      </c>
    </row>
    <row r="870" spans="1:4" x14ac:dyDescent="0.25">
      <c r="A870" t="s">
        <v>91</v>
      </c>
      <c r="B870">
        <v>262280</v>
      </c>
      <c r="C870">
        <f t="shared" si="26"/>
        <v>0.92580252415877851</v>
      </c>
      <c r="D870" t="b">
        <f t="shared" si="27"/>
        <v>0</v>
      </c>
    </row>
    <row r="871" spans="1:4" x14ac:dyDescent="0.25">
      <c r="A871" t="s">
        <v>91</v>
      </c>
      <c r="B871">
        <v>278000</v>
      </c>
      <c r="C871">
        <f t="shared" si="26"/>
        <v>1.1160056064199662</v>
      </c>
      <c r="D871" t="b">
        <f t="shared" si="27"/>
        <v>0</v>
      </c>
    </row>
    <row r="872" spans="1:4" x14ac:dyDescent="0.25">
      <c r="A872" t="s">
        <v>91</v>
      </c>
      <c r="B872">
        <v>139600</v>
      </c>
      <c r="C872">
        <f t="shared" si="26"/>
        <v>0.5585558811721697</v>
      </c>
      <c r="D872" t="b">
        <f t="shared" si="27"/>
        <v>0</v>
      </c>
    </row>
    <row r="873" spans="1:4" x14ac:dyDescent="0.25">
      <c r="A873" t="s">
        <v>91</v>
      </c>
      <c r="B873">
        <v>556581</v>
      </c>
      <c r="C873">
        <f t="shared" si="26"/>
        <v>4.486677671267544</v>
      </c>
      <c r="D873" t="b">
        <f t="shared" si="27"/>
        <v>1</v>
      </c>
    </row>
    <row r="874" spans="1:4" x14ac:dyDescent="0.25">
      <c r="A874" t="s">
        <v>91</v>
      </c>
      <c r="B874">
        <v>145000</v>
      </c>
      <c r="C874">
        <f t="shared" si="26"/>
        <v>0.49321894451756326</v>
      </c>
      <c r="D874" t="b">
        <f t="shared" si="27"/>
        <v>0</v>
      </c>
    </row>
    <row r="875" spans="1:4" x14ac:dyDescent="0.25">
      <c r="A875" t="s">
        <v>91</v>
      </c>
      <c r="B875">
        <v>115000</v>
      </c>
      <c r="C875">
        <f t="shared" si="26"/>
        <v>0.85620192593204358</v>
      </c>
      <c r="D875" t="b">
        <f t="shared" si="27"/>
        <v>0</v>
      </c>
    </row>
    <row r="876" spans="1:4" x14ac:dyDescent="0.25">
      <c r="A876" t="s">
        <v>91</v>
      </c>
      <c r="B876">
        <v>84900</v>
      </c>
      <c r="C876">
        <f t="shared" si="26"/>
        <v>1.2203948506179054</v>
      </c>
      <c r="D876" t="b">
        <f t="shared" si="27"/>
        <v>0</v>
      </c>
    </row>
    <row r="877" spans="1:4" x14ac:dyDescent="0.25">
      <c r="A877" t="s">
        <v>91</v>
      </c>
      <c r="B877">
        <v>176485</v>
      </c>
      <c r="C877">
        <f t="shared" si="26"/>
        <v>0.11226830552306613</v>
      </c>
      <c r="D877" t="b">
        <f t="shared" si="27"/>
        <v>0</v>
      </c>
    </row>
    <row r="878" spans="1:4" x14ac:dyDescent="0.25">
      <c r="A878" t="s">
        <v>91</v>
      </c>
      <c r="B878">
        <v>200141</v>
      </c>
      <c r="C878">
        <f t="shared" si="26"/>
        <v>0.17395587475496543</v>
      </c>
      <c r="D878" t="b">
        <f t="shared" si="27"/>
        <v>0</v>
      </c>
    </row>
    <row r="879" spans="1:4" x14ac:dyDescent="0.25">
      <c r="A879" t="s">
        <v>91</v>
      </c>
      <c r="B879">
        <v>165000</v>
      </c>
      <c r="C879">
        <f t="shared" si="26"/>
        <v>0.25123029024124299</v>
      </c>
      <c r="D879" t="b">
        <f t="shared" si="27"/>
        <v>0</v>
      </c>
    </row>
    <row r="880" spans="1:4" x14ac:dyDescent="0.25">
      <c r="A880" t="s">
        <v>91</v>
      </c>
      <c r="B880">
        <v>144500</v>
      </c>
      <c r="C880">
        <f t="shared" si="26"/>
        <v>0.49926866087447125</v>
      </c>
      <c r="D880" t="b">
        <f t="shared" si="27"/>
        <v>0</v>
      </c>
    </row>
    <row r="881" spans="1:4" x14ac:dyDescent="0.25">
      <c r="A881" t="s">
        <v>91</v>
      </c>
      <c r="B881">
        <v>255000</v>
      </c>
      <c r="C881">
        <f t="shared" si="26"/>
        <v>0.83771865400219803</v>
      </c>
      <c r="D881" t="b">
        <f t="shared" si="27"/>
        <v>0</v>
      </c>
    </row>
    <row r="882" spans="1:4" x14ac:dyDescent="0.25">
      <c r="A882" t="s">
        <v>91</v>
      </c>
      <c r="B882">
        <v>180000</v>
      </c>
      <c r="C882">
        <f t="shared" si="26"/>
        <v>6.9738799534002846E-2</v>
      </c>
      <c r="D882" t="b">
        <f t="shared" si="27"/>
        <v>0</v>
      </c>
    </row>
    <row r="883" spans="1:4" x14ac:dyDescent="0.25">
      <c r="A883" t="s">
        <v>91</v>
      </c>
      <c r="B883">
        <v>248000</v>
      </c>
      <c r="C883">
        <f t="shared" si="26"/>
        <v>0.75302262500548589</v>
      </c>
      <c r="D883" t="b">
        <f t="shared" si="27"/>
        <v>0</v>
      </c>
    </row>
    <row r="884" spans="1:4" x14ac:dyDescent="0.25">
      <c r="A884" t="s">
        <v>91</v>
      </c>
      <c r="B884">
        <v>335000</v>
      </c>
      <c r="C884">
        <f t="shared" si="26"/>
        <v>1.8056732711074788</v>
      </c>
      <c r="D884" t="b">
        <f t="shared" si="27"/>
        <v>0</v>
      </c>
    </row>
    <row r="885" spans="1:4" x14ac:dyDescent="0.25">
      <c r="A885" t="s">
        <v>91</v>
      </c>
      <c r="B885">
        <v>220000</v>
      </c>
      <c r="C885">
        <f t="shared" si="26"/>
        <v>0.41423850901863757</v>
      </c>
      <c r="D885" t="b">
        <f t="shared" si="27"/>
        <v>0</v>
      </c>
    </row>
    <row r="886" spans="1:4" x14ac:dyDescent="0.25">
      <c r="A886" t="s">
        <v>91</v>
      </c>
      <c r="B886">
        <v>81000</v>
      </c>
      <c r="C886">
        <f t="shared" si="26"/>
        <v>1.2675826382017878</v>
      </c>
      <c r="D886" t="b">
        <f t="shared" si="27"/>
        <v>0</v>
      </c>
    </row>
    <row r="887" spans="1:4" x14ac:dyDescent="0.25">
      <c r="A887" t="s">
        <v>91</v>
      </c>
      <c r="B887">
        <v>110500</v>
      </c>
      <c r="C887">
        <f t="shared" si="26"/>
        <v>0.91064937314421557</v>
      </c>
      <c r="D887" t="b">
        <f t="shared" si="27"/>
        <v>0</v>
      </c>
    </row>
    <row r="888" spans="1:4" x14ac:dyDescent="0.25">
      <c r="A888" t="s">
        <v>91</v>
      </c>
      <c r="B888">
        <v>154000</v>
      </c>
      <c r="C888">
        <f t="shared" si="26"/>
        <v>0.38432405009321913</v>
      </c>
      <c r="D888" t="b">
        <f t="shared" si="27"/>
        <v>0</v>
      </c>
    </row>
    <row r="889" spans="1:4" x14ac:dyDescent="0.25">
      <c r="A889" t="s">
        <v>91</v>
      </c>
      <c r="B889">
        <v>328000</v>
      </c>
      <c r="C889">
        <f t="shared" si="26"/>
        <v>1.7209772421107667</v>
      </c>
      <c r="D889" t="b">
        <f t="shared" si="27"/>
        <v>0</v>
      </c>
    </row>
    <row r="890" spans="1:4" x14ac:dyDescent="0.25">
      <c r="A890" t="s">
        <v>91</v>
      </c>
      <c r="B890">
        <v>178000</v>
      </c>
      <c r="C890">
        <f t="shared" si="26"/>
        <v>9.3937664961634873E-2</v>
      </c>
      <c r="D890" t="b">
        <f t="shared" si="27"/>
        <v>0</v>
      </c>
    </row>
    <row r="891" spans="1:4" x14ac:dyDescent="0.25">
      <c r="A891" t="s">
        <v>91</v>
      </c>
      <c r="B891">
        <v>167900</v>
      </c>
      <c r="C891">
        <f t="shared" si="26"/>
        <v>0.2161419353711766</v>
      </c>
      <c r="D891" t="b">
        <f t="shared" si="27"/>
        <v>0</v>
      </c>
    </row>
    <row r="892" spans="1:4" x14ac:dyDescent="0.25">
      <c r="A892" t="s">
        <v>91</v>
      </c>
      <c r="B892">
        <v>135000</v>
      </c>
      <c r="C892">
        <f t="shared" si="26"/>
        <v>0.61421327165572337</v>
      </c>
      <c r="D892" t="b">
        <f t="shared" si="27"/>
        <v>0</v>
      </c>
    </row>
    <row r="893" spans="1:4" x14ac:dyDescent="0.25">
      <c r="A893" t="s">
        <v>91</v>
      </c>
      <c r="B893">
        <v>135000</v>
      </c>
      <c r="C893">
        <f t="shared" si="26"/>
        <v>0.61421327165572337</v>
      </c>
      <c r="D893" t="b">
        <f t="shared" si="27"/>
        <v>0</v>
      </c>
    </row>
    <row r="894" spans="1:4" x14ac:dyDescent="0.25">
      <c r="A894" t="s">
        <v>91</v>
      </c>
      <c r="B894">
        <v>154000</v>
      </c>
      <c r="C894">
        <f t="shared" si="26"/>
        <v>0.38432405009321913</v>
      </c>
      <c r="D894" t="b">
        <f t="shared" si="27"/>
        <v>0</v>
      </c>
    </row>
    <row r="895" spans="1:4" x14ac:dyDescent="0.25">
      <c r="A895" t="s">
        <v>91</v>
      </c>
      <c r="B895">
        <v>91500</v>
      </c>
      <c r="C895">
        <f t="shared" si="26"/>
        <v>1.1405385947067199</v>
      </c>
      <c r="D895" t="b">
        <f t="shared" si="27"/>
        <v>0</v>
      </c>
    </row>
    <row r="896" spans="1:4" x14ac:dyDescent="0.25">
      <c r="A896" t="s">
        <v>91</v>
      </c>
      <c r="B896">
        <v>159500</v>
      </c>
      <c r="C896">
        <f t="shared" si="26"/>
        <v>0.31777717016723106</v>
      </c>
      <c r="D896" t="b">
        <f t="shared" si="27"/>
        <v>0</v>
      </c>
    </row>
    <row r="897" spans="1:4" x14ac:dyDescent="0.25">
      <c r="A897" t="s">
        <v>91</v>
      </c>
      <c r="B897">
        <v>194000</v>
      </c>
      <c r="C897">
        <f t="shared" si="26"/>
        <v>9.9653258459421301E-2</v>
      </c>
      <c r="D897" t="b">
        <f t="shared" si="27"/>
        <v>0</v>
      </c>
    </row>
    <row r="898" spans="1:4" x14ac:dyDescent="0.25">
      <c r="A898" t="s">
        <v>91</v>
      </c>
      <c r="B898">
        <v>219500</v>
      </c>
      <c r="C898">
        <f t="shared" si="26"/>
        <v>0.40818879266172958</v>
      </c>
      <c r="D898" t="b">
        <f t="shared" si="27"/>
        <v>0</v>
      </c>
    </row>
    <row r="899" spans="1:4" x14ac:dyDescent="0.25">
      <c r="A899" t="s">
        <v>91</v>
      </c>
      <c r="B899">
        <v>170000</v>
      </c>
      <c r="C899">
        <f t="shared" ref="C899:C962" si="28">ABS((B899-$G$4)/$G$8)</f>
        <v>0.19073312667216297</v>
      </c>
      <c r="D899" t="b">
        <f t="shared" ref="D899:D962" si="29">IF(C899&gt;3,TRUE,FALSE)</f>
        <v>0</v>
      </c>
    </row>
    <row r="900" spans="1:4" x14ac:dyDescent="0.25">
      <c r="A900" t="s">
        <v>91</v>
      </c>
      <c r="B900">
        <v>138800</v>
      </c>
      <c r="C900">
        <f t="shared" si="28"/>
        <v>0.56823542734322252</v>
      </c>
      <c r="D900" t="b">
        <f t="shared" si="29"/>
        <v>0</v>
      </c>
    </row>
    <row r="901" spans="1:4" x14ac:dyDescent="0.25">
      <c r="A901" t="s">
        <v>91</v>
      </c>
      <c r="B901">
        <v>126000</v>
      </c>
      <c r="C901">
        <f t="shared" si="28"/>
        <v>0.72310816608006745</v>
      </c>
      <c r="D901" t="b">
        <f t="shared" si="29"/>
        <v>0</v>
      </c>
    </row>
    <row r="902" spans="1:4" x14ac:dyDescent="0.25">
      <c r="A902" t="s">
        <v>91</v>
      </c>
      <c r="B902">
        <v>145000</v>
      </c>
      <c r="C902">
        <f t="shared" si="28"/>
        <v>0.49321894451756326</v>
      </c>
      <c r="D902" t="b">
        <f t="shared" si="29"/>
        <v>0</v>
      </c>
    </row>
    <row r="903" spans="1:4" x14ac:dyDescent="0.25">
      <c r="A903" t="s">
        <v>91</v>
      </c>
      <c r="B903">
        <v>133000</v>
      </c>
      <c r="C903">
        <f t="shared" si="28"/>
        <v>0.63841213708335531</v>
      </c>
      <c r="D903" t="b">
        <f t="shared" si="29"/>
        <v>0</v>
      </c>
    </row>
    <row r="904" spans="1:4" x14ac:dyDescent="0.25">
      <c r="A904" t="s">
        <v>91</v>
      </c>
      <c r="B904">
        <v>192000</v>
      </c>
      <c r="C904">
        <f t="shared" si="28"/>
        <v>7.5454393031789288E-2</v>
      </c>
      <c r="D904" t="b">
        <f t="shared" si="29"/>
        <v>0</v>
      </c>
    </row>
    <row r="905" spans="1:4" x14ac:dyDescent="0.25">
      <c r="A905" t="s">
        <v>91</v>
      </c>
      <c r="B905">
        <v>160000</v>
      </c>
      <c r="C905">
        <f t="shared" si="28"/>
        <v>0.31172745381032307</v>
      </c>
      <c r="D905" t="b">
        <f t="shared" si="29"/>
        <v>0</v>
      </c>
    </row>
    <row r="906" spans="1:4" x14ac:dyDescent="0.25">
      <c r="A906" t="s">
        <v>91</v>
      </c>
      <c r="B906">
        <v>187500</v>
      </c>
      <c r="C906">
        <f t="shared" si="28"/>
        <v>2.1006945819617231E-2</v>
      </c>
      <c r="D906" t="b">
        <f t="shared" si="29"/>
        <v>0</v>
      </c>
    </row>
    <row r="907" spans="1:4" x14ac:dyDescent="0.25">
      <c r="A907" t="s">
        <v>91</v>
      </c>
      <c r="B907">
        <v>147000</v>
      </c>
      <c r="C907">
        <f t="shared" si="28"/>
        <v>0.46902007908993121</v>
      </c>
      <c r="D907" t="b">
        <f t="shared" si="29"/>
        <v>0</v>
      </c>
    </row>
    <row r="908" spans="1:4" x14ac:dyDescent="0.25">
      <c r="A908" t="s">
        <v>91</v>
      </c>
      <c r="B908">
        <v>252000</v>
      </c>
      <c r="C908">
        <f t="shared" si="28"/>
        <v>0.80142035586074989</v>
      </c>
      <c r="D908" t="b">
        <f t="shared" si="29"/>
        <v>0</v>
      </c>
    </row>
    <row r="909" spans="1:4" x14ac:dyDescent="0.25">
      <c r="A909" t="s">
        <v>91</v>
      </c>
      <c r="B909">
        <v>136500</v>
      </c>
      <c r="C909">
        <f t="shared" si="28"/>
        <v>0.5960641225849993</v>
      </c>
      <c r="D909" t="b">
        <f t="shared" si="29"/>
        <v>0</v>
      </c>
    </row>
    <row r="910" spans="1:4" x14ac:dyDescent="0.25">
      <c r="A910" t="s">
        <v>91</v>
      </c>
      <c r="B910">
        <v>146000</v>
      </c>
      <c r="C910">
        <f t="shared" si="28"/>
        <v>0.48111951180374724</v>
      </c>
      <c r="D910" t="b">
        <f t="shared" si="29"/>
        <v>0</v>
      </c>
    </row>
    <row r="911" spans="1:4" x14ac:dyDescent="0.25">
      <c r="A911" t="s">
        <v>91</v>
      </c>
      <c r="B911">
        <v>129000</v>
      </c>
      <c r="C911">
        <f t="shared" si="28"/>
        <v>0.68680986793861942</v>
      </c>
      <c r="D911" t="b">
        <f t="shared" si="29"/>
        <v>0</v>
      </c>
    </row>
    <row r="912" spans="1:4" x14ac:dyDescent="0.25">
      <c r="A912" t="s">
        <v>91</v>
      </c>
      <c r="B912">
        <v>176432</v>
      </c>
      <c r="C912">
        <f t="shared" si="28"/>
        <v>0.11290957545689838</v>
      </c>
      <c r="D912" t="b">
        <f t="shared" si="29"/>
        <v>0</v>
      </c>
    </row>
    <row r="913" spans="1:4" x14ac:dyDescent="0.25">
      <c r="A913" t="s">
        <v>91</v>
      </c>
      <c r="B913">
        <v>127000</v>
      </c>
      <c r="C913">
        <f t="shared" si="28"/>
        <v>0.71100873336625148</v>
      </c>
      <c r="D913" t="b">
        <f t="shared" si="29"/>
        <v>0</v>
      </c>
    </row>
    <row r="914" spans="1:4" x14ac:dyDescent="0.25">
      <c r="A914" t="s">
        <v>91</v>
      </c>
      <c r="B914">
        <v>128000</v>
      </c>
      <c r="C914">
        <f t="shared" si="28"/>
        <v>0.69890930065243539</v>
      </c>
      <c r="D914" t="b">
        <f t="shared" si="29"/>
        <v>0</v>
      </c>
    </row>
    <row r="915" spans="1:4" x14ac:dyDescent="0.25">
      <c r="A915" t="s">
        <v>91</v>
      </c>
      <c r="B915">
        <v>157000</v>
      </c>
      <c r="C915">
        <f t="shared" si="28"/>
        <v>0.3480257519517711</v>
      </c>
      <c r="D915" t="b">
        <f t="shared" si="29"/>
        <v>0</v>
      </c>
    </row>
    <row r="916" spans="1:4" x14ac:dyDescent="0.25">
      <c r="A916" t="s">
        <v>91</v>
      </c>
      <c r="B916">
        <v>60000</v>
      </c>
      <c r="C916">
        <f t="shared" si="28"/>
        <v>1.5216707251919241</v>
      </c>
      <c r="D916" t="b">
        <f t="shared" si="29"/>
        <v>0</v>
      </c>
    </row>
    <row r="917" spans="1:4" x14ac:dyDescent="0.25">
      <c r="A917" t="s">
        <v>91</v>
      </c>
      <c r="B917">
        <v>119500</v>
      </c>
      <c r="C917">
        <f t="shared" si="28"/>
        <v>0.80175447871987149</v>
      </c>
      <c r="D917" t="b">
        <f t="shared" si="29"/>
        <v>0</v>
      </c>
    </row>
    <row r="918" spans="1:4" x14ac:dyDescent="0.25">
      <c r="A918" t="s">
        <v>91</v>
      </c>
      <c r="B918">
        <v>135000</v>
      </c>
      <c r="C918">
        <f t="shared" si="28"/>
        <v>0.61421327165572337</v>
      </c>
      <c r="D918" t="b">
        <f t="shared" si="29"/>
        <v>0</v>
      </c>
    </row>
    <row r="919" spans="1:4" x14ac:dyDescent="0.25">
      <c r="A919" t="s">
        <v>91</v>
      </c>
      <c r="B919">
        <v>159500</v>
      </c>
      <c r="C919">
        <f t="shared" si="28"/>
        <v>0.31777717016723106</v>
      </c>
      <c r="D919" t="b">
        <f t="shared" si="29"/>
        <v>0</v>
      </c>
    </row>
    <row r="920" spans="1:4" x14ac:dyDescent="0.25">
      <c r="A920" t="s">
        <v>91</v>
      </c>
      <c r="B920">
        <v>325000</v>
      </c>
      <c r="C920">
        <f t="shared" si="28"/>
        <v>1.6846789439693188</v>
      </c>
      <c r="D920" t="b">
        <f t="shared" si="29"/>
        <v>0</v>
      </c>
    </row>
    <row r="921" spans="1:4" x14ac:dyDescent="0.25">
      <c r="A921" t="s">
        <v>91</v>
      </c>
      <c r="B921">
        <v>179900</v>
      </c>
      <c r="C921">
        <f t="shared" si="28"/>
        <v>7.0948742805384449E-2</v>
      </c>
      <c r="D921" t="b">
        <f t="shared" si="29"/>
        <v>0</v>
      </c>
    </row>
    <row r="922" spans="1:4" x14ac:dyDescent="0.25">
      <c r="A922" t="s">
        <v>91</v>
      </c>
      <c r="B922">
        <v>274725</v>
      </c>
      <c r="C922">
        <f t="shared" si="28"/>
        <v>1.0763799642822187</v>
      </c>
      <c r="D922" t="b">
        <f t="shared" si="29"/>
        <v>0</v>
      </c>
    </row>
    <row r="923" spans="1:4" x14ac:dyDescent="0.25">
      <c r="A923" t="s">
        <v>91</v>
      </c>
      <c r="B923">
        <v>181000</v>
      </c>
      <c r="C923">
        <f t="shared" si="28"/>
        <v>5.7639366820186839E-2</v>
      </c>
      <c r="D923" t="b">
        <f t="shared" si="29"/>
        <v>0</v>
      </c>
    </row>
    <row r="924" spans="1:4" x14ac:dyDescent="0.25">
      <c r="A924" t="s">
        <v>91</v>
      </c>
      <c r="B924">
        <v>280000</v>
      </c>
      <c r="C924">
        <f t="shared" si="28"/>
        <v>1.1402044718475983</v>
      </c>
      <c r="D924" t="b">
        <f t="shared" si="29"/>
        <v>0</v>
      </c>
    </row>
    <row r="925" spans="1:4" x14ac:dyDescent="0.25">
      <c r="A925" t="s">
        <v>91</v>
      </c>
      <c r="B925">
        <v>188000</v>
      </c>
      <c r="C925">
        <f t="shared" si="28"/>
        <v>2.7056662176525238E-2</v>
      </c>
      <c r="D925" t="b">
        <f t="shared" si="29"/>
        <v>0</v>
      </c>
    </row>
    <row r="926" spans="1:4" x14ac:dyDescent="0.25">
      <c r="A926" t="s">
        <v>91</v>
      </c>
      <c r="B926">
        <v>205000</v>
      </c>
      <c r="C926">
        <f t="shared" si="28"/>
        <v>0.23274701831139744</v>
      </c>
      <c r="D926" t="b">
        <f t="shared" si="29"/>
        <v>0</v>
      </c>
    </row>
    <row r="927" spans="1:4" x14ac:dyDescent="0.25">
      <c r="A927" t="s">
        <v>91</v>
      </c>
      <c r="B927">
        <v>129900</v>
      </c>
      <c r="C927">
        <f t="shared" si="28"/>
        <v>0.67592037849618503</v>
      </c>
      <c r="D927" t="b">
        <f t="shared" si="29"/>
        <v>0</v>
      </c>
    </row>
    <row r="928" spans="1:4" x14ac:dyDescent="0.25">
      <c r="A928" t="s">
        <v>91</v>
      </c>
      <c r="B928">
        <v>134500</v>
      </c>
      <c r="C928">
        <f t="shared" si="28"/>
        <v>0.62026298801263136</v>
      </c>
      <c r="D928" t="b">
        <f t="shared" si="29"/>
        <v>0</v>
      </c>
    </row>
    <row r="929" spans="1:4" x14ac:dyDescent="0.25">
      <c r="A929" t="s">
        <v>91</v>
      </c>
      <c r="B929">
        <v>117000</v>
      </c>
      <c r="C929">
        <f t="shared" si="28"/>
        <v>0.83200306050441153</v>
      </c>
      <c r="D929" t="b">
        <f t="shared" si="29"/>
        <v>0</v>
      </c>
    </row>
    <row r="930" spans="1:4" x14ac:dyDescent="0.25">
      <c r="A930" t="s">
        <v>91</v>
      </c>
      <c r="B930">
        <v>318000</v>
      </c>
      <c r="C930">
        <f t="shared" si="28"/>
        <v>1.5999829149726066</v>
      </c>
      <c r="D930" t="b">
        <f t="shared" si="29"/>
        <v>0</v>
      </c>
    </row>
    <row r="931" spans="1:4" x14ac:dyDescent="0.25">
      <c r="A931" t="s">
        <v>91</v>
      </c>
      <c r="B931">
        <v>184100</v>
      </c>
      <c r="C931">
        <f t="shared" si="28"/>
        <v>2.0131125407357207E-2</v>
      </c>
      <c r="D931" t="b">
        <f t="shared" si="29"/>
        <v>0</v>
      </c>
    </row>
    <row r="932" spans="1:4" x14ac:dyDescent="0.25">
      <c r="A932" t="s">
        <v>91</v>
      </c>
      <c r="B932">
        <v>130000</v>
      </c>
      <c r="C932">
        <f t="shared" si="28"/>
        <v>0.67471043522480345</v>
      </c>
      <c r="D932" t="b">
        <f t="shared" si="29"/>
        <v>0</v>
      </c>
    </row>
    <row r="933" spans="1:4" x14ac:dyDescent="0.25">
      <c r="A933" t="s">
        <v>91</v>
      </c>
      <c r="B933">
        <v>140000</v>
      </c>
      <c r="C933">
        <f t="shared" si="28"/>
        <v>0.55371610808664329</v>
      </c>
      <c r="D933" t="b">
        <f t="shared" si="29"/>
        <v>0</v>
      </c>
    </row>
    <row r="934" spans="1:4" x14ac:dyDescent="0.25">
      <c r="A934" t="s">
        <v>91</v>
      </c>
      <c r="B934">
        <v>133700</v>
      </c>
      <c r="C934">
        <f t="shared" si="28"/>
        <v>0.62994253418368418</v>
      </c>
      <c r="D934" t="b">
        <f t="shared" si="29"/>
        <v>0</v>
      </c>
    </row>
    <row r="935" spans="1:4" x14ac:dyDescent="0.25">
      <c r="A935" t="s">
        <v>91</v>
      </c>
      <c r="B935">
        <v>118400</v>
      </c>
      <c r="C935">
        <f t="shared" si="28"/>
        <v>0.81506385470506915</v>
      </c>
      <c r="D935" t="b">
        <f t="shared" si="29"/>
        <v>0</v>
      </c>
    </row>
    <row r="936" spans="1:4" x14ac:dyDescent="0.25">
      <c r="A936" t="s">
        <v>91</v>
      </c>
      <c r="B936">
        <v>212900</v>
      </c>
      <c r="C936">
        <f t="shared" si="28"/>
        <v>0.32833253675054391</v>
      </c>
      <c r="D936" t="b">
        <f t="shared" si="29"/>
        <v>0</v>
      </c>
    </row>
    <row r="937" spans="1:4" x14ac:dyDescent="0.25">
      <c r="A937" t="s">
        <v>91</v>
      </c>
      <c r="B937">
        <v>112000</v>
      </c>
      <c r="C937">
        <f t="shared" si="28"/>
        <v>0.89250022407349161</v>
      </c>
      <c r="D937" t="b">
        <f t="shared" si="29"/>
        <v>0</v>
      </c>
    </row>
    <row r="938" spans="1:4" x14ac:dyDescent="0.25">
      <c r="A938" t="s">
        <v>91</v>
      </c>
      <c r="B938">
        <v>118000</v>
      </c>
      <c r="C938">
        <f t="shared" si="28"/>
        <v>0.81990362779059556</v>
      </c>
      <c r="D938" t="b">
        <f t="shared" si="29"/>
        <v>0</v>
      </c>
    </row>
    <row r="939" spans="1:4" x14ac:dyDescent="0.25">
      <c r="A939" t="s">
        <v>91</v>
      </c>
      <c r="B939">
        <v>163900</v>
      </c>
      <c r="C939">
        <f t="shared" si="28"/>
        <v>0.26453966622644065</v>
      </c>
      <c r="D939" t="b">
        <f t="shared" si="29"/>
        <v>0</v>
      </c>
    </row>
    <row r="940" spans="1:4" x14ac:dyDescent="0.25">
      <c r="A940" t="s">
        <v>91</v>
      </c>
      <c r="B940">
        <v>115000</v>
      </c>
      <c r="C940">
        <f t="shared" si="28"/>
        <v>0.85620192593204358</v>
      </c>
      <c r="D940" t="b">
        <f t="shared" si="29"/>
        <v>0</v>
      </c>
    </row>
    <row r="941" spans="1:4" x14ac:dyDescent="0.25">
      <c r="A941" t="s">
        <v>91</v>
      </c>
      <c r="B941">
        <v>259000</v>
      </c>
      <c r="C941">
        <f t="shared" si="28"/>
        <v>0.88611638485746202</v>
      </c>
      <c r="D941" t="b">
        <f t="shared" si="29"/>
        <v>0</v>
      </c>
    </row>
    <row r="942" spans="1:4" x14ac:dyDescent="0.25">
      <c r="A942" t="s">
        <v>91</v>
      </c>
      <c r="B942">
        <v>215000</v>
      </c>
      <c r="C942">
        <f t="shared" si="28"/>
        <v>0.35374134544955754</v>
      </c>
      <c r="D942" t="b">
        <f t="shared" si="29"/>
        <v>0</v>
      </c>
    </row>
    <row r="943" spans="1:4" x14ac:dyDescent="0.25">
      <c r="A943" t="s">
        <v>91</v>
      </c>
      <c r="B943">
        <v>135000</v>
      </c>
      <c r="C943">
        <f t="shared" si="28"/>
        <v>0.61421327165572337</v>
      </c>
      <c r="D943" t="b">
        <f t="shared" si="29"/>
        <v>0</v>
      </c>
    </row>
    <row r="944" spans="1:4" x14ac:dyDescent="0.25">
      <c r="A944" t="s">
        <v>91</v>
      </c>
      <c r="B944">
        <v>93500</v>
      </c>
      <c r="C944">
        <f t="shared" si="28"/>
        <v>1.1163397292790878</v>
      </c>
      <c r="D944" t="b">
        <f t="shared" si="29"/>
        <v>0</v>
      </c>
    </row>
    <row r="945" spans="1:4" x14ac:dyDescent="0.25">
      <c r="A945" t="s">
        <v>91</v>
      </c>
      <c r="B945">
        <v>117500</v>
      </c>
      <c r="C945">
        <f t="shared" si="28"/>
        <v>0.82595334414750354</v>
      </c>
      <c r="D945" t="b">
        <f t="shared" si="29"/>
        <v>0</v>
      </c>
    </row>
    <row r="946" spans="1:4" x14ac:dyDescent="0.25">
      <c r="A946" t="s">
        <v>91</v>
      </c>
      <c r="B946">
        <v>239500</v>
      </c>
      <c r="C946">
        <f t="shared" si="28"/>
        <v>0.6501774469380498</v>
      </c>
      <c r="D946" t="b">
        <f t="shared" si="29"/>
        <v>0</v>
      </c>
    </row>
    <row r="947" spans="1:4" x14ac:dyDescent="0.25">
      <c r="A947" t="s">
        <v>91</v>
      </c>
      <c r="B947">
        <v>169000</v>
      </c>
      <c r="C947">
        <f t="shared" si="28"/>
        <v>0.20283255938597897</v>
      </c>
      <c r="D947" t="b">
        <f t="shared" si="29"/>
        <v>0</v>
      </c>
    </row>
    <row r="948" spans="1:4" x14ac:dyDescent="0.25">
      <c r="A948" t="s">
        <v>91</v>
      </c>
      <c r="B948">
        <v>102000</v>
      </c>
      <c r="C948">
        <f t="shared" si="28"/>
        <v>1.0134945512116518</v>
      </c>
      <c r="D948" t="b">
        <f t="shared" si="29"/>
        <v>0</v>
      </c>
    </row>
    <row r="949" spans="1:4" x14ac:dyDescent="0.25">
      <c r="A949" t="s">
        <v>91</v>
      </c>
      <c r="B949">
        <v>119000</v>
      </c>
      <c r="C949">
        <f t="shared" si="28"/>
        <v>0.80780419507677947</v>
      </c>
      <c r="D949" t="b">
        <f t="shared" si="29"/>
        <v>0</v>
      </c>
    </row>
    <row r="950" spans="1:4" x14ac:dyDescent="0.25">
      <c r="A950" t="s">
        <v>91</v>
      </c>
      <c r="B950">
        <v>94000</v>
      </c>
      <c r="C950">
        <f t="shared" si="28"/>
        <v>1.1102900129221798</v>
      </c>
      <c r="D950" t="b">
        <f t="shared" si="29"/>
        <v>0</v>
      </c>
    </row>
    <row r="951" spans="1:4" x14ac:dyDescent="0.25">
      <c r="A951" t="s">
        <v>91</v>
      </c>
      <c r="B951">
        <v>196000</v>
      </c>
      <c r="C951">
        <f t="shared" si="28"/>
        <v>0.12385212388705333</v>
      </c>
      <c r="D951" t="b">
        <f t="shared" si="29"/>
        <v>0</v>
      </c>
    </row>
    <row r="952" spans="1:4" x14ac:dyDescent="0.25">
      <c r="A952" t="s">
        <v>91</v>
      </c>
      <c r="B952">
        <v>144000</v>
      </c>
      <c r="C952">
        <f t="shared" si="28"/>
        <v>0.50531837723137929</v>
      </c>
      <c r="D952" t="b">
        <f t="shared" si="29"/>
        <v>0</v>
      </c>
    </row>
    <row r="953" spans="1:4" x14ac:dyDescent="0.25">
      <c r="A953" t="s">
        <v>91</v>
      </c>
      <c r="B953">
        <v>139000</v>
      </c>
      <c r="C953">
        <f t="shared" si="28"/>
        <v>0.56581554080045926</v>
      </c>
      <c r="D953" t="b">
        <f t="shared" si="29"/>
        <v>0</v>
      </c>
    </row>
    <row r="954" spans="1:4" x14ac:dyDescent="0.25">
      <c r="A954" t="s">
        <v>91</v>
      </c>
      <c r="B954">
        <v>197500</v>
      </c>
      <c r="C954">
        <f t="shared" si="28"/>
        <v>0.14200127295777734</v>
      </c>
      <c r="D954" t="b">
        <f t="shared" si="29"/>
        <v>0</v>
      </c>
    </row>
    <row r="955" spans="1:4" x14ac:dyDescent="0.25">
      <c r="A955" t="s">
        <v>91</v>
      </c>
      <c r="B955">
        <v>424870</v>
      </c>
      <c r="C955">
        <f t="shared" si="28"/>
        <v>2.8930492890981236</v>
      </c>
      <c r="D955" t="b">
        <f t="shared" si="29"/>
        <v>0</v>
      </c>
    </row>
    <row r="956" spans="1:4" x14ac:dyDescent="0.25">
      <c r="A956" t="s">
        <v>91</v>
      </c>
      <c r="B956">
        <v>80000</v>
      </c>
      <c r="C956">
        <f t="shared" si="28"/>
        <v>1.279682070915604</v>
      </c>
      <c r="D956" t="b">
        <f t="shared" si="29"/>
        <v>0</v>
      </c>
    </row>
    <row r="957" spans="1:4" x14ac:dyDescent="0.25">
      <c r="A957" t="s">
        <v>91</v>
      </c>
      <c r="B957">
        <v>149000</v>
      </c>
      <c r="C957">
        <f t="shared" si="28"/>
        <v>0.44482121366229921</v>
      </c>
      <c r="D957" t="b">
        <f t="shared" si="29"/>
        <v>0</v>
      </c>
    </row>
    <row r="958" spans="1:4" x14ac:dyDescent="0.25">
      <c r="A958" t="s">
        <v>91</v>
      </c>
      <c r="B958">
        <v>180000</v>
      </c>
      <c r="C958">
        <f t="shared" si="28"/>
        <v>6.9738799534002846E-2</v>
      </c>
      <c r="D958" t="b">
        <f t="shared" si="29"/>
        <v>0</v>
      </c>
    </row>
    <row r="959" spans="1:4" x14ac:dyDescent="0.25">
      <c r="A959" t="s">
        <v>91</v>
      </c>
      <c r="B959">
        <v>174500</v>
      </c>
      <c r="C959">
        <f t="shared" si="28"/>
        <v>0.1362856794599909</v>
      </c>
      <c r="D959" t="b">
        <f t="shared" si="29"/>
        <v>0</v>
      </c>
    </row>
    <row r="960" spans="1:4" x14ac:dyDescent="0.25">
      <c r="A960" t="s">
        <v>91</v>
      </c>
      <c r="B960">
        <v>116900</v>
      </c>
      <c r="C960">
        <f t="shared" si="28"/>
        <v>0.8332130037757931</v>
      </c>
      <c r="D960" t="b">
        <f t="shared" si="29"/>
        <v>0</v>
      </c>
    </row>
    <row r="961" spans="1:4" x14ac:dyDescent="0.25">
      <c r="A961" t="s">
        <v>91</v>
      </c>
      <c r="B961">
        <v>143000</v>
      </c>
      <c r="C961">
        <f t="shared" si="28"/>
        <v>0.51741780994519526</v>
      </c>
      <c r="D961" t="b">
        <f t="shared" si="29"/>
        <v>0</v>
      </c>
    </row>
    <row r="962" spans="1:4" x14ac:dyDescent="0.25">
      <c r="A962" t="s">
        <v>91</v>
      </c>
      <c r="B962">
        <v>124000</v>
      </c>
      <c r="C962">
        <f t="shared" si="28"/>
        <v>0.7473070315076995</v>
      </c>
      <c r="D962" t="b">
        <f t="shared" si="29"/>
        <v>0</v>
      </c>
    </row>
    <row r="963" spans="1:4" x14ac:dyDescent="0.25">
      <c r="A963" t="s">
        <v>91</v>
      </c>
      <c r="B963">
        <v>149900</v>
      </c>
      <c r="C963">
        <f t="shared" ref="C963:C1026" si="30">ABS((B963-$G$4)/$G$8)</f>
        <v>0.43393172421986476</v>
      </c>
      <c r="D963" t="b">
        <f t="shared" ref="D963:D1026" si="31">IF(C963&gt;3,TRUE,FALSE)</f>
        <v>0</v>
      </c>
    </row>
    <row r="964" spans="1:4" x14ac:dyDescent="0.25">
      <c r="A964" t="s">
        <v>91</v>
      </c>
      <c r="B964">
        <v>230000</v>
      </c>
      <c r="C964">
        <f t="shared" si="30"/>
        <v>0.53523283615679773</v>
      </c>
      <c r="D964" t="b">
        <f t="shared" si="31"/>
        <v>0</v>
      </c>
    </row>
    <row r="965" spans="1:4" x14ac:dyDescent="0.25">
      <c r="A965" t="s">
        <v>91</v>
      </c>
      <c r="B965">
        <v>120500</v>
      </c>
      <c r="C965">
        <f t="shared" si="30"/>
        <v>0.78965504600605552</v>
      </c>
      <c r="D965" t="b">
        <f t="shared" si="31"/>
        <v>0</v>
      </c>
    </row>
    <row r="966" spans="1:4" x14ac:dyDescent="0.25">
      <c r="A966" t="s">
        <v>91</v>
      </c>
      <c r="B966">
        <v>201800</v>
      </c>
      <c r="C966">
        <f t="shared" si="30"/>
        <v>0.19402883362718618</v>
      </c>
      <c r="D966" t="b">
        <f t="shared" si="31"/>
        <v>0</v>
      </c>
    </row>
    <row r="967" spans="1:4" x14ac:dyDescent="0.25">
      <c r="A967" t="s">
        <v>91</v>
      </c>
      <c r="B967">
        <v>218000</v>
      </c>
      <c r="C967">
        <f t="shared" si="30"/>
        <v>0.39003964359100557</v>
      </c>
      <c r="D967" t="b">
        <f t="shared" si="31"/>
        <v>0</v>
      </c>
    </row>
    <row r="968" spans="1:4" x14ac:dyDescent="0.25">
      <c r="A968" t="s">
        <v>91</v>
      </c>
      <c r="B968">
        <v>179900</v>
      </c>
      <c r="C968">
        <f t="shared" si="30"/>
        <v>7.0948742805384449E-2</v>
      </c>
      <c r="D968" t="b">
        <f t="shared" si="31"/>
        <v>0</v>
      </c>
    </row>
    <row r="969" spans="1:4" x14ac:dyDescent="0.25">
      <c r="A969" t="s">
        <v>91</v>
      </c>
      <c r="B969">
        <v>235128</v>
      </c>
      <c r="C969">
        <f t="shared" si="30"/>
        <v>0.59727872711324625</v>
      </c>
      <c r="D969" t="b">
        <f t="shared" si="31"/>
        <v>0</v>
      </c>
    </row>
    <row r="970" spans="1:4" x14ac:dyDescent="0.25">
      <c r="A970" t="s">
        <v>91</v>
      </c>
      <c r="B970">
        <v>185000</v>
      </c>
      <c r="C970">
        <f t="shared" si="30"/>
        <v>9.241635964922796E-3</v>
      </c>
      <c r="D970" t="b">
        <f t="shared" si="31"/>
        <v>0</v>
      </c>
    </row>
    <row r="971" spans="1:4" x14ac:dyDescent="0.25">
      <c r="A971" t="s">
        <v>91</v>
      </c>
      <c r="B971">
        <v>224000</v>
      </c>
      <c r="C971">
        <f t="shared" si="30"/>
        <v>0.46263623987390162</v>
      </c>
      <c r="D971" t="b">
        <f t="shared" si="31"/>
        <v>0</v>
      </c>
    </row>
    <row r="972" spans="1:4" x14ac:dyDescent="0.25">
      <c r="A972" t="s">
        <v>91</v>
      </c>
      <c r="B972">
        <v>129000</v>
      </c>
      <c r="C972">
        <f t="shared" si="30"/>
        <v>0.68680986793861942</v>
      </c>
      <c r="D972" t="b">
        <f t="shared" si="31"/>
        <v>0</v>
      </c>
    </row>
    <row r="973" spans="1:4" x14ac:dyDescent="0.25">
      <c r="A973" t="s">
        <v>91</v>
      </c>
      <c r="B973">
        <v>194000</v>
      </c>
      <c r="C973">
        <f t="shared" si="30"/>
        <v>9.9653258459421301E-2</v>
      </c>
      <c r="D973" t="b">
        <f t="shared" si="31"/>
        <v>0</v>
      </c>
    </row>
    <row r="974" spans="1:4" x14ac:dyDescent="0.25">
      <c r="A974" t="s">
        <v>91</v>
      </c>
      <c r="B974">
        <v>233170</v>
      </c>
      <c r="C974">
        <f t="shared" si="30"/>
        <v>0.57358803785959445</v>
      </c>
      <c r="D974" t="b">
        <f t="shared" si="31"/>
        <v>0</v>
      </c>
    </row>
    <row r="975" spans="1:4" x14ac:dyDescent="0.25">
      <c r="A975" t="s">
        <v>91</v>
      </c>
      <c r="B975">
        <v>245350</v>
      </c>
      <c r="C975">
        <f t="shared" si="30"/>
        <v>0.72095912831387343</v>
      </c>
      <c r="D975" t="b">
        <f t="shared" si="31"/>
        <v>0</v>
      </c>
    </row>
    <row r="976" spans="1:4" x14ac:dyDescent="0.25">
      <c r="A976" t="s">
        <v>91</v>
      </c>
      <c r="B976">
        <v>173000</v>
      </c>
      <c r="C976">
        <f t="shared" si="30"/>
        <v>0.15443482853071494</v>
      </c>
      <c r="D976" t="b">
        <f t="shared" si="31"/>
        <v>0</v>
      </c>
    </row>
    <row r="977" spans="1:4" x14ac:dyDescent="0.25">
      <c r="A977" t="s">
        <v>91</v>
      </c>
      <c r="B977">
        <v>235000</v>
      </c>
      <c r="C977">
        <f t="shared" si="30"/>
        <v>0.5957299997258777</v>
      </c>
      <c r="D977" t="b">
        <f t="shared" si="31"/>
        <v>0</v>
      </c>
    </row>
    <row r="978" spans="1:4" x14ac:dyDescent="0.25">
      <c r="A978" t="s">
        <v>91</v>
      </c>
      <c r="B978">
        <v>625000</v>
      </c>
      <c r="C978">
        <f t="shared" si="30"/>
        <v>5.3145087581141217</v>
      </c>
      <c r="D978" t="b">
        <f t="shared" si="31"/>
        <v>1</v>
      </c>
    </row>
    <row r="979" spans="1:4" x14ac:dyDescent="0.25">
      <c r="A979" t="s">
        <v>91</v>
      </c>
      <c r="B979">
        <v>171000</v>
      </c>
      <c r="C979">
        <f t="shared" si="30"/>
        <v>0.17863369395834694</v>
      </c>
      <c r="D979" t="b">
        <f t="shared" si="31"/>
        <v>0</v>
      </c>
    </row>
    <row r="980" spans="1:4" x14ac:dyDescent="0.25">
      <c r="A980" t="s">
        <v>91</v>
      </c>
      <c r="B980">
        <v>163000</v>
      </c>
      <c r="C980">
        <f t="shared" si="30"/>
        <v>0.27542915566887505</v>
      </c>
      <c r="D980" t="b">
        <f t="shared" si="31"/>
        <v>0</v>
      </c>
    </row>
    <row r="981" spans="1:4" x14ac:dyDescent="0.25">
      <c r="A981" t="s">
        <v>91</v>
      </c>
      <c r="B981">
        <v>200500</v>
      </c>
      <c r="C981">
        <f t="shared" si="30"/>
        <v>0.17829957109922537</v>
      </c>
      <c r="D981" t="b">
        <f t="shared" si="31"/>
        <v>0</v>
      </c>
    </row>
    <row r="982" spans="1:4" x14ac:dyDescent="0.25">
      <c r="A982" t="s">
        <v>91</v>
      </c>
      <c r="B982">
        <v>239000</v>
      </c>
      <c r="C982">
        <f t="shared" si="30"/>
        <v>0.64412773058114181</v>
      </c>
      <c r="D982" t="b">
        <f t="shared" si="31"/>
        <v>0</v>
      </c>
    </row>
    <row r="983" spans="1:4" x14ac:dyDescent="0.25">
      <c r="A983" t="s">
        <v>91</v>
      </c>
      <c r="B983">
        <v>285000</v>
      </c>
      <c r="C983">
        <f t="shared" si="30"/>
        <v>1.2007016354166784</v>
      </c>
      <c r="D983" t="b">
        <f t="shared" si="31"/>
        <v>0</v>
      </c>
    </row>
    <row r="984" spans="1:4" x14ac:dyDescent="0.25">
      <c r="A984" t="s">
        <v>91</v>
      </c>
      <c r="B984">
        <v>119500</v>
      </c>
      <c r="C984">
        <f t="shared" si="30"/>
        <v>0.80175447871987149</v>
      </c>
      <c r="D984" t="b">
        <f t="shared" si="31"/>
        <v>0</v>
      </c>
    </row>
    <row r="985" spans="1:4" x14ac:dyDescent="0.25">
      <c r="A985" t="s">
        <v>91</v>
      </c>
      <c r="B985">
        <v>115000</v>
      </c>
      <c r="C985">
        <f t="shared" si="30"/>
        <v>0.85620192593204358</v>
      </c>
      <c r="D985" t="b">
        <f t="shared" si="31"/>
        <v>0</v>
      </c>
    </row>
    <row r="986" spans="1:4" x14ac:dyDescent="0.25">
      <c r="A986" t="s">
        <v>91</v>
      </c>
      <c r="B986">
        <v>154900</v>
      </c>
      <c r="C986">
        <f t="shared" si="30"/>
        <v>0.37343456065078473</v>
      </c>
      <c r="D986" t="b">
        <f t="shared" si="31"/>
        <v>0</v>
      </c>
    </row>
    <row r="987" spans="1:4" x14ac:dyDescent="0.25">
      <c r="A987" t="s">
        <v>91</v>
      </c>
      <c r="B987">
        <v>93000</v>
      </c>
      <c r="C987">
        <f t="shared" si="30"/>
        <v>1.1223894456359957</v>
      </c>
      <c r="D987" t="b">
        <f t="shared" si="31"/>
        <v>0</v>
      </c>
    </row>
    <row r="988" spans="1:4" x14ac:dyDescent="0.25">
      <c r="A988" t="s">
        <v>91</v>
      </c>
      <c r="B988">
        <v>250000</v>
      </c>
      <c r="C988">
        <f t="shared" si="30"/>
        <v>0.77722149043311795</v>
      </c>
      <c r="D988" t="b">
        <f t="shared" si="31"/>
        <v>0</v>
      </c>
    </row>
    <row r="989" spans="1:4" x14ac:dyDescent="0.25">
      <c r="A989" t="s">
        <v>91</v>
      </c>
      <c r="B989">
        <v>745000</v>
      </c>
      <c r="C989">
        <f t="shared" si="30"/>
        <v>6.7664406837720428</v>
      </c>
      <c r="D989" t="b">
        <f t="shared" si="31"/>
        <v>1</v>
      </c>
    </row>
    <row r="990" spans="1:4" x14ac:dyDescent="0.25">
      <c r="A990" t="s">
        <v>91</v>
      </c>
      <c r="B990">
        <v>120000</v>
      </c>
      <c r="C990">
        <f t="shared" si="30"/>
        <v>0.7957047623629635</v>
      </c>
      <c r="D990" t="b">
        <f t="shared" si="31"/>
        <v>0</v>
      </c>
    </row>
    <row r="991" spans="1:4" x14ac:dyDescent="0.25">
      <c r="A991" t="s">
        <v>91</v>
      </c>
      <c r="B991">
        <v>186700</v>
      </c>
      <c r="C991">
        <f t="shared" si="30"/>
        <v>1.1327399648564423E-2</v>
      </c>
      <c r="D991" t="b">
        <f t="shared" si="31"/>
        <v>0</v>
      </c>
    </row>
    <row r="992" spans="1:4" x14ac:dyDescent="0.25">
      <c r="A992" t="s">
        <v>91</v>
      </c>
      <c r="B992">
        <v>104900</v>
      </c>
      <c r="C992">
        <f t="shared" si="30"/>
        <v>0.97840619634158532</v>
      </c>
      <c r="D992" t="b">
        <f t="shared" si="31"/>
        <v>0</v>
      </c>
    </row>
    <row r="993" spans="1:4" x14ac:dyDescent="0.25">
      <c r="A993" t="s">
        <v>91</v>
      </c>
      <c r="B993">
        <v>262000</v>
      </c>
      <c r="C993">
        <f t="shared" si="30"/>
        <v>0.92241468299891005</v>
      </c>
      <c r="D993" t="b">
        <f t="shared" si="31"/>
        <v>0</v>
      </c>
    </row>
    <row r="994" spans="1:4" x14ac:dyDescent="0.25">
      <c r="A994" t="s">
        <v>91</v>
      </c>
      <c r="B994">
        <v>195000</v>
      </c>
      <c r="C994">
        <f t="shared" si="30"/>
        <v>0.11175269117323731</v>
      </c>
      <c r="D994" t="b">
        <f t="shared" si="31"/>
        <v>0</v>
      </c>
    </row>
    <row r="995" spans="1:4" x14ac:dyDescent="0.25">
      <c r="A995" t="s">
        <v>91</v>
      </c>
      <c r="B995">
        <v>189000</v>
      </c>
      <c r="C995">
        <f t="shared" si="30"/>
        <v>3.9156094890341248E-2</v>
      </c>
      <c r="D995" t="b">
        <f t="shared" si="31"/>
        <v>0</v>
      </c>
    </row>
    <row r="996" spans="1:4" x14ac:dyDescent="0.25">
      <c r="A996" t="s">
        <v>91</v>
      </c>
      <c r="B996">
        <v>125000</v>
      </c>
      <c r="C996">
        <f t="shared" si="30"/>
        <v>0.73520759879388342</v>
      </c>
      <c r="D996" t="b">
        <f t="shared" si="31"/>
        <v>0</v>
      </c>
    </row>
    <row r="997" spans="1:4" x14ac:dyDescent="0.25">
      <c r="A997" t="s">
        <v>91</v>
      </c>
      <c r="B997">
        <v>158000</v>
      </c>
      <c r="C997">
        <f t="shared" si="30"/>
        <v>0.33592631923795507</v>
      </c>
      <c r="D997" t="b">
        <f t="shared" si="31"/>
        <v>0</v>
      </c>
    </row>
    <row r="998" spans="1:4" x14ac:dyDescent="0.25">
      <c r="A998" t="s">
        <v>91</v>
      </c>
      <c r="B998">
        <v>176000</v>
      </c>
      <c r="C998">
        <f t="shared" si="30"/>
        <v>0.1181365303892669</v>
      </c>
      <c r="D998" t="b">
        <f t="shared" si="31"/>
        <v>0</v>
      </c>
    </row>
    <row r="999" spans="1:4" x14ac:dyDescent="0.25">
      <c r="A999" t="s">
        <v>91</v>
      </c>
      <c r="B999">
        <v>219210</v>
      </c>
      <c r="C999">
        <f t="shared" si="30"/>
        <v>0.40467995717472294</v>
      </c>
      <c r="D999" t="b">
        <f t="shared" si="31"/>
        <v>0</v>
      </c>
    </row>
    <row r="1000" spans="1:4" x14ac:dyDescent="0.25">
      <c r="A1000" t="s">
        <v>91</v>
      </c>
      <c r="B1000">
        <v>144000</v>
      </c>
      <c r="C1000">
        <f t="shared" si="30"/>
        <v>0.50531837723137929</v>
      </c>
      <c r="D1000" t="b">
        <f t="shared" si="31"/>
        <v>0</v>
      </c>
    </row>
    <row r="1001" spans="1:4" x14ac:dyDescent="0.25">
      <c r="A1001" t="s">
        <v>91</v>
      </c>
      <c r="B1001">
        <v>178000</v>
      </c>
      <c r="C1001">
        <f t="shared" si="30"/>
        <v>9.3937664961634873E-2</v>
      </c>
      <c r="D1001" t="b">
        <f t="shared" si="31"/>
        <v>0</v>
      </c>
    </row>
    <row r="1002" spans="1:4" x14ac:dyDescent="0.25">
      <c r="A1002" t="s">
        <v>91</v>
      </c>
      <c r="B1002">
        <v>148000</v>
      </c>
      <c r="C1002">
        <f t="shared" si="30"/>
        <v>0.45692064637611518</v>
      </c>
      <c r="D1002" t="b">
        <f t="shared" si="31"/>
        <v>0</v>
      </c>
    </row>
    <row r="1003" spans="1:4" x14ac:dyDescent="0.25">
      <c r="A1003" t="s">
        <v>91</v>
      </c>
      <c r="B1003">
        <v>116050</v>
      </c>
      <c r="C1003">
        <f t="shared" si="30"/>
        <v>0.84349752158253677</v>
      </c>
      <c r="D1003" t="b">
        <f t="shared" si="31"/>
        <v>0</v>
      </c>
    </row>
    <row r="1004" spans="1:4" x14ac:dyDescent="0.25">
      <c r="A1004" t="s">
        <v>91</v>
      </c>
      <c r="B1004">
        <v>197900</v>
      </c>
      <c r="C1004">
        <f t="shared" si="30"/>
        <v>0.14684104604330375</v>
      </c>
      <c r="D1004" t="b">
        <f t="shared" si="31"/>
        <v>0</v>
      </c>
    </row>
    <row r="1005" spans="1:4" x14ac:dyDescent="0.25">
      <c r="A1005" t="s">
        <v>91</v>
      </c>
      <c r="B1005">
        <v>117000</v>
      </c>
      <c r="C1005">
        <f t="shared" si="30"/>
        <v>0.83200306050441153</v>
      </c>
      <c r="D1005" t="b">
        <f t="shared" si="31"/>
        <v>0</v>
      </c>
    </row>
    <row r="1006" spans="1:4" x14ac:dyDescent="0.25">
      <c r="A1006" t="s">
        <v>91</v>
      </c>
      <c r="B1006">
        <v>213000</v>
      </c>
      <c r="C1006">
        <f t="shared" si="30"/>
        <v>0.32954248002192549</v>
      </c>
      <c r="D1006" t="b">
        <f t="shared" si="31"/>
        <v>0</v>
      </c>
    </row>
    <row r="1007" spans="1:4" x14ac:dyDescent="0.25">
      <c r="A1007" t="s">
        <v>91</v>
      </c>
      <c r="B1007">
        <v>153500</v>
      </c>
      <c r="C1007">
        <f t="shared" si="30"/>
        <v>0.39037376645012717</v>
      </c>
      <c r="D1007" t="b">
        <f t="shared" si="31"/>
        <v>0</v>
      </c>
    </row>
    <row r="1008" spans="1:4" x14ac:dyDescent="0.25">
      <c r="A1008" t="s">
        <v>91</v>
      </c>
      <c r="B1008">
        <v>271900</v>
      </c>
      <c r="C1008">
        <f t="shared" si="30"/>
        <v>1.0421990668656886</v>
      </c>
      <c r="D1008" t="b">
        <f t="shared" si="31"/>
        <v>0</v>
      </c>
    </row>
    <row r="1009" spans="1:4" x14ac:dyDescent="0.25">
      <c r="A1009" t="s">
        <v>91</v>
      </c>
      <c r="B1009">
        <v>107000</v>
      </c>
      <c r="C1009">
        <f t="shared" si="30"/>
        <v>0.95299738764257169</v>
      </c>
      <c r="D1009" t="b">
        <f t="shared" si="31"/>
        <v>0</v>
      </c>
    </row>
    <row r="1010" spans="1:4" x14ac:dyDescent="0.25">
      <c r="A1010" t="s">
        <v>91</v>
      </c>
      <c r="B1010">
        <v>200000</v>
      </c>
      <c r="C1010">
        <f t="shared" si="30"/>
        <v>0.17224985474231738</v>
      </c>
      <c r="D1010" t="b">
        <f t="shared" si="31"/>
        <v>0</v>
      </c>
    </row>
    <row r="1011" spans="1:4" x14ac:dyDescent="0.25">
      <c r="A1011" t="s">
        <v>91</v>
      </c>
      <c r="B1011">
        <v>140000</v>
      </c>
      <c r="C1011">
        <f t="shared" si="30"/>
        <v>0.55371610808664329</v>
      </c>
      <c r="D1011" t="b">
        <f t="shared" si="31"/>
        <v>0</v>
      </c>
    </row>
    <row r="1012" spans="1:4" x14ac:dyDescent="0.25">
      <c r="A1012" t="s">
        <v>91</v>
      </c>
      <c r="B1012">
        <v>290000</v>
      </c>
      <c r="C1012">
        <f t="shared" si="30"/>
        <v>1.2611987989857583</v>
      </c>
      <c r="D1012" t="b">
        <f t="shared" si="31"/>
        <v>0</v>
      </c>
    </row>
    <row r="1013" spans="1:4" x14ac:dyDescent="0.25">
      <c r="A1013" t="s">
        <v>91</v>
      </c>
      <c r="B1013">
        <v>189000</v>
      </c>
      <c r="C1013">
        <f t="shared" si="30"/>
        <v>3.9156094890341248E-2</v>
      </c>
      <c r="D1013" t="b">
        <f t="shared" si="31"/>
        <v>0</v>
      </c>
    </row>
    <row r="1014" spans="1:4" x14ac:dyDescent="0.25">
      <c r="A1014" t="s">
        <v>91</v>
      </c>
      <c r="B1014">
        <v>164000</v>
      </c>
      <c r="C1014">
        <f t="shared" si="30"/>
        <v>0.26332972295505902</v>
      </c>
      <c r="D1014" t="b">
        <f t="shared" si="31"/>
        <v>0</v>
      </c>
    </row>
    <row r="1015" spans="1:4" x14ac:dyDescent="0.25">
      <c r="A1015" t="s">
        <v>91</v>
      </c>
      <c r="B1015">
        <v>113000</v>
      </c>
      <c r="C1015">
        <f t="shared" si="30"/>
        <v>0.88040079135967564</v>
      </c>
      <c r="D1015" t="b">
        <f t="shared" si="31"/>
        <v>0</v>
      </c>
    </row>
    <row r="1016" spans="1:4" x14ac:dyDescent="0.25">
      <c r="A1016" t="s">
        <v>91</v>
      </c>
      <c r="B1016">
        <v>145000</v>
      </c>
      <c r="C1016">
        <f t="shared" si="30"/>
        <v>0.49321894451756326</v>
      </c>
      <c r="D1016" t="b">
        <f t="shared" si="31"/>
        <v>0</v>
      </c>
    </row>
    <row r="1017" spans="1:4" x14ac:dyDescent="0.25">
      <c r="A1017" t="s">
        <v>91</v>
      </c>
      <c r="B1017">
        <v>134500</v>
      </c>
      <c r="C1017">
        <f t="shared" si="30"/>
        <v>0.62026298801263136</v>
      </c>
      <c r="D1017" t="b">
        <f t="shared" si="31"/>
        <v>0</v>
      </c>
    </row>
    <row r="1018" spans="1:4" x14ac:dyDescent="0.25">
      <c r="A1018" t="s">
        <v>91</v>
      </c>
      <c r="B1018">
        <v>125000</v>
      </c>
      <c r="C1018">
        <f t="shared" si="30"/>
        <v>0.73520759879388342</v>
      </c>
      <c r="D1018" t="b">
        <f t="shared" si="31"/>
        <v>0</v>
      </c>
    </row>
    <row r="1019" spans="1:4" x14ac:dyDescent="0.25">
      <c r="A1019" t="s">
        <v>91</v>
      </c>
      <c r="B1019">
        <v>229456</v>
      </c>
      <c r="C1019">
        <f t="shared" si="30"/>
        <v>0.52865074476048179</v>
      </c>
      <c r="D1019" t="b">
        <f t="shared" si="31"/>
        <v>0</v>
      </c>
    </row>
    <row r="1020" spans="1:4" x14ac:dyDescent="0.25">
      <c r="A1020" t="s">
        <v>91</v>
      </c>
      <c r="B1020">
        <v>80500</v>
      </c>
      <c r="C1020">
        <f t="shared" si="30"/>
        <v>1.2736323545586961</v>
      </c>
      <c r="D1020" t="b">
        <f t="shared" si="31"/>
        <v>0</v>
      </c>
    </row>
    <row r="1021" spans="1:4" x14ac:dyDescent="0.25">
      <c r="A1021" t="s">
        <v>91</v>
      </c>
      <c r="B1021">
        <v>115000</v>
      </c>
      <c r="C1021">
        <f t="shared" si="30"/>
        <v>0.85620192593204358</v>
      </c>
      <c r="D1021" t="b">
        <f t="shared" si="31"/>
        <v>0</v>
      </c>
    </row>
    <row r="1022" spans="1:4" x14ac:dyDescent="0.25">
      <c r="A1022" t="s">
        <v>91</v>
      </c>
      <c r="B1022">
        <v>134000</v>
      </c>
      <c r="C1022">
        <f t="shared" si="30"/>
        <v>0.62631270436953934</v>
      </c>
      <c r="D1022" t="b">
        <f t="shared" si="31"/>
        <v>0</v>
      </c>
    </row>
    <row r="1023" spans="1:4" x14ac:dyDescent="0.25">
      <c r="A1023" t="s">
        <v>91</v>
      </c>
      <c r="B1023">
        <v>143000</v>
      </c>
      <c r="C1023">
        <f t="shared" si="30"/>
        <v>0.51741780994519526</v>
      </c>
      <c r="D1023" t="b">
        <f t="shared" si="31"/>
        <v>0</v>
      </c>
    </row>
    <row r="1024" spans="1:4" x14ac:dyDescent="0.25">
      <c r="A1024" t="s">
        <v>91</v>
      </c>
      <c r="B1024">
        <v>137900</v>
      </c>
      <c r="C1024">
        <f t="shared" si="30"/>
        <v>0.57912491678565692</v>
      </c>
      <c r="D1024" t="b">
        <f t="shared" si="31"/>
        <v>0</v>
      </c>
    </row>
    <row r="1025" spans="1:4" x14ac:dyDescent="0.25">
      <c r="A1025" t="s">
        <v>91</v>
      </c>
      <c r="B1025">
        <v>184000</v>
      </c>
      <c r="C1025">
        <f t="shared" si="30"/>
        <v>2.1341068678738806E-2</v>
      </c>
      <c r="D1025" t="b">
        <f t="shared" si="31"/>
        <v>0</v>
      </c>
    </row>
    <row r="1026" spans="1:4" x14ac:dyDescent="0.25">
      <c r="A1026" t="s">
        <v>91</v>
      </c>
      <c r="B1026">
        <v>145000</v>
      </c>
      <c r="C1026">
        <f t="shared" si="30"/>
        <v>0.49321894451756326</v>
      </c>
      <c r="D1026" t="b">
        <f t="shared" si="31"/>
        <v>0</v>
      </c>
    </row>
    <row r="1027" spans="1:4" x14ac:dyDescent="0.25">
      <c r="A1027" t="s">
        <v>91</v>
      </c>
      <c r="B1027">
        <v>214000</v>
      </c>
      <c r="C1027">
        <f t="shared" ref="C1027:C1090" si="32">ABS((B1027-$G$4)/$G$8)</f>
        <v>0.34164191273574152</v>
      </c>
      <c r="D1027" t="b">
        <f t="shared" ref="D1027:D1090" si="33">IF(C1027&gt;3,TRUE,FALSE)</f>
        <v>0</v>
      </c>
    </row>
    <row r="1028" spans="1:4" x14ac:dyDescent="0.25">
      <c r="A1028" t="s">
        <v>91</v>
      </c>
      <c r="B1028">
        <v>147000</v>
      </c>
      <c r="C1028">
        <f t="shared" si="32"/>
        <v>0.46902007908993121</v>
      </c>
      <c r="D1028" t="b">
        <f t="shared" si="33"/>
        <v>0</v>
      </c>
    </row>
    <row r="1029" spans="1:4" x14ac:dyDescent="0.25">
      <c r="A1029" t="s">
        <v>91</v>
      </c>
      <c r="B1029">
        <v>127000</v>
      </c>
      <c r="C1029">
        <f t="shared" si="32"/>
        <v>0.71100873336625148</v>
      </c>
      <c r="D1029" t="b">
        <f t="shared" si="33"/>
        <v>0</v>
      </c>
    </row>
    <row r="1030" spans="1:4" x14ac:dyDescent="0.25">
      <c r="A1030" t="s">
        <v>91</v>
      </c>
      <c r="B1030">
        <v>142000</v>
      </c>
      <c r="C1030">
        <f t="shared" si="32"/>
        <v>0.52951724265901123</v>
      </c>
      <c r="D1030" t="b">
        <f t="shared" si="33"/>
        <v>0</v>
      </c>
    </row>
    <row r="1031" spans="1:4" x14ac:dyDescent="0.25">
      <c r="A1031" t="s">
        <v>91</v>
      </c>
      <c r="B1031">
        <v>130000</v>
      </c>
      <c r="C1031">
        <f t="shared" si="32"/>
        <v>0.67471043522480345</v>
      </c>
      <c r="D1031" t="b">
        <f t="shared" si="33"/>
        <v>0</v>
      </c>
    </row>
    <row r="1032" spans="1:4" x14ac:dyDescent="0.25">
      <c r="A1032" t="s">
        <v>91</v>
      </c>
      <c r="B1032">
        <v>138887</v>
      </c>
      <c r="C1032">
        <f t="shared" si="32"/>
        <v>0.56718277669712047</v>
      </c>
      <c r="D1032" t="b">
        <f t="shared" si="33"/>
        <v>0</v>
      </c>
    </row>
    <row r="1033" spans="1:4" x14ac:dyDescent="0.25">
      <c r="A1033" t="s">
        <v>91</v>
      </c>
      <c r="B1033">
        <v>195000</v>
      </c>
      <c r="C1033">
        <f t="shared" si="32"/>
        <v>0.11175269117323731</v>
      </c>
      <c r="D1033" t="b">
        <f t="shared" si="33"/>
        <v>0</v>
      </c>
    </row>
    <row r="1034" spans="1:4" x14ac:dyDescent="0.25">
      <c r="A1034" t="s">
        <v>91</v>
      </c>
      <c r="B1034">
        <v>142500</v>
      </c>
      <c r="C1034">
        <f t="shared" si="32"/>
        <v>0.52346752630210325</v>
      </c>
      <c r="D1034" t="b">
        <f t="shared" si="33"/>
        <v>0</v>
      </c>
    </row>
    <row r="1035" spans="1:4" x14ac:dyDescent="0.25">
      <c r="A1035" t="s">
        <v>91</v>
      </c>
      <c r="B1035">
        <v>265900</v>
      </c>
      <c r="C1035">
        <f t="shared" si="32"/>
        <v>0.96960247058279248</v>
      </c>
      <c r="D1035" t="b">
        <f t="shared" si="33"/>
        <v>0</v>
      </c>
    </row>
    <row r="1036" spans="1:4" x14ac:dyDescent="0.25">
      <c r="A1036" t="s">
        <v>91</v>
      </c>
      <c r="B1036">
        <v>224900</v>
      </c>
      <c r="C1036">
        <f t="shared" si="32"/>
        <v>0.47352572931633602</v>
      </c>
      <c r="D1036" t="b">
        <f t="shared" si="33"/>
        <v>0</v>
      </c>
    </row>
    <row r="1037" spans="1:4" x14ac:dyDescent="0.25">
      <c r="A1037" t="s">
        <v>91</v>
      </c>
      <c r="B1037">
        <v>248328</v>
      </c>
      <c r="C1037">
        <f t="shared" si="32"/>
        <v>0.75699123893561759</v>
      </c>
      <c r="D1037" t="b">
        <f t="shared" si="33"/>
        <v>0</v>
      </c>
    </row>
    <row r="1038" spans="1:4" x14ac:dyDescent="0.25">
      <c r="A1038" t="s">
        <v>91</v>
      </c>
      <c r="B1038">
        <v>170000</v>
      </c>
      <c r="C1038">
        <f t="shared" si="32"/>
        <v>0.19073312667216297</v>
      </c>
      <c r="D1038" t="b">
        <f t="shared" si="33"/>
        <v>0</v>
      </c>
    </row>
    <row r="1039" spans="1:4" x14ac:dyDescent="0.25">
      <c r="A1039" t="s">
        <v>91</v>
      </c>
      <c r="B1039">
        <v>465000</v>
      </c>
      <c r="C1039">
        <f t="shared" si="32"/>
        <v>3.3785995239035604</v>
      </c>
      <c r="D1039" t="b">
        <f t="shared" si="33"/>
        <v>1</v>
      </c>
    </row>
    <row r="1040" spans="1:4" x14ac:dyDescent="0.25">
      <c r="A1040" t="s">
        <v>91</v>
      </c>
      <c r="B1040">
        <v>230000</v>
      </c>
      <c r="C1040">
        <f t="shared" si="32"/>
        <v>0.53523283615679773</v>
      </c>
      <c r="D1040" t="b">
        <f t="shared" si="33"/>
        <v>0</v>
      </c>
    </row>
    <row r="1041" spans="1:4" x14ac:dyDescent="0.25">
      <c r="A1041" t="s">
        <v>91</v>
      </c>
      <c r="B1041">
        <v>178000</v>
      </c>
      <c r="C1041">
        <f t="shared" si="32"/>
        <v>9.3937664961634873E-2</v>
      </c>
      <c r="D1041" t="b">
        <f t="shared" si="33"/>
        <v>0</v>
      </c>
    </row>
    <row r="1042" spans="1:4" x14ac:dyDescent="0.25">
      <c r="A1042" t="s">
        <v>91</v>
      </c>
      <c r="B1042">
        <v>186500</v>
      </c>
      <c r="C1042">
        <f t="shared" si="32"/>
        <v>8.9075131058012208E-3</v>
      </c>
      <c r="D1042" t="b">
        <f t="shared" si="33"/>
        <v>0</v>
      </c>
    </row>
    <row r="1043" spans="1:4" x14ac:dyDescent="0.25">
      <c r="A1043" t="s">
        <v>91</v>
      </c>
      <c r="B1043">
        <v>169900</v>
      </c>
      <c r="C1043">
        <f t="shared" si="32"/>
        <v>0.19194306994354457</v>
      </c>
      <c r="D1043" t="b">
        <f t="shared" si="33"/>
        <v>0</v>
      </c>
    </row>
    <row r="1044" spans="1:4" x14ac:dyDescent="0.25">
      <c r="A1044" t="s">
        <v>91</v>
      </c>
      <c r="B1044">
        <v>129500</v>
      </c>
      <c r="C1044">
        <f t="shared" si="32"/>
        <v>0.68076015158171144</v>
      </c>
      <c r="D1044" t="b">
        <f t="shared" si="33"/>
        <v>0</v>
      </c>
    </row>
    <row r="1045" spans="1:4" x14ac:dyDescent="0.25">
      <c r="A1045" t="s">
        <v>91</v>
      </c>
      <c r="B1045">
        <v>119000</v>
      </c>
      <c r="C1045">
        <f t="shared" si="32"/>
        <v>0.80780419507677947</v>
      </c>
      <c r="D1045" t="b">
        <f t="shared" si="33"/>
        <v>0</v>
      </c>
    </row>
    <row r="1046" spans="1:4" x14ac:dyDescent="0.25">
      <c r="A1046" t="s">
        <v>91</v>
      </c>
      <c r="B1046">
        <v>244000</v>
      </c>
      <c r="C1046">
        <f t="shared" si="32"/>
        <v>0.70462489415022189</v>
      </c>
      <c r="D1046" t="b">
        <f t="shared" si="33"/>
        <v>0</v>
      </c>
    </row>
    <row r="1047" spans="1:4" x14ac:dyDescent="0.25">
      <c r="A1047" t="s">
        <v>91</v>
      </c>
      <c r="B1047">
        <v>130000</v>
      </c>
      <c r="C1047">
        <f t="shared" si="32"/>
        <v>0.67471043522480345</v>
      </c>
      <c r="D1047" t="b">
        <f t="shared" si="33"/>
        <v>0</v>
      </c>
    </row>
    <row r="1048" spans="1:4" x14ac:dyDescent="0.25">
      <c r="A1048" t="s">
        <v>91</v>
      </c>
      <c r="B1048">
        <v>294000</v>
      </c>
      <c r="C1048">
        <f t="shared" si="32"/>
        <v>1.3095965298410224</v>
      </c>
      <c r="D1048" t="b">
        <f t="shared" si="33"/>
        <v>0</v>
      </c>
    </row>
    <row r="1049" spans="1:4" x14ac:dyDescent="0.25">
      <c r="A1049" t="s">
        <v>91</v>
      </c>
      <c r="B1049">
        <v>165400</v>
      </c>
      <c r="C1049">
        <f t="shared" si="32"/>
        <v>0.24639051715571661</v>
      </c>
      <c r="D1049" t="b">
        <f t="shared" si="33"/>
        <v>0</v>
      </c>
    </row>
    <row r="1050" spans="1:4" x14ac:dyDescent="0.25">
      <c r="A1050" t="s">
        <v>91</v>
      </c>
      <c r="B1050">
        <v>127500</v>
      </c>
      <c r="C1050">
        <f t="shared" si="32"/>
        <v>0.70495901700934338</v>
      </c>
      <c r="D1050" t="b">
        <f t="shared" si="33"/>
        <v>0</v>
      </c>
    </row>
    <row r="1051" spans="1:4" x14ac:dyDescent="0.25">
      <c r="A1051" t="s">
        <v>91</v>
      </c>
      <c r="B1051">
        <v>301500</v>
      </c>
      <c r="C1051">
        <f t="shared" si="32"/>
        <v>1.4003422751946424</v>
      </c>
      <c r="D1051" t="b">
        <f t="shared" si="33"/>
        <v>0</v>
      </c>
    </row>
    <row r="1052" spans="1:4" x14ac:dyDescent="0.25">
      <c r="A1052" t="s">
        <v>91</v>
      </c>
      <c r="B1052">
        <v>99900</v>
      </c>
      <c r="C1052">
        <f t="shared" si="32"/>
        <v>1.0389033599106654</v>
      </c>
      <c r="D1052" t="b">
        <f t="shared" si="33"/>
        <v>0</v>
      </c>
    </row>
    <row r="1053" spans="1:4" x14ac:dyDescent="0.25">
      <c r="A1053" t="s">
        <v>91</v>
      </c>
      <c r="B1053">
        <v>190000</v>
      </c>
      <c r="C1053">
        <f t="shared" si="32"/>
        <v>5.1255527604157261E-2</v>
      </c>
      <c r="D1053" t="b">
        <f t="shared" si="33"/>
        <v>0</v>
      </c>
    </row>
    <row r="1054" spans="1:4" x14ac:dyDescent="0.25">
      <c r="A1054" t="s">
        <v>91</v>
      </c>
      <c r="B1054">
        <v>151000</v>
      </c>
      <c r="C1054">
        <f t="shared" si="32"/>
        <v>0.42062234823466715</v>
      </c>
      <c r="D1054" t="b">
        <f t="shared" si="33"/>
        <v>0</v>
      </c>
    </row>
    <row r="1055" spans="1:4" x14ac:dyDescent="0.25">
      <c r="A1055" t="s">
        <v>91</v>
      </c>
      <c r="B1055">
        <v>181000</v>
      </c>
      <c r="C1055">
        <f t="shared" si="32"/>
        <v>5.7639366820186839E-2</v>
      </c>
      <c r="D1055" t="b">
        <f t="shared" si="33"/>
        <v>0</v>
      </c>
    </row>
    <row r="1056" spans="1:4" x14ac:dyDescent="0.25">
      <c r="A1056" t="s">
        <v>91</v>
      </c>
      <c r="B1056">
        <v>128900</v>
      </c>
      <c r="C1056">
        <f t="shared" si="32"/>
        <v>0.688019811210001</v>
      </c>
      <c r="D1056" t="b">
        <f t="shared" si="33"/>
        <v>0</v>
      </c>
    </row>
    <row r="1057" spans="1:4" x14ac:dyDescent="0.25">
      <c r="A1057" t="s">
        <v>91</v>
      </c>
      <c r="B1057">
        <v>161500</v>
      </c>
      <c r="C1057">
        <f t="shared" si="32"/>
        <v>0.29357830473959906</v>
      </c>
      <c r="D1057" t="b">
        <f t="shared" si="33"/>
        <v>0</v>
      </c>
    </row>
    <row r="1058" spans="1:4" x14ac:dyDescent="0.25">
      <c r="A1058" t="s">
        <v>91</v>
      </c>
      <c r="B1058">
        <v>180500</v>
      </c>
      <c r="C1058">
        <f t="shared" si="32"/>
        <v>6.3689083177094846E-2</v>
      </c>
      <c r="D1058" t="b">
        <f t="shared" si="33"/>
        <v>0</v>
      </c>
    </row>
    <row r="1059" spans="1:4" x14ac:dyDescent="0.25">
      <c r="A1059" t="s">
        <v>91</v>
      </c>
      <c r="B1059">
        <v>378500</v>
      </c>
      <c r="C1059">
        <f t="shared" si="32"/>
        <v>2.3319985941584753</v>
      </c>
      <c r="D1059" t="b">
        <f t="shared" si="33"/>
        <v>0</v>
      </c>
    </row>
    <row r="1060" spans="1:4" x14ac:dyDescent="0.25">
      <c r="A1060" t="s">
        <v>91</v>
      </c>
      <c r="B1060">
        <v>381000</v>
      </c>
      <c r="C1060">
        <f t="shared" si="32"/>
        <v>2.3622471759430153</v>
      </c>
      <c r="D1060" t="b">
        <f t="shared" si="33"/>
        <v>0</v>
      </c>
    </row>
    <row r="1061" spans="1:4" x14ac:dyDescent="0.25">
      <c r="A1061" t="s">
        <v>91</v>
      </c>
      <c r="B1061">
        <v>144000</v>
      </c>
      <c r="C1061">
        <f t="shared" si="32"/>
        <v>0.50531837723137929</v>
      </c>
      <c r="D1061" t="b">
        <f t="shared" si="33"/>
        <v>0</v>
      </c>
    </row>
    <row r="1062" spans="1:4" x14ac:dyDescent="0.25">
      <c r="A1062" t="s">
        <v>91</v>
      </c>
      <c r="B1062">
        <v>260000</v>
      </c>
      <c r="C1062">
        <f t="shared" si="32"/>
        <v>0.898215817571278</v>
      </c>
      <c r="D1062" t="b">
        <f t="shared" si="33"/>
        <v>0</v>
      </c>
    </row>
    <row r="1063" spans="1:4" x14ac:dyDescent="0.25">
      <c r="A1063" t="s">
        <v>91</v>
      </c>
      <c r="B1063">
        <v>185750</v>
      </c>
      <c r="C1063">
        <f t="shared" si="32"/>
        <v>1.6706142956078712E-4</v>
      </c>
      <c r="D1063" t="b">
        <f t="shared" si="33"/>
        <v>0</v>
      </c>
    </row>
    <row r="1064" spans="1:4" x14ac:dyDescent="0.25">
      <c r="A1064" t="s">
        <v>91</v>
      </c>
      <c r="B1064">
        <v>137000</v>
      </c>
      <c r="C1064">
        <f t="shared" si="32"/>
        <v>0.59001440622809131</v>
      </c>
      <c r="D1064" t="b">
        <f t="shared" si="33"/>
        <v>0</v>
      </c>
    </row>
    <row r="1065" spans="1:4" x14ac:dyDescent="0.25">
      <c r="A1065" t="s">
        <v>91</v>
      </c>
      <c r="B1065">
        <v>177000</v>
      </c>
      <c r="C1065">
        <f t="shared" si="32"/>
        <v>0.10603709767545089</v>
      </c>
      <c r="D1065" t="b">
        <f t="shared" si="33"/>
        <v>0</v>
      </c>
    </row>
    <row r="1066" spans="1:4" x14ac:dyDescent="0.25">
      <c r="A1066" t="s">
        <v>91</v>
      </c>
      <c r="B1066">
        <v>139000</v>
      </c>
      <c r="C1066">
        <f t="shared" si="32"/>
        <v>0.56581554080045926</v>
      </c>
      <c r="D1066" t="b">
        <f t="shared" si="33"/>
        <v>0</v>
      </c>
    </row>
    <row r="1067" spans="1:4" x14ac:dyDescent="0.25">
      <c r="A1067" t="s">
        <v>91</v>
      </c>
      <c r="B1067">
        <v>162000</v>
      </c>
      <c r="C1067">
        <f t="shared" si="32"/>
        <v>0.28752858838269107</v>
      </c>
      <c r="D1067" t="b">
        <f t="shared" si="33"/>
        <v>0</v>
      </c>
    </row>
    <row r="1068" spans="1:4" x14ac:dyDescent="0.25">
      <c r="A1068" t="s">
        <v>91</v>
      </c>
      <c r="B1068">
        <v>197900</v>
      </c>
      <c r="C1068">
        <f t="shared" si="32"/>
        <v>0.14684104604330375</v>
      </c>
      <c r="D1068" t="b">
        <f t="shared" si="33"/>
        <v>0</v>
      </c>
    </row>
    <row r="1069" spans="1:4" x14ac:dyDescent="0.25">
      <c r="A1069" t="s">
        <v>91</v>
      </c>
      <c r="B1069">
        <v>237000</v>
      </c>
      <c r="C1069">
        <f t="shared" si="32"/>
        <v>0.61992886515350976</v>
      </c>
      <c r="D1069" t="b">
        <f t="shared" si="33"/>
        <v>0</v>
      </c>
    </row>
    <row r="1070" spans="1:4" x14ac:dyDescent="0.25">
      <c r="A1070" t="s">
        <v>91</v>
      </c>
      <c r="B1070">
        <v>68400</v>
      </c>
      <c r="C1070">
        <f t="shared" si="32"/>
        <v>1.4200354903958696</v>
      </c>
      <c r="D1070" t="b">
        <f t="shared" si="33"/>
        <v>0</v>
      </c>
    </row>
    <row r="1071" spans="1:4" x14ac:dyDescent="0.25">
      <c r="A1071" t="s">
        <v>91</v>
      </c>
      <c r="B1071">
        <v>227000</v>
      </c>
      <c r="C1071">
        <f t="shared" si="32"/>
        <v>0.49893453801534965</v>
      </c>
      <c r="D1071" t="b">
        <f t="shared" si="33"/>
        <v>0</v>
      </c>
    </row>
    <row r="1072" spans="1:4" x14ac:dyDescent="0.25">
      <c r="A1072" t="s">
        <v>91</v>
      </c>
      <c r="B1072">
        <v>180000</v>
      </c>
      <c r="C1072">
        <f t="shared" si="32"/>
        <v>6.9738799534002846E-2</v>
      </c>
      <c r="D1072" t="b">
        <f t="shared" si="33"/>
        <v>0</v>
      </c>
    </row>
    <row r="1073" spans="1:4" x14ac:dyDescent="0.25">
      <c r="A1073" t="s">
        <v>91</v>
      </c>
      <c r="B1073">
        <v>150500</v>
      </c>
      <c r="C1073">
        <f t="shared" si="32"/>
        <v>0.4266720645915752</v>
      </c>
      <c r="D1073" t="b">
        <f t="shared" si="33"/>
        <v>0</v>
      </c>
    </row>
    <row r="1074" spans="1:4" x14ac:dyDescent="0.25">
      <c r="A1074" t="s">
        <v>91</v>
      </c>
      <c r="B1074">
        <v>169000</v>
      </c>
      <c r="C1074">
        <f t="shared" si="32"/>
        <v>0.20283255938597897</v>
      </c>
      <c r="D1074" t="b">
        <f t="shared" si="33"/>
        <v>0</v>
      </c>
    </row>
    <row r="1075" spans="1:4" x14ac:dyDescent="0.25">
      <c r="A1075" t="s">
        <v>91</v>
      </c>
      <c r="B1075">
        <v>132500</v>
      </c>
      <c r="C1075">
        <f t="shared" si="32"/>
        <v>0.64446185344026341</v>
      </c>
      <c r="D1075" t="b">
        <f t="shared" si="33"/>
        <v>0</v>
      </c>
    </row>
    <row r="1076" spans="1:4" x14ac:dyDescent="0.25">
      <c r="A1076" t="s">
        <v>91</v>
      </c>
      <c r="B1076">
        <v>143000</v>
      </c>
      <c r="C1076">
        <f t="shared" si="32"/>
        <v>0.51741780994519526</v>
      </c>
      <c r="D1076" t="b">
        <f t="shared" si="33"/>
        <v>0</v>
      </c>
    </row>
    <row r="1077" spans="1:4" x14ac:dyDescent="0.25">
      <c r="A1077" t="s">
        <v>91</v>
      </c>
      <c r="B1077">
        <v>190000</v>
      </c>
      <c r="C1077">
        <f t="shared" si="32"/>
        <v>5.1255527604157261E-2</v>
      </c>
      <c r="D1077" t="b">
        <f t="shared" si="33"/>
        <v>0</v>
      </c>
    </row>
    <row r="1078" spans="1:4" x14ac:dyDescent="0.25">
      <c r="A1078" t="s">
        <v>91</v>
      </c>
      <c r="B1078">
        <v>281000</v>
      </c>
      <c r="C1078">
        <f t="shared" si="32"/>
        <v>1.1523039045614143</v>
      </c>
      <c r="D1078" t="b">
        <f t="shared" si="33"/>
        <v>0</v>
      </c>
    </row>
    <row r="1079" spans="1:4" x14ac:dyDescent="0.25">
      <c r="A1079" t="s">
        <v>91</v>
      </c>
      <c r="B1079">
        <v>180500</v>
      </c>
      <c r="C1079">
        <f t="shared" si="32"/>
        <v>6.3689083177094846E-2</v>
      </c>
      <c r="D1079" t="b">
        <f t="shared" si="33"/>
        <v>0</v>
      </c>
    </row>
    <row r="1080" spans="1:4" x14ac:dyDescent="0.25">
      <c r="A1080" t="s">
        <v>91</v>
      </c>
      <c r="B1080">
        <v>107500</v>
      </c>
      <c r="C1080">
        <f t="shared" si="32"/>
        <v>0.94694767128566359</v>
      </c>
      <c r="D1080" t="b">
        <f t="shared" si="33"/>
        <v>0</v>
      </c>
    </row>
    <row r="1081" spans="1:4" x14ac:dyDescent="0.25">
      <c r="A1081" t="s">
        <v>91</v>
      </c>
      <c r="B1081">
        <v>162900</v>
      </c>
      <c r="C1081">
        <f t="shared" si="32"/>
        <v>0.27663909894025662</v>
      </c>
      <c r="D1081" t="b">
        <f t="shared" si="33"/>
        <v>0</v>
      </c>
    </row>
    <row r="1082" spans="1:4" x14ac:dyDescent="0.25">
      <c r="A1082" t="s">
        <v>91</v>
      </c>
      <c r="B1082">
        <v>115000</v>
      </c>
      <c r="C1082">
        <f t="shared" si="32"/>
        <v>0.85620192593204358</v>
      </c>
      <c r="D1082" t="b">
        <f t="shared" si="33"/>
        <v>0</v>
      </c>
    </row>
    <row r="1083" spans="1:4" x14ac:dyDescent="0.25">
      <c r="A1083" t="s">
        <v>91</v>
      </c>
      <c r="B1083">
        <v>138500</v>
      </c>
      <c r="C1083">
        <f t="shared" si="32"/>
        <v>0.57186525715736736</v>
      </c>
      <c r="D1083" t="b">
        <f t="shared" si="33"/>
        <v>0</v>
      </c>
    </row>
    <row r="1084" spans="1:4" x14ac:dyDescent="0.25">
      <c r="A1084" t="s">
        <v>91</v>
      </c>
      <c r="B1084">
        <v>155000</v>
      </c>
      <c r="C1084">
        <f t="shared" si="32"/>
        <v>0.3722246173794031</v>
      </c>
      <c r="D1084" t="b">
        <f t="shared" si="33"/>
        <v>0</v>
      </c>
    </row>
    <row r="1085" spans="1:4" x14ac:dyDescent="0.25">
      <c r="A1085" t="s">
        <v>91</v>
      </c>
      <c r="B1085">
        <v>160000</v>
      </c>
      <c r="C1085">
        <f t="shared" si="32"/>
        <v>0.31172745381032307</v>
      </c>
      <c r="D1085" t="b">
        <f t="shared" si="33"/>
        <v>0</v>
      </c>
    </row>
    <row r="1086" spans="1:4" x14ac:dyDescent="0.25">
      <c r="A1086" t="s">
        <v>91</v>
      </c>
      <c r="B1086">
        <v>154000</v>
      </c>
      <c r="C1086">
        <f t="shared" si="32"/>
        <v>0.38432405009321913</v>
      </c>
      <c r="D1086" t="b">
        <f t="shared" si="33"/>
        <v>0</v>
      </c>
    </row>
    <row r="1087" spans="1:4" x14ac:dyDescent="0.25">
      <c r="A1087" t="s">
        <v>91</v>
      </c>
      <c r="B1087">
        <v>225000</v>
      </c>
      <c r="C1087">
        <f t="shared" si="32"/>
        <v>0.47473567258771765</v>
      </c>
      <c r="D1087" t="b">
        <f t="shared" si="33"/>
        <v>0</v>
      </c>
    </row>
    <row r="1088" spans="1:4" x14ac:dyDescent="0.25">
      <c r="A1088" t="s">
        <v>91</v>
      </c>
      <c r="B1088">
        <v>177500</v>
      </c>
      <c r="C1088">
        <f t="shared" si="32"/>
        <v>9.9987381318542873E-2</v>
      </c>
      <c r="D1088" t="b">
        <f t="shared" si="33"/>
        <v>0</v>
      </c>
    </row>
    <row r="1089" spans="1:4" x14ac:dyDescent="0.25">
      <c r="A1089" t="s">
        <v>91</v>
      </c>
      <c r="B1089">
        <v>290000</v>
      </c>
      <c r="C1089">
        <f t="shared" si="32"/>
        <v>1.2611987989857583</v>
      </c>
      <c r="D1089" t="b">
        <f t="shared" si="33"/>
        <v>0</v>
      </c>
    </row>
    <row r="1090" spans="1:4" x14ac:dyDescent="0.25">
      <c r="A1090" t="s">
        <v>91</v>
      </c>
      <c r="B1090">
        <v>232000</v>
      </c>
      <c r="C1090">
        <f t="shared" si="32"/>
        <v>0.55943170158442967</v>
      </c>
      <c r="D1090" t="b">
        <f t="shared" si="33"/>
        <v>0</v>
      </c>
    </row>
    <row r="1091" spans="1:4" x14ac:dyDescent="0.25">
      <c r="A1091" t="s">
        <v>91</v>
      </c>
      <c r="B1091">
        <v>325000</v>
      </c>
      <c r="C1091">
        <f t="shared" ref="C1091:C1154" si="34">ABS((B1091-$G$4)/$G$8)</f>
        <v>1.6846789439693188</v>
      </c>
      <c r="D1091" t="b">
        <f t="shared" ref="D1091:D1154" si="35">IF(C1091&gt;3,TRUE,FALSE)</f>
        <v>0</v>
      </c>
    </row>
    <row r="1092" spans="1:4" x14ac:dyDescent="0.25">
      <c r="A1092" t="s">
        <v>91</v>
      </c>
      <c r="B1092">
        <v>138000</v>
      </c>
      <c r="C1092">
        <f t="shared" si="34"/>
        <v>0.57791497351427534</v>
      </c>
      <c r="D1092" t="b">
        <f t="shared" si="35"/>
        <v>0</v>
      </c>
    </row>
    <row r="1093" spans="1:4" x14ac:dyDescent="0.25">
      <c r="A1093" t="s">
        <v>91</v>
      </c>
      <c r="B1093">
        <v>147000</v>
      </c>
      <c r="C1093">
        <f t="shared" si="34"/>
        <v>0.46902007908993121</v>
      </c>
      <c r="D1093" t="b">
        <f t="shared" si="35"/>
        <v>0</v>
      </c>
    </row>
    <row r="1094" spans="1:4" x14ac:dyDescent="0.25">
      <c r="A1094" t="s">
        <v>91</v>
      </c>
      <c r="B1094">
        <v>179200</v>
      </c>
      <c r="C1094">
        <f t="shared" si="34"/>
        <v>7.9418345705055654E-2</v>
      </c>
      <c r="D1094" t="b">
        <f t="shared" si="35"/>
        <v>0</v>
      </c>
    </row>
    <row r="1095" spans="1:4" x14ac:dyDescent="0.25">
      <c r="A1095" t="s">
        <v>91</v>
      </c>
      <c r="B1095">
        <v>335000</v>
      </c>
      <c r="C1095">
        <f t="shared" si="34"/>
        <v>1.8056732711074788</v>
      </c>
      <c r="D1095" t="b">
        <f t="shared" si="35"/>
        <v>0</v>
      </c>
    </row>
    <row r="1096" spans="1:4" x14ac:dyDescent="0.25">
      <c r="A1096" t="s">
        <v>91</v>
      </c>
      <c r="B1096">
        <v>203000</v>
      </c>
      <c r="C1096">
        <f t="shared" si="34"/>
        <v>0.20854815288376541</v>
      </c>
      <c r="D1096" t="b">
        <f t="shared" si="35"/>
        <v>0</v>
      </c>
    </row>
    <row r="1097" spans="1:4" x14ac:dyDescent="0.25">
      <c r="A1097" t="s">
        <v>91</v>
      </c>
      <c r="B1097">
        <v>302000</v>
      </c>
      <c r="C1097">
        <f t="shared" si="34"/>
        <v>1.4063919915515506</v>
      </c>
      <c r="D1097" t="b">
        <f t="shared" si="35"/>
        <v>0</v>
      </c>
    </row>
    <row r="1098" spans="1:4" x14ac:dyDescent="0.25">
      <c r="A1098" t="s">
        <v>91</v>
      </c>
      <c r="B1098">
        <v>333168</v>
      </c>
      <c r="C1098">
        <f t="shared" si="34"/>
        <v>1.7835071103757678</v>
      </c>
      <c r="D1098" t="b">
        <f t="shared" si="35"/>
        <v>0</v>
      </c>
    </row>
    <row r="1099" spans="1:4" x14ac:dyDescent="0.25">
      <c r="A1099" t="s">
        <v>91</v>
      </c>
      <c r="B1099">
        <v>119000</v>
      </c>
      <c r="C1099">
        <f t="shared" si="34"/>
        <v>0.80780419507677947</v>
      </c>
      <c r="D1099" t="b">
        <f t="shared" si="35"/>
        <v>0</v>
      </c>
    </row>
    <row r="1100" spans="1:4" x14ac:dyDescent="0.25">
      <c r="A1100" t="s">
        <v>91</v>
      </c>
      <c r="B1100">
        <v>206900</v>
      </c>
      <c r="C1100">
        <f t="shared" si="34"/>
        <v>0.25573594046764786</v>
      </c>
      <c r="D1100" t="b">
        <f t="shared" si="35"/>
        <v>0</v>
      </c>
    </row>
    <row r="1101" spans="1:4" x14ac:dyDescent="0.25">
      <c r="A1101" t="s">
        <v>91</v>
      </c>
      <c r="B1101">
        <v>295493</v>
      </c>
      <c r="C1101">
        <f t="shared" si="34"/>
        <v>1.3276609828827497</v>
      </c>
      <c r="D1101" t="b">
        <f t="shared" si="35"/>
        <v>0</v>
      </c>
    </row>
    <row r="1102" spans="1:4" x14ac:dyDescent="0.25">
      <c r="A1102" t="s">
        <v>91</v>
      </c>
      <c r="B1102">
        <v>275000</v>
      </c>
      <c r="C1102">
        <f t="shared" si="34"/>
        <v>1.0797073082785182</v>
      </c>
      <c r="D1102" t="b">
        <f t="shared" si="35"/>
        <v>0</v>
      </c>
    </row>
    <row r="1103" spans="1:4" x14ac:dyDescent="0.25">
      <c r="A1103" t="s">
        <v>91</v>
      </c>
      <c r="B1103">
        <v>111000</v>
      </c>
      <c r="C1103">
        <f t="shared" si="34"/>
        <v>0.90459965678730758</v>
      </c>
      <c r="D1103" t="b">
        <f t="shared" si="35"/>
        <v>0</v>
      </c>
    </row>
    <row r="1104" spans="1:4" x14ac:dyDescent="0.25">
      <c r="A1104" t="s">
        <v>91</v>
      </c>
      <c r="B1104">
        <v>156500</v>
      </c>
      <c r="C1104">
        <f t="shared" si="34"/>
        <v>0.35407546830867909</v>
      </c>
      <c r="D1104" t="b">
        <f t="shared" si="35"/>
        <v>0</v>
      </c>
    </row>
    <row r="1105" spans="1:4" x14ac:dyDescent="0.25">
      <c r="A1105" t="s">
        <v>91</v>
      </c>
      <c r="B1105">
        <v>72500</v>
      </c>
      <c r="C1105">
        <f t="shared" si="34"/>
        <v>1.3704278162692241</v>
      </c>
      <c r="D1105" t="b">
        <f t="shared" si="35"/>
        <v>0</v>
      </c>
    </row>
    <row r="1106" spans="1:4" x14ac:dyDescent="0.25">
      <c r="A1106" t="s">
        <v>91</v>
      </c>
      <c r="B1106">
        <v>190000</v>
      </c>
      <c r="C1106">
        <f t="shared" si="34"/>
        <v>5.1255527604157261E-2</v>
      </c>
      <c r="D1106" t="b">
        <f t="shared" si="35"/>
        <v>0</v>
      </c>
    </row>
    <row r="1107" spans="1:4" x14ac:dyDescent="0.25">
      <c r="A1107" t="s">
        <v>91</v>
      </c>
      <c r="B1107">
        <v>82500</v>
      </c>
      <c r="C1107">
        <f t="shared" si="34"/>
        <v>1.2494334891310639</v>
      </c>
      <c r="D1107" t="b">
        <f t="shared" si="35"/>
        <v>0</v>
      </c>
    </row>
    <row r="1108" spans="1:4" x14ac:dyDescent="0.25">
      <c r="A1108" t="s">
        <v>91</v>
      </c>
      <c r="B1108">
        <v>147000</v>
      </c>
      <c r="C1108">
        <f t="shared" si="34"/>
        <v>0.46902007908993121</v>
      </c>
      <c r="D1108" t="b">
        <f t="shared" si="35"/>
        <v>0</v>
      </c>
    </row>
    <row r="1109" spans="1:4" x14ac:dyDescent="0.25">
      <c r="A1109" t="s">
        <v>91</v>
      </c>
      <c r="B1109">
        <v>55000</v>
      </c>
      <c r="C1109">
        <f t="shared" si="34"/>
        <v>1.5821678887610042</v>
      </c>
      <c r="D1109" t="b">
        <f t="shared" si="35"/>
        <v>0</v>
      </c>
    </row>
    <row r="1110" spans="1:4" x14ac:dyDescent="0.25">
      <c r="A1110" t="s">
        <v>91</v>
      </c>
      <c r="B1110">
        <v>79000</v>
      </c>
      <c r="C1110">
        <f t="shared" si="34"/>
        <v>1.29178150362942</v>
      </c>
      <c r="D1110" t="b">
        <f t="shared" si="35"/>
        <v>0</v>
      </c>
    </row>
    <row r="1111" spans="1:4" x14ac:dyDescent="0.25">
      <c r="A1111" t="s">
        <v>91</v>
      </c>
      <c r="B1111">
        <v>130500</v>
      </c>
      <c r="C1111">
        <f t="shared" si="34"/>
        <v>0.66866071886789535</v>
      </c>
      <c r="D1111" t="b">
        <f t="shared" si="35"/>
        <v>0</v>
      </c>
    </row>
    <row r="1112" spans="1:4" x14ac:dyDescent="0.25">
      <c r="A1112" t="s">
        <v>91</v>
      </c>
      <c r="B1112">
        <v>256000</v>
      </c>
      <c r="C1112">
        <f t="shared" si="34"/>
        <v>0.849818086716014</v>
      </c>
      <c r="D1112" t="b">
        <f t="shared" si="35"/>
        <v>0</v>
      </c>
    </row>
    <row r="1113" spans="1:4" x14ac:dyDescent="0.25">
      <c r="A1113" t="s">
        <v>91</v>
      </c>
      <c r="B1113">
        <v>176500</v>
      </c>
      <c r="C1113">
        <f t="shared" si="34"/>
        <v>0.11208681403235889</v>
      </c>
      <c r="D1113" t="b">
        <f t="shared" si="35"/>
        <v>0</v>
      </c>
    </row>
    <row r="1114" spans="1:4" x14ac:dyDescent="0.25">
      <c r="A1114" t="s">
        <v>91</v>
      </c>
      <c r="B1114">
        <v>227000</v>
      </c>
      <c r="C1114">
        <f t="shared" si="34"/>
        <v>0.49893453801534965</v>
      </c>
      <c r="D1114" t="b">
        <f t="shared" si="35"/>
        <v>0</v>
      </c>
    </row>
    <row r="1115" spans="1:4" x14ac:dyDescent="0.25">
      <c r="A1115" t="s">
        <v>91</v>
      </c>
      <c r="B1115">
        <v>132500</v>
      </c>
      <c r="C1115">
        <f t="shared" si="34"/>
        <v>0.64446185344026341</v>
      </c>
      <c r="D1115" t="b">
        <f t="shared" si="35"/>
        <v>0</v>
      </c>
    </row>
    <row r="1116" spans="1:4" x14ac:dyDescent="0.25">
      <c r="A1116" t="s">
        <v>91</v>
      </c>
      <c r="B1116">
        <v>100000</v>
      </c>
      <c r="C1116">
        <f t="shared" si="34"/>
        <v>1.0376934166392837</v>
      </c>
      <c r="D1116" t="b">
        <f t="shared" si="35"/>
        <v>0</v>
      </c>
    </row>
    <row r="1117" spans="1:4" x14ac:dyDescent="0.25">
      <c r="A1117" t="s">
        <v>91</v>
      </c>
      <c r="B1117">
        <v>125500</v>
      </c>
      <c r="C1117">
        <f t="shared" si="34"/>
        <v>0.72915788243697544</v>
      </c>
      <c r="D1117" t="b">
        <f t="shared" si="35"/>
        <v>0</v>
      </c>
    </row>
    <row r="1118" spans="1:4" x14ac:dyDescent="0.25">
      <c r="A1118" t="s">
        <v>91</v>
      </c>
      <c r="B1118">
        <v>167900</v>
      </c>
      <c r="C1118">
        <f t="shared" si="34"/>
        <v>0.2161419353711766</v>
      </c>
      <c r="D1118" t="b">
        <f t="shared" si="35"/>
        <v>0</v>
      </c>
    </row>
    <row r="1119" spans="1:4" x14ac:dyDescent="0.25">
      <c r="A1119" t="s">
        <v>91</v>
      </c>
      <c r="B1119">
        <v>52500</v>
      </c>
      <c r="C1119">
        <f t="shared" si="34"/>
        <v>1.6124164705455442</v>
      </c>
      <c r="D1119" t="b">
        <f t="shared" si="35"/>
        <v>0</v>
      </c>
    </row>
    <row r="1120" spans="1:4" x14ac:dyDescent="0.25">
      <c r="A1120" t="s">
        <v>91</v>
      </c>
      <c r="B1120">
        <v>200000</v>
      </c>
      <c r="C1120">
        <f t="shared" si="34"/>
        <v>0.17224985474231738</v>
      </c>
      <c r="D1120" t="b">
        <f t="shared" si="35"/>
        <v>0</v>
      </c>
    </row>
    <row r="1121" spans="1:4" x14ac:dyDescent="0.25">
      <c r="A1121" t="s">
        <v>91</v>
      </c>
      <c r="B1121">
        <v>128500</v>
      </c>
      <c r="C1121">
        <f t="shared" si="34"/>
        <v>0.69285958429552741</v>
      </c>
      <c r="D1121" t="b">
        <f t="shared" si="35"/>
        <v>0</v>
      </c>
    </row>
    <row r="1122" spans="1:4" x14ac:dyDescent="0.25">
      <c r="A1122" t="s">
        <v>91</v>
      </c>
      <c r="B1122">
        <v>123000</v>
      </c>
      <c r="C1122">
        <f t="shared" si="34"/>
        <v>0.75940646422151548</v>
      </c>
      <c r="D1122" t="b">
        <f t="shared" si="35"/>
        <v>0</v>
      </c>
    </row>
    <row r="1123" spans="1:4" x14ac:dyDescent="0.25">
      <c r="A1123" t="s">
        <v>91</v>
      </c>
      <c r="B1123">
        <v>155000</v>
      </c>
      <c r="C1123">
        <f t="shared" si="34"/>
        <v>0.3722246173794031</v>
      </c>
      <c r="D1123" t="b">
        <f t="shared" si="35"/>
        <v>0</v>
      </c>
    </row>
    <row r="1124" spans="1:4" x14ac:dyDescent="0.25">
      <c r="A1124" t="s">
        <v>91</v>
      </c>
      <c r="B1124">
        <v>228500</v>
      </c>
      <c r="C1124">
        <f t="shared" si="34"/>
        <v>0.51708368708607366</v>
      </c>
      <c r="D1124" t="b">
        <f t="shared" si="35"/>
        <v>0</v>
      </c>
    </row>
    <row r="1125" spans="1:4" x14ac:dyDescent="0.25">
      <c r="A1125" t="s">
        <v>91</v>
      </c>
      <c r="B1125">
        <v>177000</v>
      </c>
      <c r="C1125">
        <f t="shared" si="34"/>
        <v>0.10603709767545089</v>
      </c>
      <c r="D1125" t="b">
        <f t="shared" si="35"/>
        <v>0</v>
      </c>
    </row>
    <row r="1126" spans="1:4" x14ac:dyDescent="0.25">
      <c r="A1126" t="s">
        <v>91</v>
      </c>
      <c r="B1126">
        <v>155835</v>
      </c>
      <c r="C1126">
        <f t="shared" si="34"/>
        <v>0.36212159106336678</v>
      </c>
      <c r="D1126" t="b">
        <f t="shared" si="35"/>
        <v>0</v>
      </c>
    </row>
    <row r="1127" spans="1:4" x14ac:dyDescent="0.25">
      <c r="A1127" t="s">
        <v>91</v>
      </c>
      <c r="B1127">
        <v>108500</v>
      </c>
      <c r="C1127">
        <f t="shared" si="34"/>
        <v>0.93484823857184762</v>
      </c>
      <c r="D1127" t="b">
        <f t="shared" si="35"/>
        <v>0</v>
      </c>
    </row>
    <row r="1128" spans="1:4" x14ac:dyDescent="0.25">
      <c r="A1128" t="s">
        <v>91</v>
      </c>
      <c r="B1128">
        <v>262500</v>
      </c>
      <c r="C1128">
        <f t="shared" si="34"/>
        <v>0.92846439935581804</v>
      </c>
      <c r="D1128" t="b">
        <f t="shared" si="35"/>
        <v>0</v>
      </c>
    </row>
    <row r="1129" spans="1:4" x14ac:dyDescent="0.25">
      <c r="A1129" t="s">
        <v>91</v>
      </c>
      <c r="B1129">
        <v>283463</v>
      </c>
      <c r="C1129">
        <f t="shared" si="34"/>
        <v>1.1821048073355431</v>
      </c>
      <c r="D1129" t="b">
        <f t="shared" si="35"/>
        <v>0</v>
      </c>
    </row>
    <row r="1130" spans="1:4" x14ac:dyDescent="0.25">
      <c r="A1130" t="s">
        <v>91</v>
      </c>
      <c r="B1130">
        <v>215000</v>
      </c>
      <c r="C1130">
        <f t="shared" si="34"/>
        <v>0.35374134544955754</v>
      </c>
      <c r="D1130" t="b">
        <f t="shared" si="35"/>
        <v>0</v>
      </c>
    </row>
    <row r="1131" spans="1:4" x14ac:dyDescent="0.25">
      <c r="A1131" t="s">
        <v>91</v>
      </c>
      <c r="B1131">
        <v>122000</v>
      </c>
      <c r="C1131">
        <f t="shared" si="34"/>
        <v>0.77150589693533145</v>
      </c>
      <c r="D1131" t="b">
        <f t="shared" si="35"/>
        <v>0</v>
      </c>
    </row>
    <row r="1132" spans="1:4" x14ac:dyDescent="0.25">
      <c r="A1132" t="s">
        <v>91</v>
      </c>
      <c r="B1132">
        <v>171000</v>
      </c>
      <c r="C1132">
        <f t="shared" si="34"/>
        <v>0.17863369395834694</v>
      </c>
      <c r="D1132" t="b">
        <f t="shared" si="35"/>
        <v>0</v>
      </c>
    </row>
    <row r="1133" spans="1:4" x14ac:dyDescent="0.25">
      <c r="A1133" t="s">
        <v>91</v>
      </c>
      <c r="B1133">
        <v>134900</v>
      </c>
      <c r="C1133">
        <f t="shared" si="34"/>
        <v>0.61542321492710494</v>
      </c>
      <c r="D1133" t="b">
        <f t="shared" si="35"/>
        <v>0</v>
      </c>
    </row>
    <row r="1134" spans="1:4" x14ac:dyDescent="0.25">
      <c r="A1134" t="s">
        <v>91</v>
      </c>
      <c r="B1134">
        <v>410000</v>
      </c>
      <c r="C1134">
        <f t="shared" si="34"/>
        <v>2.7131307246436798</v>
      </c>
      <c r="D1134" t="b">
        <f t="shared" si="35"/>
        <v>0</v>
      </c>
    </row>
    <row r="1135" spans="1:4" x14ac:dyDescent="0.25">
      <c r="A1135" t="s">
        <v>91</v>
      </c>
      <c r="B1135">
        <v>235000</v>
      </c>
      <c r="C1135">
        <f t="shared" si="34"/>
        <v>0.5957299997258777</v>
      </c>
      <c r="D1135" t="b">
        <f t="shared" si="35"/>
        <v>0</v>
      </c>
    </row>
    <row r="1136" spans="1:4" x14ac:dyDescent="0.25">
      <c r="A1136" t="s">
        <v>91</v>
      </c>
      <c r="B1136">
        <v>170000</v>
      </c>
      <c r="C1136">
        <f t="shared" si="34"/>
        <v>0.19073312667216297</v>
      </c>
      <c r="D1136" t="b">
        <f t="shared" si="35"/>
        <v>0</v>
      </c>
    </row>
    <row r="1137" spans="1:4" x14ac:dyDescent="0.25">
      <c r="A1137" t="s">
        <v>91</v>
      </c>
      <c r="B1137">
        <v>110000</v>
      </c>
      <c r="C1137">
        <f t="shared" si="34"/>
        <v>0.91669908950112367</v>
      </c>
      <c r="D1137" t="b">
        <f t="shared" si="35"/>
        <v>0</v>
      </c>
    </row>
    <row r="1138" spans="1:4" x14ac:dyDescent="0.25">
      <c r="A1138" t="s">
        <v>91</v>
      </c>
      <c r="B1138">
        <v>149900</v>
      </c>
      <c r="C1138">
        <f t="shared" si="34"/>
        <v>0.43393172421986476</v>
      </c>
      <c r="D1138" t="b">
        <f t="shared" si="35"/>
        <v>0</v>
      </c>
    </row>
    <row r="1139" spans="1:4" x14ac:dyDescent="0.25">
      <c r="A1139" t="s">
        <v>91</v>
      </c>
      <c r="B1139">
        <v>315000</v>
      </c>
      <c r="C1139">
        <f t="shared" si="34"/>
        <v>1.5636846168311587</v>
      </c>
      <c r="D1139" t="b">
        <f t="shared" si="35"/>
        <v>0</v>
      </c>
    </row>
    <row r="1140" spans="1:4" x14ac:dyDescent="0.25">
      <c r="A1140" t="s">
        <v>91</v>
      </c>
      <c r="B1140">
        <v>189000</v>
      </c>
      <c r="C1140">
        <f t="shared" si="34"/>
        <v>3.9156094890341248E-2</v>
      </c>
      <c r="D1140" t="b">
        <f t="shared" si="35"/>
        <v>0</v>
      </c>
    </row>
    <row r="1141" spans="1:4" x14ac:dyDescent="0.25">
      <c r="A1141" t="s">
        <v>91</v>
      </c>
      <c r="B1141">
        <v>260000</v>
      </c>
      <c r="C1141">
        <f t="shared" si="34"/>
        <v>0.898215817571278</v>
      </c>
      <c r="D1141" t="b">
        <f t="shared" si="35"/>
        <v>0</v>
      </c>
    </row>
    <row r="1142" spans="1:4" x14ac:dyDescent="0.25">
      <c r="A1142" t="s">
        <v>91</v>
      </c>
      <c r="B1142">
        <v>104900</v>
      </c>
      <c r="C1142">
        <f t="shared" si="34"/>
        <v>0.97840619634158532</v>
      </c>
      <c r="D1142" t="b">
        <f t="shared" si="35"/>
        <v>0</v>
      </c>
    </row>
    <row r="1143" spans="1:4" x14ac:dyDescent="0.25">
      <c r="A1143" t="s">
        <v>91</v>
      </c>
      <c r="B1143">
        <v>156932</v>
      </c>
      <c r="C1143">
        <f t="shared" si="34"/>
        <v>0.34884851337631057</v>
      </c>
      <c r="D1143" t="b">
        <f t="shared" si="35"/>
        <v>0</v>
      </c>
    </row>
    <row r="1144" spans="1:4" x14ac:dyDescent="0.25">
      <c r="A1144" t="s">
        <v>91</v>
      </c>
      <c r="B1144">
        <v>216000</v>
      </c>
      <c r="C1144">
        <f t="shared" si="34"/>
        <v>0.36584077816337357</v>
      </c>
      <c r="D1144" t="b">
        <f t="shared" si="35"/>
        <v>0</v>
      </c>
    </row>
    <row r="1145" spans="1:4" x14ac:dyDescent="0.25">
      <c r="A1145" t="s">
        <v>91</v>
      </c>
      <c r="B1145">
        <v>193000</v>
      </c>
      <c r="C1145">
        <f t="shared" si="34"/>
        <v>8.7553825745605288E-2</v>
      </c>
      <c r="D1145" t="b">
        <f t="shared" si="35"/>
        <v>0</v>
      </c>
    </row>
    <row r="1146" spans="1:4" x14ac:dyDescent="0.25">
      <c r="A1146" t="s">
        <v>91</v>
      </c>
      <c r="B1146">
        <v>232000</v>
      </c>
      <c r="C1146">
        <f t="shared" si="34"/>
        <v>0.55943170158442967</v>
      </c>
      <c r="D1146" t="b">
        <f t="shared" si="35"/>
        <v>0</v>
      </c>
    </row>
    <row r="1147" spans="1:4" x14ac:dyDescent="0.25">
      <c r="A1147" t="s">
        <v>91</v>
      </c>
      <c r="B1147">
        <v>105000</v>
      </c>
      <c r="C1147">
        <f t="shared" si="34"/>
        <v>0.97719625307020364</v>
      </c>
      <c r="D1147" t="b">
        <f t="shared" si="35"/>
        <v>0</v>
      </c>
    </row>
    <row r="1148" spans="1:4" x14ac:dyDescent="0.25">
      <c r="A1148" t="s">
        <v>91</v>
      </c>
      <c r="B1148">
        <v>165500</v>
      </c>
      <c r="C1148">
        <f t="shared" si="34"/>
        <v>0.24518057388433501</v>
      </c>
      <c r="D1148" t="b">
        <f t="shared" si="35"/>
        <v>0</v>
      </c>
    </row>
    <row r="1149" spans="1:4" x14ac:dyDescent="0.25">
      <c r="A1149" t="s">
        <v>91</v>
      </c>
      <c r="B1149">
        <v>274300</v>
      </c>
      <c r="C1149">
        <f t="shared" si="34"/>
        <v>1.0712377053788469</v>
      </c>
      <c r="D1149" t="b">
        <f t="shared" si="35"/>
        <v>0</v>
      </c>
    </row>
    <row r="1150" spans="1:4" x14ac:dyDescent="0.25">
      <c r="A1150" t="s">
        <v>91</v>
      </c>
      <c r="B1150">
        <v>466500</v>
      </c>
      <c r="C1150">
        <f t="shared" si="34"/>
        <v>3.3967486729742844</v>
      </c>
      <c r="D1150" t="b">
        <f t="shared" si="35"/>
        <v>1</v>
      </c>
    </row>
    <row r="1151" spans="1:4" x14ac:dyDescent="0.25">
      <c r="A1151" t="s">
        <v>91</v>
      </c>
      <c r="B1151">
        <v>250000</v>
      </c>
      <c r="C1151">
        <f t="shared" si="34"/>
        <v>0.77722149043311795</v>
      </c>
      <c r="D1151" t="b">
        <f t="shared" si="35"/>
        <v>0</v>
      </c>
    </row>
    <row r="1152" spans="1:4" x14ac:dyDescent="0.25">
      <c r="A1152" t="s">
        <v>91</v>
      </c>
      <c r="B1152">
        <v>239000</v>
      </c>
      <c r="C1152">
        <f t="shared" si="34"/>
        <v>0.64412773058114181</v>
      </c>
      <c r="D1152" t="b">
        <f t="shared" si="35"/>
        <v>0</v>
      </c>
    </row>
    <row r="1153" spans="1:4" x14ac:dyDescent="0.25">
      <c r="A1153" t="s">
        <v>91</v>
      </c>
      <c r="B1153">
        <v>91000</v>
      </c>
      <c r="C1153">
        <f t="shared" si="34"/>
        <v>1.1465883110636279</v>
      </c>
      <c r="D1153" t="b">
        <f t="shared" si="35"/>
        <v>0</v>
      </c>
    </row>
    <row r="1154" spans="1:4" x14ac:dyDescent="0.25">
      <c r="A1154" t="s">
        <v>91</v>
      </c>
      <c r="B1154">
        <v>117000</v>
      </c>
      <c r="C1154">
        <f t="shared" si="34"/>
        <v>0.83200306050441153</v>
      </c>
      <c r="D1154" t="b">
        <f t="shared" si="35"/>
        <v>0</v>
      </c>
    </row>
    <row r="1155" spans="1:4" x14ac:dyDescent="0.25">
      <c r="A1155" t="s">
        <v>91</v>
      </c>
      <c r="B1155">
        <v>167500</v>
      </c>
      <c r="C1155">
        <f t="shared" ref="C1155:C1218" si="36">ABS((B1155-$G$4)/$G$8)</f>
        <v>0.22098170845670298</v>
      </c>
      <c r="D1155" t="b">
        <f t="shared" ref="D1155:D1218" si="37">IF(C1155&gt;3,TRUE,FALSE)</f>
        <v>0</v>
      </c>
    </row>
    <row r="1156" spans="1:4" x14ac:dyDescent="0.25">
      <c r="A1156" t="s">
        <v>91</v>
      </c>
      <c r="B1156">
        <v>58500</v>
      </c>
      <c r="C1156">
        <f t="shared" si="36"/>
        <v>1.5398198742626481</v>
      </c>
      <c r="D1156" t="b">
        <f t="shared" si="37"/>
        <v>0</v>
      </c>
    </row>
    <row r="1157" spans="1:4" x14ac:dyDescent="0.25">
      <c r="A1157" t="s">
        <v>91</v>
      </c>
      <c r="B1157">
        <v>237500</v>
      </c>
      <c r="C1157">
        <f t="shared" si="36"/>
        <v>0.62597858151041774</v>
      </c>
      <c r="D1157" t="b">
        <f t="shared" si="37"/>
        <v>0</v>
      </c>
    </row>
    <row r="1158" spans="1:4" x14ac:dyDescent="0.25">
      <c r="A1158" t="s">
        <v>91</v>
      </c>
      <c r="B1158">
        <v>157000</v>
      </c>
      <c r="C1158">
        <f t="shared" si="36"/>
        <v>0.3480257519517711</v>
      </c>
      <c r="D1158" t="b">
        <f t="shared" si="37"/>
        <v>0</v>
      </c>
    </row>
    <row r="1159" spans="1:4" x14ac:dyDescent="0.25">
      <c r="A1159" t="s">
        <v>91</v>
      </c>
      <c r="B1159">
        <v>112000</v>
      </c>
      <c r="C1159">
        <f t="shared" si="36"/>
        <v>0.89250022407349161</v>
      </c>
      <c r="D1159" t="b">
        <f t="shared" si="37"/>
        <v>0</v>
      </c>
    </row>
    <row r="1160" spans="1:4" x14ac:dyDescent="0.25">
      <c r="A1160" t="s">
        <v>91</v>
      </c>
      <c r="B1160">
        <v>105000</v>
      </c>
      <c r="C1160">
        <f t="shared" si="36"/>
        <v>0.97719625307020364</v>
      </c>
      <c r="D1160" t="b">
        <f t="shared" si="37"/>
        <v>0</v>
      </c>
    </row>
    <row r="1161" spans="1:4" x14ac:dyDescent="0.25">
      <c r="A1161" t="s">
        <v>91</v>
      </c>
      <c r="B1161">
        <v>125500</v>
      </c>
      <c r="C1161">
        <f t="shared" si="36"/>
        <v>0.72915788243697544</v>
      </c>
      <c r="D1161" t="b">
        <f t="shared" si="37"/>
        <v>0</v>
      </c>
    </row>
    <row r="1162" spans="1:4" x14ac:dyDescent="0.25">
      <c r="A1162" t="s">
        <v>91</v>
      </c>
      <c r="B1162">
        <v>250000</v>
      </c>
      <c r="C1162">
        <f t="shared" si="36"/>
        <v>0.77722149043311795</v>
      </c>
      <c r="D1162" t="b">
        <f t="shared" si="37"/>
        <v>0</v>
      </c>
    </row>
    <row r="1163" spans="1:4" x14ac:dyDescent="0.25">
      <c r="A1163" t="s">
        <v>91</v>
      </c>
      <c r="B1163">
        <v>136000</v>
      </c>
      <c r="C1163">
        <f t="shared" si="36"/>
        <v>0.60211383894190729</v>
      </c>
      <c r="D1163" t="b">
        <f t="shared" si="37"/>
        <v>0</v>
      </c>
    </row>
    <row r="1164" spans="1:4" x14ac:dyDescent="0.25">
      <c r="A1164" t="s">
        <v>91</v>
      </c>
      <c r="B1164">
        <v>377500</v>
      </c>
      <c r="C1164">
        <f t="shared" si="36"/>
        <v>2.3198991614446594</v>
      </c>
      <c r="D1164" t="b">
        <f t="shared" si="37"/>
        <v>0</v>
      </c>
    </row>
    <row r="1165" spans="1:4" x14ac:dyDescent="0.25">
      <c r="A1165" t="s">
        <v>91</v>
      </c>
      <c r="B1165">
        <v>131000</v>
      </c>
      <c r="C1165">
        <f t="shared" si="36"/>
        <v>0.66261100251098737</v>
      </c>
      <c r="D1165" t="b">
        <f t="shared" si="37"/>
        <v>0</v>
      </c>
    </row>
    <row r="1166" spans="1:4" x14ac:dyDescent="0.25">
      <c r="A1166" t="s">
        <v>91</v>
      </c>
      <c r="B1166">
        <v>235000</v>
      </c>
      <c r="C1166">
        <f t="shared" si="36"/>
        <v>0.5957299997258777</v>
      </c>
      <c r="D1166" t="b">
        <f t="shared" si="37"/>
        <v>0</v>
      </c>
    </row>
    <row r="1167" spans="1:4" x14ac:dyDescent="0.25">
      <c r="A1167" t="s">
        <v>91</v>
      </c>
      <c r="B1167">
        <v>123000</v>
      </c>
      <c r="C1167">
        <f t="shared" si="36"/>
        <v>0.75940646422151548</v>
      </c>
      <c r="D1167" t="b">
        <f t="shared" si="37"/>
        <v>0</v>
      </c>
    </row>
    <row r="1168" spans="1:4" x14ac:dyDescent="0.25">
      <c r="A1168" t="s">
        <v>91</v>
      </c>
      <c r="B1168">
        <v>281213</v>
      </c>
      <c r="C1168">
        <f t="shared" si="36"/>
        <v>1.154881083729457</v>
      </c>
      <c r="D1168" t="b">
        <f t="shared" si="37"/>
        <v>0</v>
      </c>
    </row>
    <row r="1169" spans="1:4" x14ac:dyDescent="0.25">
      <c r="A1169" t="s">
        <v>91</v>
      </c>
      <c r="B1169">
        <v>160000</v>
      </c>
      <c r="C1169">
        <f t="shared" si="36"/>
        <v>0.31172745381032307</v>
      </c>
      <c r="D1169" t="b">
        <f t="shared" si="37"/>
        <v>0</v>
      </c>
    </row>
    <row r="1170" spans="1:4" x14ac:dyDescent="0.25">
      <c r="A1170" t="s">
        <v>91</v>
      </c>
      <c r="B1170">
        <v>137500</v>
      </c>
      <c r="C1170">
        <f t="shared" si="36"/>
        <v>0.58396468987118333</v>
      </c>
      <c r="D1170" t="b">
        <f t="shared" si="37"/>
        <v>0</v>
      </c>
    </row>
    <row r="1171" spans="1:4" x14ac:dyDescent="0.25">
      <c r="A1171" t="s">
        <v>91</v>
      </c>
      <c r="B1171">
        <v>138000</v>
      </c>
      <c r="C1171">
        <f t="shared" si="36"/>
        <v>0.57791497351427534</v>
      </c>
      <c r="D1171" t="b">
        <f t="shared" si="37"/>
        <v>0</v>
      </c>
    </row>
    <row r="1172" spans="1:4" x14ac:dyDescent="0.25">
      <c r="A1172" t="s">
        <v>91</v>
      </c>
      <c r="B1172">
        <v>137450</v>
      </c>
      <c r="C1172">
        <f t="shared" si="36"/>
        <v>0.58456966150687417</v>
      </c>
      <c r="D1172" t="b">
        <f t="shared" si="37"/>
        <v>0</v>
      </c>
    </row>
    <row r="1173" spans="1:4" x14ac:dyDescent="0.25">
      <c r="A1173" t="s">
        <v>91</v>
      </c>
      <c r="B1173">
        <v>120000</v>
      </c>
      <c r="C1173">
        <f t="shared" si="36"/>
        <v>0.7957047623629635</v>
      </c>
      <c r="D1173" t="b">
        <f t="shared" si="37"/>
        <v>0</v>
      </c>
    </row>
    <row r="1174" spans="1:4" x14ac:dyDescent="0.25">
      <c r="A1174" t="s">
        <v>91</v>
      </c>
      <c r="B1174">
        <v>193000</v>
      </c>
      <c r="C1174">
        <f t="shared" si="36"/>
        <v>8.7553825745605288E-2</v>
      </c>
      <c r="D1174" t="b">
        <f t="shared" si="37"/>
        <v>0</v>
      </c>
    </row>
    <row r="1175" spans="1:4" x14ac:dyDescent="0.25">
      <c r="A1175" t="s">
        <v>91</v>
      </c>
      <c r="B1175">
        <v>193879</v>
      </c>
      <c r="C1175">
        <f t="shared" si="36"/>
        <v>9.8189227101049562E-2</v>
      </c>
      <c r="D1175" t="b">
        <f t="shared" si="37"/>
        <v>0</v>
      </c>
    </row>
    <row r="1176" spans="1:4" x14ac:dyDescent="0.25">
      <c r="A1176" t="s">
        <v>91</v>
      </c>
      <c r="B1176">
        <v>282922</v>
      </c>
      <c r="C1176">
        <f t="shared" si="36"/>
        <v>1.1755590142373686</v>
      </c>
      <c r="D1176" t="b">
        <f t="shared" si="37"/>
        <v>0</v>
      </c>
    </row>
    <row r="1177" spans="1:4" x14ac:dyDescent="0.25">
      <c r="A1177" t="s">
        <v>91</v>
      </c>
      <c r="B1177">
        <v>105000</v>
      </c>
      <c r="C1177">
        <f t="shared" si="36"/>
        <v>0.97719625307020364</v>
      </c>
      <c r="D1177" t="b">
        <f t="shared" si="37"/>
        <v>0</v>
      </c>
    </row>
    <row r="1178" spans="1:4" x14ac:dyDescent="0.25">
      <c r="A1178" t="s">
        <v>91</v>
      </c>
      <c r="B1178">
        <v>133000</v>
      </c>
      <c r="C1178">
        <f t="shared" si="36"/>
        <v>0.63841213708335531</v>
      </c>
      <c r="D1178" t="b">
        <f t="shared" si="37"/>
        <v>0</v>
      </c>
    </row>
    <row r="1179" spans="1:4" x14ac:dyDescent="0.25">
      <c r="A1179" t="s">
        <v>91</v>
      </c>
      <c r="B1179">
        <v>112000</v>
      </c>
      <c r="C1179">
        <f t="shared" si="36"/>
        <v>0.89250022407349161</v>
      </c>
      <c r="D1179" t="b">
        <f t="shared" si="37"/>
        <v>0</v>
      </c>
    </row>
    <row r="1180" spans="1:4" x14ac:dyDescent="0.25">
      <c r="A1180" t="s">
        <v>91</v>
      </c>
      <c r="B1180">
        <v>125500</v>
      </c>
      <c r="C1180">
        <f t="shared" si="36"/>
        <v>0.72915788243697544</v>
      </c>
      <c r="D1180" t="b">
        <f t="shared" si="37"/>
        <v>0</v>
      </c>
    </row>
    <row r="1181" spans="1:4" x14ac:dyDescent="0.25">
      <c r="A1181" t="s">
        <v>91</v>
      </c>
      <c r="B1181">
        <v>215000</v>
      </c>
      <c r="C1181">
        <f t="shared" si="36"/>
        <v>0.35374134544955754</v>
      </c>
      <c r="D1181" t="b">
        <f t="shared" si="37"/>
        <v>0</v>
      </c>
    </row>
    <row r="1182" spans="1:4" x14ac:dyDescent="0.25">
      <c r="A1182" t="s">
        <v>91</v>
      </c>
      <c r="B1182">
        <v>230000</v>
      </c>
      <c r="C1182">
        <f t="shared" si="36"/>
        <v>0.53523283615679773</v>
      </c>
      <c r="D1182" t="b">
        <f t="shared" si="37"/>
        <v>0</v>
      </c>
    </row>
    <row r="1183" spans="1:4" x14ac:dyDescent="0.25">
      <c r="A1183" t="s">
        <v>91</v>
      </c>
      <c r="B1183">
        <v>140000</v>
      </c>
      <c r="C1183">
        <f t="shared" si="36"/>
        <v>0.55371610808664329</v>
      </c>
      <c r="D1183" t="b">
        <f t="shared" si="37"/>
        <v>0</v>
      </c>
    </row>
    <row r="1184" spans="1:4" x14ac:dyDescent="0.25">
      <c r="A1184" t="s">
        <v>91</v>
      </c>
      <c r="B1184">
        <v>257000</v>
      </c>
      <c r="C1184">
        <f t="shared" si="36"/>
        <v>0.86191751942982997</v>
      </c>
      <c r="D1184" t="b">
        <f t="shared" si="37"/>
        <v>0</v>
      </c>
    </row>
    <row r="1185" spans="1:4" x14ac:dyDescent="0.25">
      <c r="A1185" t="s">
        <v>91</v>
      </c>
      <c r="B1185">
        <v>207000</v>
      </c>
      <c r="C1185">
        <f t="shared" si="36"/>
        <v>0.25694588373902943</v>
      </c>
      <c r="D1185" t="b">
        <f t="shared" si="37"/>
        <v>0</v>
      </c>
    </row>
    <row r="1186" spans="1:4" x14ac:dyDescent="0.25">
      <c r="A1186" t="s">
        <v>91</v>
      </c>
      <c r="B1186">
        <v>340000</v>
      </c>
      <c r="C1186">
        <f t="shared" si="36"/>
        <v>1.8661704346765589</v>
      </c>
      <c r="D1186" t="b">
        <f t="shared" si="37"/>
        <v>0</v>
      </c>
    </row>
    <row r="1187" spans="1:4" x14ac:dyDescent="0.25">
      <c r="A1187" t="s">
        <v>91</v>
      </c>
      <c r="B1187">
        <v>124000</v>
      </c>
      <c r="C1187">
        <f t="shared" si="36"/>
        <v>0.7473070315076995</v>
      </c>
      <c r="D1187" t="b">
        <f t="shared" si="37"/>
        <v>0</v>
      </c>
    </row>
    <row r="1188" spans="1:4" x14ac:dyDescent="0.25">
      <c r="A1188" t="s">
        <v>91</v>
      </c>
      <c r="B1188">
        <v>223000</v>
      </c>
      <c r="C1188">
        <f t="shared" si="36"/>
        <v>0.4505368071600856</v>
      </c>
      <c r="D1188" t="b">
        <f t="shared" si="37"/>
        <v>0</v>
      </c>
    </row>
    <row r="1189" spans="1:4" x14ac:dyDescent="0.25">
      <c r="A1189" t="s">
        <v>91</v>
      </c>
      <c r="B1189">
        <v>179900</v>
      </c>
      <c r="C1189">
        <f t="shared" si="36"/>
        <v>7.0948742805384449E-2</v>
      </c>
      <c r="D1189" t="b">
        <f t="shared" si="37"/>
        <v>0</v>
      </c>
    </row>
    <row r="1190" spans="1:4" x14ac:dyDescent="0.25">
      <c r="A1190" t="s">
        <v>91</v>
      </c>
      <c r="B1190">
        <v>274970</v>
      </c>
      <c r="C1190">
        <f t="shared" si="36"/>
        <v>1.0793443252971038</v>
      </c>
      <c r="D1190" t="b">
        <f t="shared" si="37"/>
        <v>0</v>
      </c>
    </row>
    <row r="1191" spans="1:4" x14ac:dyDescent="0.25">
      <c r="A1191" t="s">
        <v>91</v>
      </c>
      <c r="B1191">
        <v>144000</v>
      </c>
      <c r="C1191">
        <f t="shared" si="36"/>
        <v>0.50531837723137929</v>
      </c>
      <c r="D1191" t="b">
        <f t="shared" si="37"/>
        <v>0</v>
      </c>
    </row>
    <row r="1192" spans="1:4" x14ac:dyDescent="0.25">
      <c r="A1192" t="s">
        <v>91</v>
      </c>
      <c r="B1192">
        <v>142000</v>
      </c>
      <c r="C1192">
        <f t="shared" si="36"/>
        <v>0.52951724265901123</v>
      </c>
      <c r="D1192" t="b">
        <f t="shared" si="37"/>
        <v>0</v>
      </c>
    </row>
    <row r="1193" spans="1:4" x14ac:dyDescent="0.25">
      <c r="A1193" t="s">
        <v>91</v>
      </c>
      <c r="B1193">
        <v>271000</v>
      </c>
      <c r="C1193">
        <f t="shared" si="36"/>
        <v>1.0313095774232541</v>
      </c>
      <c r="D1193" t="b">
        <f t="shared" si="37"/>
        <v>0</v>
      </c>
    </row>
    <row r="1194" spans="1:4" x14ac:dyDescent="0.25">
      <c r="A1194" t="s">
        <v>91</v>
      </c>
      <c r="B1194">
        <v>140000</v>
      </c>
      <c r="C1194">
        <f t="shared" si="36"/>
        <v>0.55371610808664329</v>
      </c>
      <c r="D1194" t="b">
        <f t="shared" si="37"/>
        <v>0</v>
      </c>
    </row>
    <row r="1195" spans="1:4" x14ac:dyDescent="0.25">
      <c r="A1195" t="s">
        <v>91</v>
      </c>
      <c r="B1195">
        <v>119000</v>
      </c>
      <c r="C1195">
        <f t="shared" si="36"/>
        <v>0.80780419507677947</v>
      </c>
      <c r="D1195" t="b">
        <f t="shared" si="37"/>
        <v>0</v>
      </c>
    </row>
    <row r="1196" spans="1:4" x14ac:dyDescent="0.25">
      <c r="A1196" t="s">
        <v>91</v>
      </c>
      <c r="B1196">
        <v>182900</v>
      </c>
      <c r="C1196">
        <f t="shared" si="36"/>
        <v>3.4650444663936415E-2</v>
      </c>
      <c r="D1196" t="b">
        <f t="shared" si="37"/>
        <v>0</v>
      </c>
    </row>
    <row r="1197" spans="1:4" x14ac:dyDescent="0.25">
      <c r="A1197" t="s">
        <v>91</v>
      </c>
      <c r="B1197">
        <v>192140</v>
      </c>
      <c r="C1197">
        <f t="shared" si="36"/>
        <v>7.7148313611723529E-2</v>
      </c>
      <c r="D1197" t="b">
        <f t="shared" si="37"/>
        <v>0</v>
      </c>
    </row>
    <row r="1198" spans="1:4" x14ac:dyDescent="0.25">
      <c r="A1198" t="s">
        <v>91</v>
      </c>
      <c r="B1198">
        <v>64500</v>
      </c>
      <c r="C1198">
        <f t="shared" si="36"/>
        <v>1.467223277979752</v>
      </c>
      <c r="D1198" t="b">
        <f t="shared" si="37"/>
        <v>0</v>
      </c>
    </row>
    <row r="1199" spans="1:4" x14ac:dyDescent="0.25">
      <c r="A1199" t="s">
        <v>91</v>
      </c>
      <c r="B1199">
        <v>186500</v>
      </c>
      <c r="C1199">
        <f t="shared" si="36"/>
        <v>8.9075131058012208E-3</v>
      </c>
      <c r="D1199" t="b">
        <f t="shared" si="37"/>
        <v>0</v>
      </c>
    </row>
    <row r="1200" spans="1:4" x14ac:dyDescent="0.25">
      <c r="A1200" t="s">
        <v>91</v>
      </c>
      <c r="B1200">
        <v>160000</v>
      </c>
      <c r="C1200">
        <f t="shared" si="36"/>
        <v>0.31172745381032307</v>
      </c>
      <c r="D1200" t="b">
        <f t="shared" si="37"/>
        <v>0</v>
      </c>
    </row>
    <row r="1201" spans="1:4" x14ac:dyDescent="0.25">
      <c r="A1201" t="s">
        <v>91</v>
      </c>
      <c r="B1201">
        <v>174000</v>
      </c>
      <c r="C1201">
        <f t="shared" si="36"/>
        <v>0.14233539581689891</v>
      </c>
      <c r="D1201" t="b">
        <f t="shared" si="37"/>
        <v>0</v>
      </c>
    </row>
    <row r="1202" spans="1:4" x14ac:dyDescent="0.25">
      <c r="A1202" t="s">
        <v>91</v>
      </c>
      <c r="B1202">
        <v>120500</v>
      </c>
      <c r="C1202">
        <f t="shared" si="36"/>
        <v>0.78965504600605552</v>
      </c>
      <c r="D1202" t="b">
        <f t="shared" si="37"/>
        <v>0</v>
      </c>
    </row>
    <row r="1203" spans="1:4" x14ac:dyDescent="0.25">
      <c r="A1203" t="s">
        <v>91</v>
      </c>
      <c r="B1203">
        <v>394617</v>
      </c>
      <c r="C1203">
        <f t="shared" si="36"/>
        <v>2.5270051512070482</v>
      </c>
      <c r="D1203" t="b">
        <f t="shared" si="37"/>
        <v>0</v>
      </c>
    </row>
    <row r="1204" spans="1:4" x14ac:dyDescent="0.25">
      <c r="A1204" t="s">
        <v>91</v>
      </c>
      <c r="B1204">
        <v>149700</v>
      </c>
      <c r="C1204">
        <f t="shared" si="36"/>
        <v>0.43635161076262796</v>
      </c>
      <c r="D1204" t="b">
        <f t="shared" si="37"/>
        <v>0</v>
      </c>
    </row>
    <row r="1205" spans="1:4" x14ac:dyDescent="0.25">
      <c r="A1205" t="s">
        <v>91</v>
      </c>
      <c r="B1205">
        <v>197000</v>
      </c>
      <c r="C1205">
        <f t="shared" si="36"/>
        <v>0.13595155660086933</v>
      </c>
      <c r="D1205" t="b">
        <f t="shared" si="37"/>
        <v>0</v>
      </c>
    </row>
    <row r="1206" spans="1:4" x14ac:dyDescent="0.25">
      <c r="A1206" t="s">
        <v>91</v>
      </c>
      <c r="B1206">
        <v>191000</v>
      </c>
      <c r="C1206">
        <f t="shared" si="36"/>
        <v>6.3354960317973275E-2</v>
      </c>
      <c r="D1206" t="b">
        <f t="shared" si="37"/>
        <v>0</v>
      </c>
    </row>
    <row r="1207" spans="1:4" x14ac:dyDescent="0.25">
      <c r="A1207" t="s">
        <v>91</v>
      </c>
      <c r="B1207">
        <v>310000</v>
      </c>
      <c r="C1207">
        <f t="shared" si="36"/>
        <v>1.5031874532620786</v>
      </c>
      <c r="D1207" t="b">
        <f t="shared" si="37"/>
        <v>0</v>
      </c>
    </row>
    <row r="1208" spans="1:4" x14ac:dyDescent="0.25">
      <c r="A1208" t="s">
        <v>91</v>
      </c>
      <c r="B1208">
        <v>121000</v>
      </c>
      <c r="C1208">
        <f t="shared" si="36"/>
        <v>0.78360532964914753</v>
      </c>
      <c r="D1208" t="b">
        <f t="shared" si="37"/>
        <v>0</v>
      </c>
    </row>
    <row r="1209" spans="1:4" x14ac:dyDescent="0.25">
      <c r="A1209" t="s">
        <v>91</v>
      </c>
      <c r="B1209">
        <v>179600</v>
      </c>
      <c r="C1209">
        <f t="shared" si="36"/>
        <v>7.4578572619529257E-2</v>
      </c>
      <c r="D1209" t="b">
        <f t="shared" si="37"/>
        <v>0</v>
      </c>
    </row>
    <row r="1210" spans="1:4" x14ac:dyDescent="0.25">
      <c r="A1210" t="s">
        <v>91</v>
      </c>
      <c r="B1210">
        <v>129000</v>
      </c>
      <c r="C1210">
        <f t="shared" si="36"/>
        <v>0.68680986793861942</v>
      </c>
      <c r="D1210" t="b">
        <f t="shared" si="37"/>
        <v>0</v>
      </c>
    </row>
    <row r="1211" spans="1:4" x14ac:dyDescent="0.25">
      <c r="A1211" t="s">
        <v>91</v>
      </c>
      <c r="B1211">
        <v>157900</v>
      </c>
      <c r="C1211">
        <f t="shared" si="36"/>
        <v>0.3371362625093367</v>
      </c>
      <c r="D1211" t="b">
        <f t="shared" si="37"/>
        <v>0</v>
      </c>
    </row>
    <row r="1212" spans="1:4" x14ac:dyDescent="0.25">
      <c r="A1212" t="s">
        <v>91</v>
      </c>
      <c r="B1212">
        <v>240000</v>
      </c>
      <c r="C1212">
        <f t="shared" si="36"/>
        <v>0.65622716329495778</v>
      </c>
      <c r="D1212" t="b">
        <f t="shared" si="37"/>
        <v>0</v>
      </c>
    </row>
    <row r="1213" spans="1:4" x14ac:dyDescent="0.25">
      <c r="A1213" t="s">
        <v>91</v>
      </c>
      <c r="B1213">
        <v>112000</v>
      </c>
      <c r="C1213">
        <f t="shared" si="36"/>
        <v>0.89250022407349161</v>
      </c>
      <c r="D1213" t="b">
        <f t="shared" si="37"/>
        <v>0</v>
      </c>
    </row>
    <row r="1214" spans="1:4" x14ac:dyDescent="0.25">
      <c r="A1214" t="s">
        <v>91</v>
      </c>
      <c r="B1214">
        <v>287090</v>
      </c>
      <c r="C1214">
        <f t="shared" si="36"/>
        <v>1.2259894497885537</v>
      </c>
      <c r="D1214" t="b">
        <f t="shared" si="37"/>
        <v>0</v>
      </c>
    </row>
    <row r="1215" spans="1:4" x14ac:dyDescent="0.25">
      <c r="A1215" t="s">
        <v>91</v>
      </c>
      <c r="B1215">
        <v>84500</v>
      </c>
      <c r="C1215">
        <f t="shared" si="36"/>
        <v>1.2252346237034319</v>
      </c>
      <c r="D1215" t="b">
        <f t="shared" si="37"/>
        <v>0</v>
      </c>
    </row>
    <row r="1216" spans="1:4" x14ac:dyDescent="0.25">
      <c r="A1216" t="s">
        <v>91</v>
      </c>
      <c r="B1216">
        <v>185000</v>
      </c>
      <c r="C1216">
        <f t="shared" si="36"/>
        <v>9.241635964922796E-3</v>
      </c>
      <c r="D1216" t="b">
        <f t="shared" si="37"/>
        <v>0</v>
      </c>
    </row>
    <row r="1217" spans="1:4" x14ac:dyDescent="0.25">
      <c r="A1217" t="s">
        <v>91</v>
      </c>
      <c r="B1217">
        <v>175000</v>
      </c>
      <c r="C1217">
        <f t="shared" si="36"/>
        <v>0.13023596310308291</v>
      </c>
      <c r="D1217" t="b">
        <f t="shared" si="37"/>
        <v>0</v>
      </c>
    </row>
    <row r="1218" spans="1:4" x14ac:dyDescent="0.25">
      <c r="A1218" t="s">
        <v>91</v>
      </c>
      <c r="B1218">
        <v>210000</v>
      </c>
      <c r="C1218">
        <f t="shared" si="36"/>
        <v>0.29324418188047746</v>
      </c>
      <c r="D1218" t="b">
        <f t="shared" si="37"/>
        <v>0</v>
      </c>
    </row>
    <row r="1219" spans="1:4" x14ac:dyDescent="0.25">
      <c r="A1219" t="s">
        <v>91</v>
      </c>
      <c r="B1219">
        <v>266500</v>
      </c>
      <c r="C1219">
        <f t="shared" ref="C1219:C1221" si="38">ABS((B1219-$G$4)/$G$8)</f>
        <v>0.97686213021108215</v>
      </c>
      <c r="D1219" t="b">
        <f t="shared" ref="D1219:D1221" si="39">IF(C1219&gt;3,TRUE,FALSE)</f>
        <v>0</v>
      </c>
    </row>
    <row r="1220" spans="1:4" x14ac:dyDescent="0.25">
      <c r="A1220" t="s">
        <v>91</v>
      </c>
      <c r="B1220">
        <v>142125</v>
      </c>
      <c r="C1220">
        <f t="shared" si="38"/>
        <v>0.52800481356978424</v>
      </c>
      <c r="D1220" t="b">
        <f t="shared" si="39"/>
        <v>0</v>
      </c>
    </row>
    <row r="1221" spans="1:4" x14ac:dyDescent="0.25">
      <c r="A1221" t="s">
        <v>91</v>
      </c>
      <c r="B1221">
        <v>147500</v>
      </c>
      <c r="C1221">
        <f t="shared" si="38"/>
        <v>0.46297036273302322</v>
      </c>
      <c r="D1221" t="b">
        <f t="shared" si="39"/>
        <v>0</v>
      </c>
    </row>
  </sheetData>
  <autoFilter ref="A1:D1221" xr:uid="{32CBF58E-A0E8-487C-9F82-B4274004FACE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HomePrices</vt:lpstr>
      <vt:lpstr>Req1</vt:lpstr>
      <vt:lpstr>Req 2</vt:lpstr>
      <vt:lpstr>Req 3</vt:lpstr>
      <vt:lpstr>Req 4</vt:lpstr>
      <vt:lpstr>Req 5</vt:lpstr>
      <vt:lpstr>Req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</dc:creator>
  <cp:lastModifiedBy>Joo Ha</cp:lastModifiedBy>
  <dcterms:created xsi:type="dcterms:W3CDTF">2024-09-12T14:53:31Z</dcterms:created>
  <dcterms:modified xsi:type="dcterms:W3CDTF">2026-01-21T01:32:29Z</dcterms:modified>
</cp:coreProperties>
</file>