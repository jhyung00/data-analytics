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study-guide\study-guide-2-lab-style2\instructor\"/>
    </mc:Choice>
  </mc:AlternateContent>
  <xr:revisionPtr revIDLastSave="0" documentId="13_ncr:1_{8F98EADE-48F3-4B40-9B9C-D85F5203512B}" xr6:coauthVersionLast="47" xr6:coauthVersionMax="47" xr10:uidLastSave="{00000000-0000-0000-0000-000000000000}"/>
  <bookViews>
    <workbookView xWindow="49095" yWindow="-1560" windowWidth="22740" windowHeight="13890" tabRatio="691" firstSheet="4" activeTab="10" xr2:uid="{00000000-000D-0000-FFFF-FFFF00000000}"/>
  </bookViews>
  <sheets>
    <sheet name="Req 1-Pivot" sheetId="8" r:id="rId1"/>
    <sheet name="Sales_Data" sheetId="1" r:id="rId2"/>
    <sheet name="Daily_Sales" sheetId="2" r:id="rId3"/>
    <sheet name="Req3-Q1-2" sheetId="5" r:id="rId4"/>
    <sheet name="Req3-Q3" sheetId="11" r:id="rId5"/>
    <sheet name="Solver_Model" sheetId="3" r:id="rId6"/>
    <sheet name="Req4-Q1-2" sheetId="7" r:id="rId7"/>
    <sheet name="Financial_Forecast" sheetId="4" r:id="rId8"/>
    <sheet name="Req 5-Q1-2" sheetId="13" r:id="rId9"/>
    <sheet name="Ad_Mix_Solver" sheetId="10" r:id="rId10"/>
    <sheet name="Req 6-Scenario Summary" sheetId="14" r:id="rId11"/>
    <sheet name="Zag_Launch_Scenarios" sheetId="9" r:id="rId12"/>
  </sheets>
  <definedNames>
    <definedName name="COGS">Financial_Forecast!$B$5</definedName>
    <definedName name="ExpVol">Zag_Launch_Scenarios!$B$6</definedName>
    <definedName name="NetIncome">Financial_Forecast!$B$12</definedName>
    <definedName name="NP">Zag_Launch_Scenarios!$B$12</definedName>
    <definedName name="SalesGrowth">Financial_Forecast!$B$4</definedName>
    <definedName name="SellingPrice">Zag_Launch_Scenarios!$B$4</definedName>
    <definedName name="solver_adj" localSheetId="9" hidden="1">Ad_Mix_Solver!$D$5:$D$7</definedName>
    <definedName name="solver_adj" localSheetId="5" hidden="1">Solver_Model!$C$5:$D$5</definedName>
    <definedName name="solver_cvg" localSheetId="9" hidden="1">0.0001</definedName>
    <definedName name="solver_cvg" localSheetId="5" hidden="1">0.0001</definedName>
    <definedName name="solver_drv" localSheetId="9" hidden="1">1</definedName>
    <definedName name="solver_drv" localSheetId="5" hidden="1">1</definedName>
    <definedName name="solver_eng" localSheetId="9" hidden="1">2</definedName>
    <definedName name="solver_eng" localSheetId="5" hidden="1">1</definedName>
    <definedName name="solver_est" localSheetId="9" hidden="1">1</definedName>
    <definedName name="solver_est" localSheetId="5" hidden="1">1</definedName>
    <definedName name="solver_itr" localSheetId="9" hidden="1">2147483647</definedName>
    <definedName name="solver_itr" localSheetId="5" hidden="1">2147483647</definedName>
    <definedName name="solver_lhs1" localSheetId="9" hidden="1">Ad_Mix_Solver!$D$10</definedName>
    <definedName name="solver_lhs1" localSheetId="5" hidden="1">Solver_Model!$E$8</definedName>
    <definedName name="solver_lhs2" localSheetId="9" hidden="1">Ad_Mix_Solver!$D$5</definedName>
    <definedName name="solver_lhs2" localSheetId="5" hidden="1">Solver_Model!$E$9</definedName>
    <definedName name="solver_lhs3" localSheetId="9" hidden="1">Ad_Mix_Solver!$D$5:$D$7</definedName>
    <definedName name="solver_lhs4" localSheetId="9" hidden="1">Ad_Mix_Solver!$D$6</definedName>
    <definedName name="solver_mip" localSheetId="9" hidden="1">2147483647</definedName>
    <definedName name="solver_mip" localSheetId="5" hidden="1">2147483647</definedName>
    <definedName name="solver_mni" localSheetId="9" hidden="1">30</definedName>
    <definedName name="solver_mni" localSheetId="5" hidden="1">30</definedName>
    <definedName name="solver_mrt" localSheetId="9" hidden="1">0.075</definedName>
    <definedName name="solver_mrt" localSheetId="5" hidden="1">0.075</definedName>
    <definedName name="solver_msl" localSheetId="9" hidden="1">2</definedName>
    <definedName name="solver_msl" localSheetId="5" hidden="1">2</definedName>
    <definedName name="solver_neg" localSheetId="9" hidden="1">1</definedName>
    <definedName name="solver_neg" localSheetId="5" hidden="1">1</definedName>
    <definedName name="solver_nod" localSheetId="9" hidden="1">2147483647</definedName>
    <definedName name="solver_nod" localSheetId="5" hidden="1">2147483647</definedName>
    <definedName name="solver_num" localSheetId="9" hidden="1">4</definedName>
    <definedName name="solver_num" localSheetId="5" hidden="1">2</definedName>
    <definedName name="solver_nwt" localSheetId="9" hidden="1">1</definedName>
    <definedName name="solver_nwt" localSheetId="5" hidden="1">1</definedName>
    <definedName name="solver_opt" localSheetId="9" hidden="1">Ad_Mix_Solver!$D$16</definedName>
    <definedName name="solver_opt" localSheetId="5" hidden="1">Solver_Model!$E$15</definedName>
    <definedName name="solver_pre" localSheetId="9" hidden="1">0.000001</definedName>
    <definedName name="solver_pre" localSheetId="5" hidden="1">0.000001</definedName>
    <definedName name="solver_rbv" localSheetId="9" hidden="1">1</definedName>
    <definedName name="solver_rbv" localSheetId="5" hidden="1">1</definedName>
    <definedName name="solver_rel1" localSheetId="9" hidden="1">1</definedName>
    <definedName name="solver_rel1" localSheetId="5" hidden="1">1</definedName>
    <definedName name="solver_rel2" localSheetId="9" hidden="1">3</definedName>
    <definedName name="solver_rel2" localSheetId="5" hidden="1">1</definedName>
    <definedName name="solver_rel3" localSheetId="9" hidden="1">4</definedName>
    <definedName name="solver_rel4" localSheetId="9" hidden="1">1</definedName>
    <definedName name="solver_rhs1" localSheetId="9" hidden="1">Ad_Mix_Solver!$D$11</definedName>
    <definedName name="solver_rhs1" localSheetId="5" hidden="1">2000</definedName>
    <definedName name="solver_rhs2" localSheetId="9" hidden="1">Ad_Mix_Solver!$D$12</definedName>
    <definedName name="solver_rhs2" localSheetId="5" hidden="1">Solver_Model!$G$9</definedName>
    <definedName name="solver_rhs3" localSheetId="9" hidden="1">"integer"</definedName>
    <definedName name="solver_rhs4" localSheetId="9" hidden="1">Ad_Mix_Solver!$D$13</definedName>
    <definedName name="solver_rlx" localSheetId="9" hidden="1">2</definedName>
    <definedName name="solver_rlx" localSheetId="5" hidden="1">2</definedName>
    <definedName name="solver_rsd" localSheetId="9" hidden="1">0</definedName>
    <definedName name="solver_rsd" localSheetId="5" hidden="1">0</definedName>
    <definedName name="solver_scl" localSheetId="9" hidden="1">1</definedName>
    <definedName name="solver_scl" localSheetId="5" hidden="1">1</definedName>
    <definedName name="solver_sho" localSheetId="9" hidden="1">2</definedName>
    <definedName name="solver_sho" localSheetId="5" hidden="1">2</definedName>
    <definedName name="solver_ssz" localSheetId="9" hidden="1">100</definedName>
    <definedName name="solver_ssz" localSheetId="5" hidden="1">100</definedName>
    <definedName name="solver_tim" localSheetId="9" hidden="1">2147483647</definedName>
    <definedName name="solver_tim" localSheetId="5" hidden="1">2147483647</definedName>
    <definedName name="solver_tol" localSheetId="9" hidden="1">0.01</definedName>
    <definedName name="solver_tol" localSheetId="5" hidden="1">0.01</definedName>
    <definedName name="solver_typ" localSheetId="9" hidden="1">1</definedName>
    <definedName name="solver_typ" localSheetId="5" hidden="1">1</definedName>
    <definedName name="solver_val" localSheetId="9" hidden="1">0</definedName>
    <definedName name="solver_val" localSheetId="5" hidden="1">0</definedName>
    <definedName name="solver_ver" localSheetId="9" hidden="1">3</definedName>
    <definedName name="solver_ver" localSheetId="5" hidden="1">3</definedName>
    <definedName name="UnitCost">Zag_Launch_Scenarios!$B$5</definedName>
  </definedNames>
  <calcPr calcId="191029"/>
  <pivotCaches>
    <pivotCache cacheId="1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B9" i="9"/>
  <c r="D16" i="10"/>
  <c r="D10" i="10"/>
  <c r="E1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2" i="2"/>
  <c r="B12" i="9" l="1"/>
  <c r="B9" i="4" l="1"/>
  <c r="E15" i="3"/>
  <c r="E9" i="3"/>
  <c r="E8" i="3"/>
  <c r="B10" i="4" l="1"/>
  <c r="B12" i="4" s="1"/>
</calcChain>
</file>

<file path=xl/sharedStrings.xml><?xml version="1.0" encoding="utf-8"?>
<sst xmlns="http://schemas.openxmlformats.org/spreadsheetml/2006/main" count="494" uniqueCount="170">
  <si>
    <t>Transaction ID</t>
  </si>
  <si>
    <t>Transaction Date</t>
  </si>
  <si>
    <t>Product Category</t>
  </si>
  <si>
    <t>Revenue</t>
  </si>
  <si>
    <t>Laptops</t>
  </si>
  <si>
    <t>Smartphones</t>
  </si>
  <si>
    <t>Tablets</t>
  </si>
  <si>
    <t>Wearables</t>
  </si>
  <si>
    <t>Date</t>
  </si>
  <si>
    <t>Daily Revenue</t>
  </si>
  <si>
    <t>Bulldog Corp - Solver Optimization Model</t>
  </si>
  <si>
    <t>Parameters</t>
  </si>
  <si>
    <t/>
  </si>
  <si>
    <t>Alpha</t>
  </si>
  <si>
    <t>Beta</t>
  </si>
  <si>
    <t>Available Limit</t>
  </si>
  <si>
    <t>Decision Variables:</t>
  </si>
  <si>
    <t>Units Produced</t>
  </si>
  <si>
    <t>Profit Per Unit</t>
  </si>
  <si>
    <t>Constraints:</t>
  </si>
  <si>
    <t>Assembly Hours Used</t>
  </si>
  <si>
    <t>&lt;=</t>
  </si>
  <si>
    <t>Testing Hours Used</t>
  </si>
  <si>
    <t>Objective:</t>
  </si>
  <si>
    <t>Total Profit</t>
  </si>
  <si>
    <t>Bulldog Corp - Financial Forecast Model</t>
  </si>
  <si>
    <t>Assumptions</t>
  </si>
  <si>
    <t>Case Values</t>
  </si>
  <si>
    <t>Sales Growth</t>
  </si>
  <si>
    <t>COGS %</t>
  </si>
  <si>
    <t>Income Statement</t>
  </si>
  <si>
    <t>Amount</t>
  </si>
  <si>
    <t>Prior Year Revenue</t>
  </si>
  <si>
    <t>Gross Sales</t>
  </si>
  <si>
    <t>COGS</t>
  </si>
  <si>
    <t>Operating Expenses</t>
  </si>
  <si>
    <t>Net Income</t>
  </si>
  <si>
    <t>Microsoft Excel 16.0 Answer Report</t>
  </si>
  <si>
    <t>Worksheet: [BulldogCorp_Operations_Solutions (1).xlsx]Solver_Model</t>
  </si>
  <si>
    <t>Report Created: 2/19/2026 4:16:08 PM</t>
  </si>
  <si>
    <t>Result: Solver found a solution.  All Constraints and optimality conditions are satisfied.</t>
  </si>
  <si>
    <t>Solver Engine</t>
  </si>
  <si>
    <t>Engine: GRG Nonlinear</t>
  </si>
  <si>
    <t>Solution Time: 0.015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</si>
  <si>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</si>
  <si>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</si>
  <si>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</si>
  <si>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</si>
  <si>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</si>
  <si>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</si>
  <si>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</si>
  <si>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</si>
  <si>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</si>
  <si>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</si>
  <si>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</si>
  <si>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</si>
  <si>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</si>
  <si>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</si>
  <si>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</si>
  <si>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</si>
  <si>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</si>
  <si>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$E$15</t>
  </si>
  <si>
    <t>$C$5</t>
  </si>
  <si>
    <t>Units Produced Alpha</t>
  </si>
  <si>
    <t>Contin</t>
  </si>
  <si>
    <t>$D$5</t>
  </si>
  <si>
    <t>Units Produced Beta</t>
  </si>
  <si>
    <t>$E$8</t>
  </si>
  <si>
    <t>$E$8&lt;=$G$8</t>
  </si>
  <si>
    <t>Binding</t>
  </si>
  <si>
    <t>$E$9</t>
  </si>
  <si>
    <t>$E$9&lt;=$G$9</t>
  </si>
  <si>
    <t>SalesGrowth</t>
  </si>
  <si>
    <t>Base</t>
  </si>
  <si>
    <t>Created by haj on 2/19/2026
Modified by haj on 2/19/2026</t>
  </si>
  <si>
    <t>Best</t>
  </si>
  <si>
    <t>Created by haj on 2/19/2026</t>
  </si>
  <si>
    <t>Worst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</si>
  <si>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</si>
  <si>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</si>
  <si>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</si>
  <si>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</si>
  <si>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</si>
  <si>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</si>
  <si>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</si>
  <si>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NetIncome</t>
  </si>
  <si>
    <t>Sum of Revenue</t>
  </si>
  <si>
    <t>Row Labels</t>
  </si>
  <si>
    <t>Grand Total</t>
  </si>
  <si>
    <t>Bulldog Corp - Project Zag Launch</t>
  </si>
  <si>
    <t>Scenario Inputs</t>
  </si>
  <si>
    <t>Current Value</t>
  </si>
  <si>
    <t>Selling Price</t>
  </si>
  <si>
    <t>Unit Cost</t>
  </si>
  <si>
    <t>Expected Volume</t>
  </si>
  <si>
    <t>Financials</t>
  </si>
  <si>
    <t>Total Revenue</t>
  </si>
  <si>
    <t>Total Variable Cost</t>
  </si>
  <si>
    <t>Fixed Costs</t>
  </si>
  <si>
    <t>Net Profit</t>
  </si>
  <si>
    <t>Bulldog Corp - Advertising Campaign (Maximize Reach)</t>
  </si>
  <si>
    <t>Platform</t>
  </si>
  <si>
    <t>Cost per Ad</t>
  </si>
  <si>
    <t>Est. Reach per Ad</t>
  </si>
  <si>
    <t>Ads Purchased</t>
  </si>
  <si>
    <t>Social Media</t>
  </si>
  <si>
    <t>TV</t>
  </si>
  <si>
    <t>Print</t>
  </si>
  <si>
    <t>Budget &amp; Requirements</t>
  </si>
  <si>
    <t>Current Limit/Amount</t>
  </si>
  <si>
    <t>Total Spent</t>
  </si>
  <si>
    <t>Max Budget Limit</t>
  </si>
  <si>
    <t>Min Social Ads Requirement</t>
  </si>
  <si>
    <t>Max TV Ads Requirement</t>
  </si>
  <si>
    <t>Total Audience Reach</t>
  </si>
  <si>
    <t>Qtr1</t>
  </si>
  <si>
    <t>Qtr2</t>
  </si>
  <si>
    <t>Qtr3</t>
  </si>
  <si>
    <t>Qtr4</t>
  </si>
  <si>
    <t>Average of Revenue</t>
  </si>
  <si>
    <t>Bins</t>
  </si>
  <si>
    <t>More</t>
  </si>
  <si>
    <t>Frequency</t>
  </si>
  <si>
    <t>Z score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</si>
  <si>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</si>
  <si>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</si>
  <si>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</si>
  <si>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</si>
  <si>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</si>
  <si>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</si>
  <si>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</si>
  <si>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</si>
  <si>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</si>
  <si>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</si>
  <si>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</si>
  <si>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</si>
  <si>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</si>
  <si>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# of Outliers</t>
  </si>
  <si>
    <t>Worksheet: [BulldogCorp_Operations_Solutions.xlsx]Solver_Model</t>
  </si>
  <si>
    <t>Report Created: 2/19/2026 4:58:30 PM</t>
  </si>
  <si>
    <t>Solution Time: 0.016 Seconds.</t>
  </si>
  <si>
    <t>Iterations: 2 Subproblems: 0</t>
  </si>
  <si>
    <t>$E$8&lt;=2000</t>
  </si>
  <si>
    <t>Not Binding</t>
  </si>
  <si>
    <t>Worksheet: [BulldogCorp_Operations_Solutions.xlsx]Ad_Mix_Solver</t>
  </si>
  <si>
    <t>Report Created: 2/19/2026 5:04:20 PM</t>
  </si>
  <si>
    <t>Engine: Simplex LP</t>
  </si>
  <si>
    <t>Iterations: 1 Subproblems: 2</t>
  </si>
  <si>
    <t>$D$16</t>
  </si>
  <si>
    <t>Social Media Ads Purchased</t>
  </si>
  <si>
    <t>$D$6</t>
  </si>
  <si>
    <t>TV Ads Purchased</t>
  </si>
  <si>
    <t>$D$7</t>
  </si>
  <si>
    <t>Print Ads Purchased</t>
  </si>
  <si>
    <t>$D$10</t>
  </si>
  <si>
    <t>&lt;= Current Limit/Amount</t>
  </si>
  <si>
    <t>$D$10&lt;=$D$11</t>
  </si>
  <si>
    <t>$D$5&gt;=$D$12</t>
  </si>
  <si>
    <t>$D$6&lt;=$D$13</t>
  </si>
  <si>
    <t>$D$5:$D$7=Integer</t>
  </si>
  <si>
    <t>SellingPrice</t>
  </si>
  <si>
    <t>UnitCost</t>
  </si>
  <si>
    <t>ExpVol</t>
  </si>
  <si>
    <t>NP</t>
  </si>
  <si>
    <t>High Price</t>
  </si>
  <si>
    <t>Discount Strategy</t>
  </si>
  <si>
    <t>POSITIVELY SKEWED</t>
  </si>
  <si>
    <t>(LONG POSITIVE TAIL)</t>
  </si>
  <si>
    <t>Req 2 Question 2</t>
  </si>
  <si>
    <t>Req 2 Question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</si>
</sst>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0.0%"/>
  </numFmts>
  <fonts count="23" x14ac:knownFonts="1">
    <font>
      <sz val="11"/>
      <name val="Calibri"/>
    </font>
    <font>
      <b/>
      <sz val="12"/>
      <color rgb="FFFFFFFF"/>
      <name val="Calibri"/>
    </font>
    <font>
      <b/>
      <sz val="14"/>
      <color rgb="FF0F766E"/>
      <name val="Calibri"/>
    </font>
    <font>
      <b/>
      <sz val="11"/>
      <color rgb="FF9A3412"/>
      <name val="Calibri"/>
    </font>
    <font>
      <b/>
      <sz val="11"/>
      <name val="Calibri"/>
    </font>
    <font>
      <b/>
      <sz val="11"/>
      <color rgb="FF9A3412"/>
      <name val="Calibri"/>
    </font>
    <font>
      <b/>
      <sz val="11"/>
      <name val="Calibri"/>
    </font>
    <font>
      <b/>
      <sz val="11"/>
      <color rgb="FF166534"/>
      <name val="Calibri"/>
    </font>
    <font>
      <b/>
      <sz val="11"/>
      <color rgb="FF166534"/>
      <name val="Calibri"/>
    </font>
    <font>
      <b/>
      <sz val="11"/>
      <name val="Calibri"/>
      <family val="2"/>
    </font>
    <font>
      <b/>
      <sz val="11"/>
      <color indexed="18"/>
      <name val="Calibri"/>
      <family val="2"/>
    </font>
    <font>
      <b/>
      <sz val="12"/>
      <color indexed="9"/>
      <name val="Calibri"/>
      <family val="2"/>
    </font>
    <font>
      <b/>
      <sz val="11"/>
      <color indexed="8"/>
      <name val="Calibri"/>
      <family val="2"/>
    </font>
    <font>
      <sz val="10"/>
      <color indexed="9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4"/>
      <color rgb="FF0F766E"/>
      <name val="Calibri"/>
      <family val="2"/>
    </font>
    <font>
      <b/>
      <sz val="11"/>
      <color rgb="FF9A3412"/>
      <name val="Calibri"/>
      <family val="2"/>
    </font>
    <font>
      <i/>
      <sz val="11"/>
      <name val="Calibri"/>
      <family val="2"/>
    </font>
    <font>
      <b/>
      <u/>
      <sz val="11"/>
      <name val="Calibri"/>
      <family val="2"/>
    </font>
    <font>
      <b/>
      <u/>
      <sz val="11"/>
      <color rgb="FFFF0000"/>
      <name val="Calibri"/>
      <family val="2"/>
    </font>
    <font>
      <sz val="20"/>
      <color indexed="9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EF08A"/>
      </patternFill>
    </fill>
    <fill>
      <patternFill patternType="solid">
        <fgColor rgb="FFFEF08A"/>
      </patternFill>
    </fill>
    <fill>
      <patternFill patternType="solid">
        <fgColor rgb="FFFFEDD5"/>
      </patternFill>
    </fill>
    <fill>
      <patternFill patternType="solid">
        <fgColor rgb="FFF1F5F9"/>
      </patternFill>
    </fill>
    <fill>
      <patternFill patternType="solid">
        <fgColor rgb="FFFFEDD5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EF08A"/>
      </patternFill>
    </fill>
    <fill>
      <patternFill patternType="solid">
        <fgColor rgb="FFDCFCE7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FFF00"/>
        <bgColor indexed="64"/>
      </patternFill>
    </fill>
    <fill>
      <patternFill patternType="solid">
        <fgColor rgb="FFF3F4F6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CBD5E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CBD5E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EF4444"/>
      </left>
      <right style="thin">
        <color rgb="FFEF4444"/>
      </right>
      <top style="thin">
        <color rgb="FFEF4444"/>
      </top>
      <bottom style="thin">
        <color rgb="FFEF444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2">
    <xf numFmtId="0" fontId="0" fillId="0" borderId="0"/>
    <xf numFmtId="0" fontId="15" fillId="0" borderId="1"/>
  </cellStyleXfs>
  <cellXfs count="8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0" fontId="0" fillId="3" borderId="3" xfId="0" applyFill="1" applyBorder="1"/>
    <xf numFmtId="0" fontId="0" fillId="4" borderId="4" xfId="0" applyFill="1" applyBorder="1"/>
    <xf numFmtId="165" fontId="0" fillId="0" borderId="0" xfId="0" applyNumberFormat="1"/>
    <xf numFmtId="0" fontId="3" fillId="5" borderId="5" xfId="0" applyFont="1" applyFill="1" applyBorder="1"/>
    <xf numFmtId="0" fontId="4" fillId="6" borderId="6" xfId="0" applyFont="1" applyFill="1" applyBorder="1"/>
    <xf numFmtId="0" fontId="5" fillId="7" borderId="7" xfId="0" applyFont="1" applyFill="1" applyBorder="1"/>
    <xf numFmtId="0" fontId="6" fillId="8" borderId="8" xfId="0" applyFont="1" applyFill="1" applyBorder="1"/>
    <xf numFmtId="165" fontId="7" fillId="9" borderId="9" xfId="0" applyNumberFormat="1" applyFont="1" applyFill="1" applyBorder="1"/>
    <xf numFmtId="166" fontId="0" fillId="10" borderId="10" xfId="0" applyNumberFormat="1" applyFill="1" applyBorder="1"/>
    <xf numFmtId="165" fontId="8" fillId="11" borderId="11" xfId="0" applyNumberFormat="1" applyFont="1" applyFill="1" applyBorder="1"/>
    <xf numFmtId="0" fontId="9" fillId="0" borderId="0" xfId="0" applyFont="1"/>
    <xf numFmtId="0" fontId="0" fillId="0" borderId="15" xfId="0" applyFill="1" applyBorder="1" applyAlignment="1"/>
    <xf numFmtId="0" fontId="10" fillId="0" borderId="14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16" xfId="0" applyFill="1" applyBorder="1" applyAlignment="1"/>
    <xf numFmtId="165" fontId="0" fillId="0" borderId="15" xfId="0" applyNumberFormat="1" applyFill="1" applyBorder="1" applyAlignment="1"/>
    <xf numFmtId="0" fontId="0" fillId="0" borderId="16" xfId="0" applyNumberFormat="1" applyFill="1" applyBorder="1" applyAlignment="1"/>
    <xf numFmtId="0" fontId="0" fillId="0" borderId="15" xfId="0" applyNumberFormat="1" applyFill="1" applyBorder="1" applyAlignment="1"/>
    <xf numFmtId="0" fontId="0" fillId="0" borderId="1" xfId="0" applyNumberFormat="1" applyFill="1" applyBorder="1" applyAlignment="1"/>
    <xf numFmtId="0" fontId="0" fillId="0" borderId="13" xfId="0" applyNumberFormat="1" applyFill="1" applyBorder="1" applyAlignment="1"/>
    <xf numFmtId="166" fontId="0" fillId="0" borderId="1" xfId="0" applyNumberFormat="1" applyFill="1" applyBorder="1" applyAlignment="1"/>
    <xf numFmtId="0" fontId="0" fillId="0" borderId="18" xfId="0" applyFill="1" applyBorder="1" applyAlignment="1"/>
    <xf numFmtId="165" fontId="0" fillId="0" borderId="18" xfId="0" applyNumberFormat="1" applyFill="1" applyBorder="1" applyAlignment="1"/>
    <xf numFmtId="0" fontId="11" fillId="12" borderId="19" xfId="0" applyFont="1" applyFill="1" applyBorder="1" applyAlignment="1">
      <alignment horizontal="left"/>
    </xf>
    <xf numFmtId="0" fontId="11" fillId="12" borderId="17" xfId="0" applyFont="1" applyFill="1" applyBorder="1" applyAlignment="1">
      <alignment horizontal="left"/>
    </xf>
    <xf numFmtId="0" fontId="0" fillId="0" borderId="20" xfId="0" applyFill="1" applyBorder="1" applyAlignment="1"/>
    <xf numFmtId="0" fontId="12" fillId="13" borderId="1" xfId="0" applyFont="1" applyFill="1" applyBorder="1" applyAlignment="1">
      <alignment horizontal="left"/>
    </xf>
    <xf numFmtId="0" fontId="10" fillId="13" borderId="20" xfId="0" applyFont="1" applyFill="1" applyBorder="1" applyAlignment="1">
      <alignment horizontal="left"/>
    </xf>
    <xf numFmtId="0" fontId="12" fillId="13" borderId="18" xfId="0" applyFont="1" applyFill="1" applyBorder="1" applyAlignment="1">
      <alignment horizontal="left"/>
    </xf>
    <xf numFmtId="0" fontId="13" fillId="12" borderId="17" xfId="0" applyFont="1" applyFill="1" applyBorder="1" applyAlignment="1">
      <alignment horizontal="right"/>
    </xf>
    <xf numFmtId="0" fontId="13" fillId="12" borderId="19" xfId="0" applyFont="1" applyFill="1" applyBorder="1" applyAlignment="1">
      <alignment horizontal="right"/>
    </xf>
    <xf numFmtId="166" fontId="0" fillId="14" borderId="1" xfId="0" applyNumberFormat="1" applyFill="1" applyBorder="1" applyAlignment="1"/>
    <xf numFmtId="0" fontId="14" fillId="0" borderId="1" xfId="0" applyFont="1" applyFill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15" fillId="0" borderId="0" xfId="0" applyFont="1"/>
    <xf numFmtId="0" fontId="16" fillId="2" borderId="2" xfId="0" applyFont="1" applyFill="1" applyBorder="1" applyAlignment="1">
      <alignment horizontal="center" vertical="center"/>
    </xf>
    <xf numFmtId="14" fontId="0" fillId="0" borderId="0" xfId="0" applyNumberFormat="1"/>
    <xf numFmtId="0" fontId="17" fillId="0" borderId="0" xfId="0" applyFont="1"/>
    <xf numFmtId="165" fontId="0" fillId="10" borderId="11" xfId="0" applyNumberFormat="1" applyFill="1" applyBorder="1"/>
    <xf numFmtId="3" fontId="0" fillId="10" borderId="11" xfId="0" applyNumberFormat="1" applyFill="1" applyBorder="1"/>
    <xf numFmtId="0" fontId="0" fillId="16" borderId="21" xfId="0" applyFill="1" applyBorder="1"/>
    <xf numFmtId="0" fontId="17" fillId="0" borderId="1" xfId="1" applyFont="1"/>
    <xf numFmtId="0" fontId="15" fillId="0" borderId="1" xfId="1"/>
    <xf numFmtId="0" fontId="16" fillId="2" borderId="2" xfId="1" applyFont="1" applyFill="1" applyBorder="1" applyAlignment="1">
      <alignment horizontal="center" vertical="center"/>
    </xf>
    <xf numFmtId="165" fontId="15" fillId="0" borderId="1" xfId="1" applyNumberFormat="1"/>
    <xf numFmtId="3" fontId="15" fillId="0" borderId="1" xfId="1" applyNumberFormat="1"/>
    <xf numFmtId="0" fontId="15" fillId="10" borderId="11" xfId="1" applyFill="1" applyBorder="1"/>
    <xf numFmtId="0" fontId="9" fillId="8" borderId="8" xfId="1" applyFont="1" applyFill="1" applyBorder="1"/>
    <xf numFmtId="0" fontId="15" fillId="16" borderId="21" xfId="1" applyFill="1" applyBorder="1"/>
    <xf numFmtId="165" fontId="18" fillId="7" borderId="11" xfId="1" applyNumberFormat="1" applyFont="1" applyFill="1" applyBorder="1"/>
    <xf numFmtId="0" fontId="18" fillId="7" borderId="11" xfId="1" applyFont="1" applyFill="1" applyBorder="1"/>
    <xf numFmtId="3" fontId="15" fillId="16" borderId="21" xfId="1" applyNumberFormat="1" applyFill="1" applyBorder="1"/>
    <xf numFmtId="164" fontId="9" fillId="15" borderId="0" xfId="0" applyNumberFormat="1" applyFont="1" applyFill="1"/>
    <xf numFmtId="0" fontId="19" fillId="0" borderId="22" xfId="0" applyFont="1" applyFill="1" applyBorder="1" applyAlignment="1">
      <alignment horizontal="center"/>
    </xf>
    <xf numFmtId="0" fontId="19" fillId="0" borderId="22" xfId="0" applyFont="1" applyFill="1" applyBorder="1" applyAlignment="1">
      <alignment horizontal="centerContinuous"/>
    </xf>
    <xf numFmtId="0" fontId="0" fillId="15" borderId="0" xfId="0" applyFill="1"/>
    <xf numFmtId="0" fontId="0" fillId="15" borderId="23" xfId="0" applyFill="1" applyBorder="1"/>
    <xf numFmtId="0" fontId="20" fillId="0" borderId="0" xfId="0" applyFont="1"/>
    <xf numFmtId="3" fontId="0" fillId="0" borderId="15" xfId="0" applyNumberFormat="1" applyFill="1" applyBorder="1" applyAlignment="1"/>
    <xf numFmtId="165" fontId="0" fillId="16" borderId="21" xfId="0" applyNumberFormat="1" applyFill="1" applyBorder="1"/>
    <xf numFmtId="165" fontId="0" fillId="0" borderId="1" xfId="0" applyNumberFormat="1" applyFill="1" applyBorder="1" applyAlignment="1"/>
    <xf numFmtId="3" fontId="0" fillId="0" borderId="1" xfId="0" applyNumberFormat="1" applyFill="1" applyBorder="1" applyAlignment="1"/>
    <xf numFmtId="165" fontId="0" fillId="14" borderId="1" xfId="0" applyNumberFormat="1" applyFill="1" applyBorder="1" applyAlignment="1"/>
    <xf numFmtId="3" fontId="0" fillId="14" borderId="1" xfId="0" applyNumberFormat="1" applyFill="1" applyBorder="1" applyAlignment="1"/>
    <xf numFmtId="0" fontId="15" fillId="17" borderId="0" xfId="0" applyFont="1" applyFill="1"/>
    <xf numFmtId="0" fontId="0" fillId="17" borderId="0" xfId="0" applyFill="1"/>
    <xf numFmtId="0" fontId="21" fillId="0" borderId="0" xfId="0" applyFont="1"/>
    <xf numFmtId="0" fontId="10" fillId="0" borderId="12" xfId="0" applyFont="1" applyFill="1" applyBorder="1" applyAlignment="1">
      <alignment horizontal="center"/>
    </xf>
    <xf numFmtId="0" fontId="0" fillId="15" borderId="23" xfId="0" applyNumberFormat="1" applyFill="1" applyBorder="1" applyAlignment="1"/>
    <xf numFmtId="165" fontId="0" fillId="15" borderId="23" xfId="0" applyNumberFormat="1" applyFill="1" applyBorder="1" applyAlignment="1"/>
    <xf numFmtId="0" fontId="0" fillId="0" borderId="24" xfId="0" applyFill="1" applyBorder="1" applyAlignment="1"/>
    <xf numFmtId="3" fontId="0" fillId="15" borderId="23" xfId="0" applyNumberFormat="1" applyFill="1" applyBorder="1" applyAlignment="1"/>
    <xf numFmtId="0" fontId="13" fillId="12" borderId="26" xfId="0" applyFont="1" applyFill="1" applyBorder="1" applyAlignment="1">
      <alignment horizontal="right"/>
    </xf>
    <xf numFmtId="0" fontId="14" fillId="0" borderId="28" xfId="0" applyFont="1" applyFill="1" applyBorder="1" applyAlignment="1">
      <alignment vertical="top" wrapText="1"/>
    </xf>
    <xf numFmtId="0" fontId="0" fillId="0" borderId="29" xfId="0" applyFill="1" applyBorder="1" applyAlignment="1"/>
    <xf numFmtId="165" fontId="0" fillId="14" borderId="28" xfId="0" applyNumberFormat="1" applyFill="1" applyBorder="1" applyAlignment="1"/>
    <xf numFmtId="3" fontId="0" fillId="14" borderId="28" xfId="0" applyNumberFormat="1" applyFill="1" applyBorder="1" applyAlignment="1"/>
    <xf numFmtId="165" fontId="0" fillId="0" borderId="30" xfId="0" applyNumberFormat="1" applyFill="1" applyBorder="1" applyAlignment="1"/>
    <xf numFmtId="0" fontId="22" fillId="12" borderId="27" xfId="0" applyFont="1" applyFill="1" applyBorder="1" applyAlignment="1">
      <alignment horizontal="right"/>
    </xf>
    <xf numFmtId="165" fontId="0" fillId="15" borderId="25" xfId="0" applyNumberFormat="1" applyFill="1" applyBorder="1" applyAlignment="1"/>
  </cellXfs>
  <cellStyles count="2">
    <cellStyle name="Normal" xfId="0" builtinId="0"/>
    <cellStyle name="Normal 2" xfId="1" xr:uid="{C932B300-7625-4F57-89BC-229486E32009}"/>
  </cellStyles>
  <dxfs count="4">
    <dxf>
      <fill>
        <patternFill patternType="solid">
          <bgColor rgb="FFFFFF00"/>
        </patternFill>
      </fill>
    </dxf>
    <dxf>
      <font>
        <b/>
        <family val="2"/>
      </font>
    </dxf>
    <dxf>
      <fill>
        <patternFill patternType="solid">
          <bgColor rgb="FFFFFF00"/>
        </patternFill>
      </fill>
    </dxf>
    <dxf>
      <font>
        <b/>
        <family val="2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Daily_Sales!$J$4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Daily_Sales!$I$5:$I$13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More</c:v>
                </c:pt>
              </c:strCache>
            </c:strRef>
          </c:cat>
          <c:val>
            <c:numRef>
              <c:f>Daily_Sales!$J$5:$J$13</c:f>
              <c:numCache>
                <c:formatCode>General</c:formatCode>
                <c:ptCount val="9"/>
                <c:pt idx="0">
                  <c:v>306</c:v>
                </c:pt>
                <c:pt idx="1">
                  <c:v>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F-4029-92FF-5F012E802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401231"/>
        <c:axId val="1149065520"/>
      </c:barChart>
      <c:catAx>
        <c:axId val="115440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065520"/>
        <c:crosses val="autoZero"/>
        <c:auto val="1"/>
        <c:lblAlgn val="ctr"/>
        <c:lblOffset val="100"/>
        <c:noMultiLvlLbl val="0"/>
      </c:catAx>
      <c:valAx>
        <c:axId val="114906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40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533399</xdr:colOff>
      <xdr:row>19</xdr:row>
      <xdr:rowOff>76200</xdr:rowOff>
    </xdr:from>
    <xdr:to>
      <xdr:col>14</xdr:col>
      <xdr:colOff>781050</xdr:colOff>
      <xdr:row>31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BAA82F-4312-D64C-79B6-B2B603680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j" refreshedDate="46072.702307754633" createdVersion="8" refreshedVersion="8" minRefreshableVersion="3" recordCount="200" xr:uid="{6B37006F-7068-4CA8-B767-75AC7316AD27}">
  <cacheSource type="worksheet">
    <worksheetSource ref="A1:D201" sheet="Sales_Data"/>
  </cacheSource>
  <cacheFields count="5">
    <cacheField name="Transaction ID" numFmtId="0">
      <sharedItems containsSemiMixedTypes="0" containsString="0" containsNumber="1" containsInteger="1" minValue="1001" maxValue="1200"/>
    </cacheField>
    <cacheField name="Transaction Date" numFmtId="14">
      <sharedItems containsSemiMixedTypes="0" containsNonDate="0" containsDate="1" containsString="0" minDate="2023-01-01T00:00:00" maxDate="2023-12-28T00:00:00" count="200">
        <d v="2023-01-01T00:00:00"/>
        <d v="2023-02-02T00:00:00"/>
        <d v="2023-03-03T00:00:00"/>
        <d v="2023-01-04T00:00:00"/>
        <d v="2023-02-05T00:00:00"/>
        <d v="2023-03-06T00:00:00"/>
        <d v="2023-01-07T00:00:00"/>
        <d v="2023-02-08T00:00:00"/>
        <d v="2023-03-09T00:00:00"/>
        <d v="2023-01-10T00:00:00"/>
        <d v="2023-02-11T00:00:00"/>
        <d v="2023-03-12T00:00:00"/>
        <d v="2023-01-13T00:00:00"/>
        <d v="2023-02-14T00:00:00"/>
        <d v="2023-03-14T00:00:00"/>
        <d v="2023-01-16T00:00:00"/>
        <d v="2023-02-17T00:00:00"/>
        <d v="2023-03-17T00:00:00"/>
        <d v="2023-01-19T00:00:00"/>
        <d v="2023-02-20T00:00:00"/>
        <d v="2023-03-20T00:00:00"/>
        <d v="2023-01-22T00:00:00"/>
        <d v="2023-02-23T00:00:00"/>
        <d v="2023-03-23T00:00:00"/>
        <d v="2023-01-25T00:00:00"/>
        <d v="2023-02-26T00:00:00"/>
        <d v="2023-03-26T00:00:00"/>
        <d v="2023-01-28T00:00:00"/>
        <d v="2023-02-01T00:00:00"/>
        <d v="2023-03-02T00:00:00"/>
        <d v="2023-01-03T00:00:00"/>
        <d v="2023-02-04T00:00:00"/>
        <d v="2023-03-05T00:00:00"/>
        <d v="2023-01-06T00:00:00"/>
        <d v="2023-02-07T00:00:00"/>
        <d v="2023-03-08T00:00:00"/>
        <d v="2023-01-09T00:00:00"/>
        <d v="2023-02-10T00:00:00"/>
        <d v="2023-03-11T00:00:00"/>
        <d v="2023-01-12T00:00:00"/>
        <d v="2023-02-13T00:00:00"/>
        <d v="2023-03-13T00:00:00"/>
        <d v="2023-01-15T00:00:00"/>
        <d v="2023-02-16T00:00:00"/>
        <d v="2023-03-16T00:00:00"/>
        <d v="2023-01-18T00:00:00"/>
        <d v="2023-02-19T00:00:00"/>
        <d v="2023-03-19T00:00:00"/>
        <d v="2023-01-21T00:00:00"/>
        <d v="2023-02-22T00:00:00"/>
        <d v="2023-03-31T00:00:00"/>
        <d v="2023-05-01T00:00:00"/>
        <d v="2023-06-02T00:00:00"/>
        <d v="2023-07-03T00:00:00"/>
        <d v="2023-08-04T00:00:00"/>
        <d v="2023-09-05T00:00:00"/>
        <d v="2023-10-06T00:00:00"/>
        <d v="2023-11-08T00:00:00"/>
        <d v="2023-12-09T00:00:00"/>
        <d v="2023-04-09T00:00:00"/>
        <d v="2023-05-10T00:00:00"/>
        <d v="2023-06-11T00:00:00"/>
        <d v="2023-07-12T00:00:00"/>
        <d v="2023-08-13T00:00:00"/>
        <d v="2023-09-14T00:00:00"/>
        <d v="2023-10-15T00:00:00"/>
        <d v="2023-11-17T00:00:00"/>
        <d v="2023-12-18T00:00:00"/>
        <d v="2023-04-18T00:00:00"/>
        <d v="2023-05-19T00:00:00"/>
        <d v="2023-06-20T00:00:00"/>
        <d v="2023-07-21T00:00:00"/>
        <d v="2023-08-22T00:00:00"/>
        <d v="2023-09-23T00:00:00"/>
        <d v="2023-10-24T00:00:00"/>
        <d v="2023-11-26T00:00:00"/>
        <d v="2023-12-27T00:00:00"/>
        <d v="2023-04-27T00:00:00"/>
        <d v="2023-04-30T00:00:00"/>
        <d v="2023-06-01T00:00:00"/>
        <d v="2023-07-02T00:00:00"/>
        <d v="2023-08-03T00:00:00"/>
        <d v="2023-09-04T00:00:00"/>
        <d v="2023-10-05T00:00:00"/>
        <d v="2023-11-07T00:00:00"/>
        <d v="2023-12-08T00:00:00"/>
        <d v="2023-04-08T00:00:00"/>
        <d v="2023-05-09T00:00:00"/>
        <d v="2023-06-10T00:00:00"/>
        <d v="2023-07-11T00:00:00"/>
        <d v="2023-08-12T00:00:00"/>
        <d v="2023-09-13T00:00:00"/>
        <d v="2023-10-14T00:00:00"/>
        <d v="2023-11-16T00:00:00"/>
        <d v="2023-12-17T00:00:00"/>
        <d v="2023-04-17T00:00:00"/>
        <d v="2023-05-18T00:00:00"/>
        <d v="2023-06-19T00:00:00"/>
        <d v="2023-07-20T00:00:00"/>
        <d v="2023-08-21T00:00:00"/>
        <d v="2023-09-22T00:00:00"/>
        <d v="2023-10-23T00:00:00"/>
        <d v="2023-11-25T00:00:00"/>
        <d v="2023-12-26T00:00:00"/>
        <d v="2023-04-26T00:00:00"/>
        <d v="2023-05-27T00:00:00"/>
        <d v="2023-05-31T00:00:00"/>
        <d v="2023-07-01T00:00:00"/>
        <d v="2023-08-02T00:00:00"/>
        <d v="2023-09-03T00:00:00"/>
        <d v="2023-10-04T00:00:00"/>
        <d v="2023-11-06T00:00:00"/>
        <d v="2023-12-07T00:00:00"/>
        <d v="2023-04-07T00:00:00"/>
        <d v="2023-05-08T00:00:00"/>
        <d v="2023-06-09T00:00:00"/>
        <d v="2023-07-10T00:00:00"/>
        <d v="2023-08-11T00:00:00"/>
        <d v="2023-09-12T00:00:00"/>
        <d v="2023-10-13T00:00:00"/>
        <d v="2023-11-15T00:00:00"/>
        <d v="2023-12-16T00:00:00"/>
        <d v="2023-04-16T00:00:00"/>
        <d v="2023-05-17T00:00:00"/>
        <d v="2023-06-18T00:00:00"/>
        <d v="2023-07-19T00:00:00"/>
        <d v="2023-08-20T00:00:00"/>
        <d v="2023-09-21T00:00:00"/>
        <d v="2023-10-22T00:00:00"/>
        <d v="2023-11-24T00:00:00"/>
        <d v="2023-12-25T00:00:00"/>
        <d v="2023-04-25T00:00:00"/>
        <d v="2023-05-26T00:00:00"/>
        <d v="2023-06-27T00:00:00"/>
        <d v="2023-06-30T00:00:00"/>
        <d v="2023-08-01T00:00:00"/>
        <d v="2023-09-02T00:00:00"/>
        <d v="2023-10-03T00:00:00"/>
        <d v="2023-11-04T00:00:00"/>
        <d v="2023-12-06T00:00:00"/>
        <d v="2023-04-06T00:00:00"/>
        <d v="2023-05-07T00:00:00"/>
        <d v="2023-06-08T00:00:00"/>
        <d v="2023-07-09T00:00:00"/>
        <d v="2023-08-10T00:00:00"/>
        <d v="2023-09-11T00:00:00"/>
        <d v="2023-10-12T00:00:00"/>
        <d v="2023-11-14T00:00:00"/>
        <d v="2023-12-15T00:00:00"/>
        <d v="2023-04-15T00:00:00"/>
        <d v="2023-05-16T00:00:00"/>
        <d v="2023-06-17T00:00:00"/>
        <d v="2023-07-18T00:00:00"/>
        <d v="2023-08-19T00:00:00"/>
        <d v="2023-09-20T00:00:00"/>
        <d v="2023-10-21T00:00:00"/>
        <d v="2023-11-23T00:00:00"/>
        <d v="2023-12-24T00:00:00"/>
        <d v="2023-04-24T00:00:00"/>
        <d v="2023-05-25T00:00:00"/>
        <d v="2023-06-26T00:00:00"/>
        <d v="2023-07-27T00:00:00"/>
        <d v="2023-07-31T00:00:00"/>
        <d v="2023-09-01T00:00:00"/>
        <d v="2023-10-02T00:00:00"/>
        <d v="2023-11-03T00:00:00"/>
        <d v="2023-12-05T00:00:00"/>
        <d v="2023-04-05T00:00:00"/>
        <d v="2023-05-06T00:00:00"/>
        <d v="2023-06-07T00:00:00"/>
        <d v="2023-07-08T00:00:00"/>
        <d v="2023-08-09T00:00:00"/>
        <d v="2023-09-10T00:00:00"/>
        <d v="2023-10-11T00:00:00"/>
        <d v="2023-11-13T00:00:00"/>
        <d v="2023-12-14T00:00:00"/>
        <d v="2023-04-14T00:00:00"/>
        <d v="2023-05-15T00:00:00"/>
        <d v="2023-06-16T00:00:00"/>
        <d v="2023-07-17T00:00:00"/>
        <d v="2023-08-18T00:00:00"/>
        <d v="2023-09-19T00:00:00"/>
        <d v="2023-10-20T00:00:00"/>
        <d v="2023-11-22T00:00:00"/>
        <d v="2023-12-23T00:00:00"/>
        <d v="2023-04-23T00:00:00"/>
        <d v="2023-05-24T00:00:00"/>
        <d v="2023-06-25T00:00:00"/>
        <d v="2023-07-26T00:00:00"/>
        <d v="2023-08-27T00:00:00"/>
        <d v="2023-08-31T00:00:00"/>
        <d v="2023-10-01T00:00:00"/>
        <d v="2023-11-02T00:00:00"/>
        <d v="2023-12-04T00:00:00"/>
        <d v="2023-04-04T00:00:00"/>
        <d v="2023-05-05T00:00:00"/>
        <d v="2023-06-06T00:00:00"/>
        <d v="2023-07-07T00:00:00"/>
        <d v="2023-08-08T00:00:00"/>
        <d v="2023-09-09T00:00:00"/>
      </sharedItems>
      <fieldGroup par="4"/>
    </cacheField>
    <cacheField name="Product Category" numFmtId="0">
      <sharedItems count="4">
        <s v="Laptops"/>
        <s v="Smartphones"/>
        <s v="Tablets"/>
        <s v="Wearables"/>
      </sharedItems>
    </cacheField>
    <cacheField name="Revenue" numFmtId="164">
      <sharedItems containsSemiMixedTypes="0" containsString="0" containsNumber="1" containsInteger="1" minValue="50" maxValue="1470"/>
    </cacheField>
    <cacheField name="Quarters (Transaction Date)" numFmtId="0" databaseField="0">
      <fieldGroup base="1">
        <rangePr groupBy="quarters" startDate="2023-01-01T00:00:00" endDate="2023-12-28T00:00:00"/>
        <groupItems count="6">
          <s v="&lt;1/1/2023"/>
          <s v="Qtr1"/>
          <s v="Qtr2"/>
          <s v="Qtr3"/>
          <s v="Qtr4"/>
          <s v="&gt;12/28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1"/>
    <x v="0"/>
    <x v="0"/>
    <n v="50"/>
  </r>
  <r>
    <n v="1002"/>
    <x v="1"/>
    <x v="1"/>
    <n v="60"/>
  </r>
  <r>
    <n v="1003"/>
    <x v="2"/>
    <x v="2"/>
    <n v="70"/>
  </r>
  <r>
    <n v="1004"/>
    <x v="3"/>
    <x v="3"/>
    <n v="80"/>
  </r>
  <r>
    <n v="1005"/>
    <x v="4"/>
    <x v="0"/>
    <n v="90"/>
  </r>
  <r>
    <n v="1006"/>
    <x v="5"/>
    <x v="1"/>
    <n v="50"/>
  </r>
  <r>
    <n v="1007"/>
    <x v="6"/>
    <x v="2"/>
    <n v="60"/>
  </r>
  <r>
    <n v="1008"/>
    <x v="7"/>
    <x v="3"/>
    <n v="70"/>
  </r>
  <r>
    <n v="1009"/>
    <x v="8"/>
    <x v="0"/>
    <n v="80"/>
  </r>
  <r>
    <n v="1010"/>
    <x v="9"/>
    <x v="1"/>
    <n v="90"/>
  </r>
  <r>
    <n v="1011"/>
    <x v="10"/>
    <x v="2"/>
    <n v="50"/>
  </r>
  <r>
    <n v="1012"/>
    <x v="11"/>
    <x v="3"/>
    <n v="60"/>
  </r>
  <r>
    <n v="1013"/>
    <x v="12"/>
    <x v="0"/>
    <n v="70"/>
  </r>
  <r>
    <n v="1014"/>
    <x v="13"/>
    <x v="1"/>
    <n v="80"/>
  </r>
  <r>
    <n v="1015"/>
    <x v="14"/>
    <x v="2"/>
    <n v="90"/>
  </r>
  <r>
    <n v="1016"/>
    <x v="15"/>
    <x v="3"/>
    <n v="50"/>
  </r>
  <r>
    <n v="1017"/>
    <x v="16"/>
    <x v="0"/>
    <n v="60"/>
  </r>
  <r>
    <n v="1018"/>
    <x v="17"/>
    <x v="1"/>
    <n v="70"/>
  </r>
  <r>
    <n v="1019"/>
    <x v="18"/>
    <x v="2"/>
    <n v="80"/>
  </r>
  <r>
    <n v="1020"/>
    <x v="19"/>
    <x v="3"/>
    <n v="90"/>
  </r>
  <r>
    <n v="1021"/>
    <x v="20"/>
    <x v="0"/>
    <n v="50"/>
  </r>
  <r>
    <n v="1022"/>
    <x v="21"/>
    <x v="1"/>
    <n v="60"/>
  </r>
  <r>
    <n v="1023"/>
    <x v="22"/>
    <x v="2"/>
    <n v="70"/>
  </r>
  <r>
    <n v="1024"/>
    <x v="23"/>
    <x v="3"/>
    <n v="80"/>
  </r>
  <r>
    <n v="1025"/>
    <x v="24"/>
    <x v="0"/>
    <n v="90"/>
  </r>
  <r>
    <n v="1026"/>
    <x v="25"/>
    <x v="1"/>
    <n v="50"/>
  </r>
  <r>
    <n v="1027"/>
    <x v="26"/>
    <x v="2"/>
    <n v="60"/>
  </r>
  <r>
    <n v="1028"/>
    <x v="27"/>
    <x v="3"/>
    <n v="70"/>
  </r>
  <r>
    <n v="1029"/>
    <x v="28"/>
    <x v="0"/>
    <n v="80"/>
  </r>
  <r>
    <n v="1030"/>
    <x v="29"/>
    <x v="1"/>
    <n v="90"/>
  </r>
  <r>
    <n v="1031"/>
    <x v="30"/>
    <x v="2"/>
    <n v="50"/>
  </r>
  <r>
    <n v="1032"/>
    <x v="31"/>
    <x v="3"/>
    <n v="60"/>
  </r>
  <r>
    <n v="1033"/>
    <x v="32"/>
    <x v="0"/>
    <n v="70"/>
  </r>
  <r>
    <n v="1034"/>
    <x v="33"/>
    <x v="1"/>
    <n v="80"/>
  </r>
  <r>
    <n v="1035"/>
    <x v="34"/>
    <x v="2"/>
    <n v="90"/>
  </r>
  <r>
    <n v="1036"/>
    <x v="35"/>
    <x v="3"/>
    <n v="50"/>
  </r>
  <r>
    <n v="1037"/>
    <x v="36"/>
    <x v="0"/>
    <n v="60"/>
  </r>
  <r>
    <n v="1038"/>
    <x v="37"/>
    <x v="1"/>
    <n v="70"/>
  </r>
  <r>
    <n v="1039"/>
    <x v="38"/>
    <x v="2"/>
    <n v="80"/>
  </r>
  <r>
    <n v="1040"/>
    <x v="39"/>
    <x v="3"/>
    <n v="90"/>
  </r>
  <r>
    <n v="1041"/>
    <x v="40"/>
    <x v="0"/>
    <n v="50"/>
  </r>
  <r>
    <n v="1042"/>
    <x v="41"/>
    <x v="1"/>
    <n v="60"/>
  </r>
  <r>
    <n v="1043"/>
    <x v="42"/>
    <x v="2"/>
    <n v="70"/>
  </r>
  <r>
    <n v="1044"/>
    <x v="43"/>
    <x v="3"/>
    <n v="80"/>
  </r>
  <r>
    <n v="1045"/>
    <x v="44"/>
    <x v="0"/>
    <n v="90"/>
  </r>
  <r>
    <n v="1046"/>
    <x v="45"/>
    <x v="1"/>
    <n v="50"/>
  </r>
  <r>
    <n v="1047"/>
    <x v="46"/>
    <x v="2"/>
    <n v="60"/>
  </r>
  <r>
    <n v="1048"/>
    <x v="47"/>
    <x v="3"/>
    <n v="70"/>
  </r>
  <r>
    <n v="1049"/>
    <x v="48"/>
    <x v="0"/>
    <n v="80"/>
  </r>
  <r>
    <n v="1050"/>
    <x v="49"/>
    <x v="1"/>
    <n v="90"/>
  </r>
  <r>
    <n v="1051"/>
    <x v="50"/>
    <x v="0"/>
    <n v="200"/>
  </r>
  <r>
    <n v="1052"/>
    <x v="51"/>
    <x v="1"/>
    <n v="1230"/>
  </r>
  <r>
    <n v="1053"/>
    <x v="52"/>
    <x v="2"/>
    <n v="260"/>
  </r>
  <r>
    <n v="1054"/>
    <x v="53"/>
    <x v="3"/>
    <n v="290"/>
  </r>
  <r>
    <n v="1055"/>
    <x v="54"/>
    <x v="0"/>
    <n v="320"/>
  </r>
  <r>
    <n v="1056"/>
    <x v="55"/>
    <x v="1"/>
    <n v="1350"/>
  </r>
  <r>
    <n v="1057"/>
    <x v="56"/>
    <x v="2"/>
    <n v="380"/>
  </r>
  <r>
    <n v="1058"/>
    <x v="57"/>
    <x v="3"/>
    <n v="410"/>
  </r>
  <r>
    <n v="1059"/>
    <x v="58"/>
    <x v="0"/>
    <n v="440"/>
  </r>
  <r>
    <n v="1060"/>
    <x v="59"/>
    <x v="1"/>
    <n v="1470"/>
  </r>
  <r>
    <n v="1061"/>
    <x v="60"/>
    <x v="2"/>
    <n v="200"/>
  </r>
  <r>
    <n v="1062"/>
    <x v="61"/>
    <x v="3"/>
    <n v="230"/>
  </r>
  <r>
    <n v="1063"/>
    <x v="62"/>
    <x v="0"/>
    <n v="260"/>
  </r>
  <r>
    <n v="1064"/>
    <x v="63"/>
    <x v="1"/>
    <n v="1290"/>
  </r>
  <r>
    <n v="1065"/>
    <x v="64"/>
    <x v="2"/>
    <n v="320"/>
  </r>
  <r>
    <n v="1066"/>
    <x v="65"/>
    <x v="3"/>
    <n v="350"/>
  </r>
  <r>
    <n v="1067"/>
    <x v="66"/>
    <x v="0"/>
    <n v="380"/>
  </r>
  <r>
    <n v="1068"/>
    <x v="67"/>
    <x v="1"/>
    <n v="1410"/>
  </r>
  <r>
    <n v="1069"/>
    <x v="68"/>
    <x v="2"/>
    <n v="440"/>
  </r>
  <r>
    <n v="1070"/>
    <x v="69"/>
    <x v="3"/>
    <n v="470"/>
  </r>
  <r>
    <n v="1071"/>
    <x v="70"/>
    <x v="0"/>
    <n v="200"/>
  </r>
  <r>
    <n v="1072"/>
    <x v="71"/>
    <x v="1"/>
    <n v="1230"/>
  </r>
  <r>
    <n v="1073"/>
    <x v="72"/>
    <x v="2"/>
    <n v="260"/>
  </r>
  <r>
    <n v="1074"/>
    <x v="73"/>
    <x v="3"/>
    <n v="290"/>
  </r>
  <r>
    <n v="1075"/>
    <x v="74"/>
    <x v="0"/>
    <n v="320"/>
  </r>
  <r>
    <n v="1076"/>
    <x v="75"/>
    <x v="1"/>
    <n v="1350"/>
  </r>
  <r>
    <n v="1077"/>
    <x v="76"/>
    <x v="2"/>
    <n v="380"/>
  </r>
  <r>
    <n v="1078"/>
    <x v="77"/>
    <x v="3"/>
    <n v="410"/>
  </r>
  <r>
    <n v="1079"/>
    <x v="78"/>
    <x v="0"/>
    <n v="440"/>
  </r>
  <r>
    <n v="1080"/>
    <x v="79"/>
    <x v="1"/>
    <n v="1470"/>
  </r>
  <r>
    <n v="1081"/>
    <x v="80"/>
    <x v="2"/>
    <n v="200"/>
  </r>
  <r>
    <n v="1082"/>
    <x v="81"/>
    <x v="3"/>
    <n v="230"/>
  </r>
  <r>
    <n v="1083"/>
    <x v="82"/>
    <x v="0"/>
    <n v="260"/>
  </r>
  <r>
    <n v="1084"/>
    <x v="83"/>
    <x v="1"/>
    <n v="1290"/>
  </r>
  <r>
    <n v="1085"/>
    <x v="84"/>
    <x v="2"/>
    <n v="320"/>
  </r>
  <r>
    <n v="1086"/>
    <x v="85"/>
    <x v="3"/>
    <n v="350"/>
  </r>
  <r>
    <n v="1087"/>
    <x v="86"/>
    <x v="0"/>
    <n v="380"/>
  </r>
  <r>
    <n v="1088"/>
    <x v="87"/>
    <x v="1"/>
    <n v="1410"/>
  </r>
  <r>
    <n v="1089"/>
    <x v="88"/>
    <x v="2"/>
    <n v="440"/>
  </r>
  <r>
    <n v="1090"/>
    <x v="89"/>
    <x v="3"/>
    <n v="470"/>
  </r>
  <r>
    <n v="1091"/>
    <x v="90"/>
    <x v="0"/>
    <n v="200"/>
  </r>
  <r>
    <n v="1092"/>
    <x v="91"/>
    <x v="1"/>
    <n v="1230"/>
  </r>
  <r>
    <n v="1093"/>
    <x v="92"/>
    <x v="2"/>
    <n v="260"/>
  </r>
  <r>
    <n v="1094"/>
    <x v="93"/>
    <x v="3"/>
    <n v="290"/>
  </r>
  <r>
    <n v="1095"/>
    <x v="94"/>
    <x v="0"/>
    <n v="320"/>
  </r>
  <r>
    <n v="1096"/>
    <x v="95"/>
    <x v="1"/>
    <n v="1350"/>
  </r>
  <r>
    <n v="1097"/>
    <x v="96"/>
    <x v="2"/>
    <n v="380"/>
  </r>
  <r>
    <n v="1098"/>
    <x v="97"/>
    <x v="3"/>
    <n v="410"/>
  </r>
  <r>
    <n v="1099"/>
    <x v="98"/>
    <x v="0"/>
    <n v="440"/>
  </r>
  <r>
    <n v="1100"/>
    <x v="99"/>
    <x v="1"/>
    <n v="1470"/>
  </r>
  <r>
    <n v="1101"/>
    <x v="100"/>
    <x v="2"/>
    <n v="200"/>
  </r>
  <r>
    <n v="1102"/>
    <x v="101"/>
    <x v="3"/>
    <n v="230"/>
  </r>
  <r>
    <n v="1103"/>
    <x v="102"/>
    <x v="0"/>
    <n v="260"/>
  </r>
  <r>
    <n v="1104"/>
    <x v="103"/>
    <x v="1"/>
    <n v="1290"/>
  </r>
  <r>
    <n v="1105"/>
    <x v="104"/>
    <x v="2"/>
    <n v="320"/>
  </r>
  <r>
    <n v="1106"/>
    <x v="105"/>
    <x v="3"/>
    <n v="350"/>
  </r>
  <r>
    <n v="1107"/>
    <x v="106"/>
    <x v="0"/>
    <n v="380"/>
  </r>
  <r>
    <n v="1108"/>
    <x v="107"/>
    <x v="1"/>
    <n v="1410"/>
  </r>
  <r>
    <n v="1109"/>
    <x v="108"/>
    <x v="2"/>
    <n v="440"/>
  </r>
  <r>
    <n v="1110"/>
    <x v="109"/>
    <x v="3"/>
    <n v="470"/>
  </r>
  <r>
    <n v="1111"/>
    <x v="110"/>
    <x v="0"/>
    <n v="200"/>
  </r>
  <r>
    <n v="1112"/>
    <x v="111"/>
    <x v="1"/>
    <n v="1230"/>
  </r>
  <r>
    <n v="1113"/>
    <x v="112"/>
    <x v="2"/>
    <n v="260"/>
  </r>
  <r>
    <n v="1114"/>
    <x v="113"/>
    <x v="3"/>
    <n v="290"/>
  </r>
  <r>
    <n v="1115"/>
    <x v="114"/>
    <x v="0"/>
    <n v="320"/>
  </r>
  <r>
    <n v="1116"/>
    <x v="115"/>
    <x v="1"/>
    <n v="1350"/>
  </r>
  <r>
    <n v="1117"/>
    <x v="116"/>
    <x v="2"/>
    <n v="380"/>
  </r>
  <r>
    <n v="1118"/>
    <x v="117"/>
    <x v="3"/>
    <n v="410"/>
  </r>
  <r>
    <n v="1119"/>
    <x v="118"/>
    <x v="0"/>
    <n v="440"/>
  </r>
  <r>
    <n v="1120"/>
    <x v="119"/>
    <x v="1"/>
    <n v="1470"/>
  </r>
  <r>
    <n v="1121"/>
    <x v="120"/>
    <x v="2"/>
    <n v="200"/>
  </r>
  <r>
    <n v="1122"/>
    <x v="121"/>
    <x v="3"/>
    <n v="230"/>
  </r>
  <r>
    <n v="1123"/>
    <x v="122"/>
    <x v="0"/>
    <n v="260"/>
  </r>
  <r>
    <n v="1124"/>
    <x v="123"/>
    <x v="1"/>
    <n v="1290"/>
  </r>
  <r>
    <n v="1125"/>
    <x v="124"/>
    <x v="2"/>
    <n v="320"/>
  </r>
  <r>
    <n v="1126"/>
    <x v="125"/>
    <x v="3"/>
    <n v="350"/>
  </r>
  <r>
    <n v="1127"/>
    <x v="126"/>
    <x v="0"/>
    <n v="380"/>
  </r>
  <r>
    <n v="1128"/>
    <x v="127"/>
    <x v="1"/>
    <n v="1410"/>
  </r>
  <r>
    <n v="1129"/>
    <x v="128"/>
    <x v="2"/>
    <n v="440"/>
  </r>
  <r>
    <n v="1130"/>
    <x v="129"/>
    <x v="3"/>
    <n v="470"/>
  </r>
  <r>
    <n v="1131"/>
    <x v="130"/>
    <x v="0"/>
    <n v="200"/>
  </r>
  <r>
    <n v="1132"/>
    <x v="131"/>
    <x v="1"/>
    <n v="1230"/>
  </r>
  <r>
    <n v="1133"/>
    <x v="132"/>
    <x v="2"/>
    <n v="260"/>
  </r>
  <r>
    <n v="1134"/>
    <x v="133"/>
    <x v="3"/>
    <n v="290"/>
  </r>
  <r>
    <n v="1135"/>
    <x v="134"/>
    <x v="0"/>
    <n v="320"/>
  </r>
  <r>
    <n v="1136"/>
    <x v="135"/>
    <x v="1"/>
    <n v="1350"/>
  </r>
  <r>
    <n v="1137"/>
    <x v="136"/>
    <x v="2"/>
    <n v="380"/>
  </r>
  <r>
    <n v="1138"/>
    <x v="137"/>
    <x v="3"/>
    <n v="410"/>
  </r>
  <r>
    <n v="1139"/>
    <x v="138"/>
    <x v="0"/>
    <n v="440"/>
  </r>
  <r>
    <n v="1140"/>
    <x v="139"/>
    <x v="1"/>
    <n v="1470"/>
  </r>
  <r>
    <n v="1141"/>
    <x v="140"/>
    <x v="2"/>
    <n v="200"/>
  </r>
  <r>
    <n v="1142"/>
    <x v="141"/>
    <x v="3"/>
    <n v="230"/>
  </r>
  <r>
    <n v="1143"/>
    <x v="142"/>
    <x v="0"/>
    <n v="260"/>
  </r>
  <r>
    <n v="1144"/>
    <x v="143"/>
    <x v="1"/>
    <n v="1290"/>
  </r>
  <r>
    <n v="1145"/>
    <x v="144"/>
    <x v="2"/>
    <n v="320"/>
  </r>
  <r>
    <n v="1146"/>
    <x v="145"/>
    <x v="3"/>
    <n v="350"/>
  </r>
  <r>
    <n v="1147"/>
    <x v="146"/>
    <x v="0"/>
    <n v="380"/>
  </r>
  <r>
    <n v="1148"/>
    <x v="147"/>
    <x v="1"/>
    <n v="1410"/>
  </r>
  <r>
    <n v="1149"/>
    <x v="148"/>
    <x v="2"/>
    <n v="440"/>
  </r>
  <r>
    <n v="1150"/>
    <x v="149"/>
    <x v="3"/>
    <n v="470"/>
  </r>
  <r>
    <n v="1151"/>
    <x v="150"/>
    <x v="0"/>
    <n v="200"/>
  </r>
  <r>
    <n v="1152"/>
    <x v="151"/>
    <x v="1"/>
    <n v="1230"/>
  </r>
  <r>
    <n v="1153"/>
    <x v="152"/>
    <x v="2"/>
    <n v="260"/>
  </r>
  <r>
    <n v="1154"/>
    <x v="153"/>
    <x v="3"/>
    <n v="290"/>
  </r>
  <r>
    <n v="1155"/>
    <x v="154"/>
    <x v="0"/>
    <n v="320"/>
  </r>
  <r>
    <n v="1156"/>
    <x v="155"/>
    <x v="1"/>
    <n v="1350"/>
  </r>
  <r>
    <n v="1157"/>
    <x v="156"/>
    <x v="2"/>
    <n v="380"/>
  </r>
  <r>
    <n v="1158"/>
    <x v="157"/>
    <x v="3"/>
    <n v="410"/>
  </r>
  <r>
    <n v="1159"/>
    <x v="158"/>
    <x v="0"/>
    <n v="440"/>
  </r>
  <r>
    <n v="1160"/>
    <x v="159"/>
    <x v="1"/>
    <n v="1470"/>
  </r>
  <r>
    <n v="1161"/>
    <x v="160"/>
    <x v="2"/>
    <n v="200"/>
  </r>
  <r>
    <n v="1162"/>
    <x v="161"/>
    <x v="3"/>
    <n v="230"/>
  </r>
  <r>
    <n v="1163"/>
    <x v="162"/>
    <x v="0"/>
    <n v="260"/>
  </r>
  <r>
    <n v="1164"/>
    <x v="163"/>
    <x v="1"/>
    <n v="1290"/>
  </r>
  <r>
    <n v="1165"/>
    <x v="164"/>
    <x v="2"/>
    <n v="320"/>
  </r>
  <r>
    <n v="1166"/>
    <x v="165"/>
    <x v="3"/>
    <n v="350"/>
  </r>
  <r>
    <n v="1167"/>
    <x v="166"/>
    <x v="0"/>
    <n v="380"/>
  </r>
  <r>
    <n v="1168"/>
    <x v="167"/>
    <x v="1"/>
    <n v="1410"/>
  </r>
  <r>
    <n v="1169"/>
    <x v="168"/>
    <x v="2"/>
    <n v="440"/>
  </r>
  <r>
    <n v="1170"/>
    <x v="169"/>
    <x v="3"/>
    <n v="470"/>
  </r>
  <r>
    <n v="1171"/>
    <x v="170"/>
    <x v="0"/>
    <n v="200"/>
  </r>
  <r>
    <n v="1172"/>
    <x v="171"/>
    <x v="1"/>
    <n v="1230"/>
  </r>
  <r>
    <n v="1173"/>
    <x v="172"/>
    <x v="2"/>
    <n v="260"/>
  </r>
  <r>
    <n v="1174"/>
    <x v="173"/>
    <x v="3"/>
    <n v="290"/>
  </r>
  <r>
    <n v="1175"/>
    <x v="174"/>
    <x v="0"/>
    <n v="320"/>
  </r>
  <r>
    <n v="1176"/>
    <x v="175"/>
    <x v="1"/>
    <n v="1350"/>
  </r>
  <r>
    <n v="1177"/>
    <x v="176"/>
    <x v="2"/>
    <n v="380"/>
  </r>
  <r>
    <n v="1178"/>
    <x v="177"/>
    <x v="3"/>
    <n v="410"/>
  </r>
  <r>
    <n v="1179"/>
    <x v="178"/>
    <x v="0"/>
    <n v="440"/>
  </r>
  <r>
    <n v="1180"/>
    <x v="179"/>
    <x v="1"/>
    <n v="1470"/>
  </r>
  <r>
    <n v="1181"/>
    <x v="180"/>
    <x v="2"/>
    <n v="200"/>
  </r>
  <r>
    <n v="1182"/>
    <x v="181"/>
    <x v="3"/>
    <n v="230"/>
  </r>
  <r>
    <n v="1183"/>
    <x v="182"/>
    <x v="0"/>
    <n v="260"/>
  </r>
  <r>
    <n v="1184"/>
    <x v="183"/>
    <x v="1"/>
    <n v="1290"/>
  </r>
  <r>
    <n v="1185"/>
    <x v="184"/>
    <x v="2"/>
    <n v="320"/>
  </r>
  <r>
    <n v="1186"/>
    <x v="185"/>
    <x v="3"/>
    <n v="350"/>
  </r>
  <r>
    <n v="1187"/>
    <x v="186"/>
    <x v="0"/>
    <n v="380"/>
  </r>
  <r>
    <n v="1188"/>
    <x v="187"/>
    <x v="1"/>
    <n v="1410"/>
  </r>
  <r>
    <n v="1189"/>
    <x v="188"/>
    <x v="2"/>
    <n v="440"/>
  </r>
  <r>
    <n v="1190"/>
    <x v="189"/>
    <x v="3"/>
    <n v="470"/>
  </r>
  <r>
    <n v="1191"/>
    <x v="190"/>
    <x v="0"/>
    <n v="200"/>
  </r>
  <r>
    <n v="1192"/>
    <x v="191"/>
    <x v="1"/>
    <n v="1230"/>
  </r>
  <r>
    <n v="1193"/>
    <x v="192"/>
    <x v="2"/>
    <n v="260"/>
  </r>
  <r>
    <n v="1194"/>
    <x v="193"/>
    <x v="3"/>
    <n v="290"/>
  </r>
  <r>
    <n v="1195"/>
    <x v="194"/>
    <x v="0"/>
    <n v="320"/>
  </r>
  <r>
    <n v="1196"/>
    <x v="195"/>
    <x v="1"/>
    <n v="1350"/>
  </r>
  <r>
    <n v="1197"/>
    <x v="196"/>
    <x v="2"/>
    <n v="380"/>
  </r>
  <r>
    <n v="1198"/>
    <x v="197"/>
    <x v="3"/>
    <n v="410"/>
  </r>
  <r>
    <n v="1199"/>
    <x v="198"/>
    <x v="0"/>
    <n v="440"/>
  </r>
  <r>
    <n v="1200"/>
    <x v="199"/>
    <x v="1"/>
    <n v="14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C98B6-1A30-4C3C-A5DC-7FC83E7DC587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9:J14" firstHeaderRow="1" firstDataRow="1" firstDataCol="1"/>
  <pivotFields count="5">
    <pivotField showAll="0"/>
    <pivotField numFmtId="14" showAll="0">
      <items count="201">
        <item x="0"/>
        <item x="30"/>
        <item x="3"/>
        <item x="33"/>
        <item x="6"/>
        <item x="36"/>
        <item x="9"/>
        <item x="39"/>
        <item x="12"/>
        <item x="42"/>
        <item x="15"/>
        <item x="45"/>
        <item x="18"/>
        <item x="48"/>
        <item x="21"/>
        <item x="24"/>
        <item x="27"/>
        <item x="28"/>
        <item x="1"/>
        <item x="31"/>
        <item x="4"/>
        <item x="34"/>
        <item x="7"/>
        <item x="37"/>
        <item x="10"/>
        <item x="40"/>
        <item x="13"/>
        <item x="43"/>
        <item x="16"/>
        <item x="46"/>
        <item x="19"/>
        <item x="49"/>
        <item x="22"/>
        <item x="25"/>
        <item x="29"/>
        <item x="2"/>
        <item x="32"/>
        <item x="5"/>
        <item x="35"/>
        <item x="8"/>
        <item x="38"/>
        <item x="11"/>
        <item x="41"/>
        <item x="14"/>
        <item x="44"/>
        <item x="17"/>
        <item x="47"/>
        <item x="20"/>
        <item x="23"/>
        <item x="26"/>
        <item x="50"/>
        <item x="194"/>
        <item x="167"/>
        <item x="140"/>
        <item x="113"/>
        <item x="86"/>
        <item x="59"/>
        <item x="176"/>
        <item x="149"/>
        <item x="122"/>
        <item x="95"/>
        <item x="68"/>
        <item x="185"/>
        <item x="158"/>
        <item x="131"/>
        <item x="104"/>
        <item x="77"/>
        <item x="78"/>
        <item x="51"/>
        <item x="195"/>
        <item x="168"/>
        <item x="141"/>
        <item x="114"/>
        <item x="87"/>
        <item x="60"/>
        <item x="177"/>
        <item x="150"/>
        <item x="123"/>
        <item x="96"/>
        <item x="69"/>
        <item x="186"/>
        <item x="159"/>
        <item x="132"/>
        <item x="105"/>
        <item x="106"/>
        <item x="79"/>
        <item x="52"/>
        <item x="196"/>
        <item x="169"/>
        <item x="142"/>
        <item x="115"/>
        <item x="88"/>
        <item x="61"/>
        <item x="178"/>
        <item x="151"/>
        <item x="124"/>
        <item x="97"/>
        <item x="70"/>
        <item x="187"/>
        <item x="160"/>
        <item x="133"/>
        <item x="134"/>
        <item x="107"/>
        <item x="80"/>
        <item x="53"/>
        <item x="197"/>
        <item x="170"/>
        <item x="143"/>
        <item x="116"/>
        <item x="89"/>
        <item x="62"/>
        <item x="179"/>
        <item x="152"/>
        <item x="125"/>
        <item x="98"/>
        <item x="71"/>
        <item x="188"/>
        <item x="161"/>
        <item x="162"/>
        <item x="135"/>
        <item x="108"/>
        <item x="81"/>
        <item x="54"/>
        <item x="198"/>
        <item x="171"/>
        <item x="144"/>
        <item x="117"/>
        <item x="90"/>
        <item x="63"/>
        <item x="180"/>
        <item x="153"/>
        <item x="126"/>
        <item x="99"/>
        <item x="72"/>
        <item x="189"/>
        <item x="190"/>
        <item x="163"/>
        <item x="136"/>
        <item x="109"/>
        <item x="82"/>
        <item x="55"/>
        <item x="199"/>
        <item x="172"/>
        <item x="145"/>
        <item x="118"/>
        <item x="91"/>
        <item x="64"/>
        <item x="181"/>
        <item x="154"/>
        <item x="127"/>
        <item x="100"/>
        <item x="73"/>
        <item x="191"/>
        <item x="164"/>
        <item x="137"/>
        <item x="110"/>
        <item x="83"/>
        <item x="56"/>
        <item x="173"/>
        <item x="146"/>
        <item x="119"/>
        <item x="92"/>
        <item x="65"/>
        <item x="182"/>
        <item x="155"/>
        <item x="128"/>
        <item x="101"/>
        <item x="74"/>
        <item x="192"/>
        <item x="165"/>
        <item x="138"/>
        <item x="111"/>
        <item x="84"/>
        <item x="57"/>
        <item x="174"/>
        <item x="147"/>
        <item x="120"/>
        <item x="93"/>
        <item x="66"/>
        <item x="183"/>
        <item x="156"/>
        <item x="129"/>
        <item x="102"/>
        <item x="75"/>
        <item x="193"/>
        <item x="166"/>
        <item x="139"/>
        <item x="112"/>
        <item x="85"/>
        <item x="58"/>
        <item x="175"/>
        <item x="148"/>
        <item x="121"/>
        <item x="94"/>
        <item x="67"/>
        <item x="184"/>
        <item x="157"/>
        <item x="130"/>
        <item x="103"/>
        <item x="7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ataField="1" numFmtId="16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evenue" fld="3" subtotal="average" baseField="4" baseItem="3" numFmtId="164"/>
  </dataFields>
  <formats count="2">
    <format dxfId="1">
      <pivotArea collapsedLevelsAreSubtotals="1" fieldPosition="0">
        <references count="1">
          <reference field="4" count="1">
            <x v="1"/>
          </reference>
        </references>
      </pivotArea>
    </format>
    <format dxfId="0">
      <pivotArea collapsedLevelsAreSubtotals="1" fieldPosition="0">
        <references count="1">
          <reference field="4" count="1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8701A-2A85-4877-ADF5-9B3B52D4DCE5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:D12" firstHeaderRow="1" firstDataRow="1" firstDataCol="1"/>
  <pivotFields count="5">
    <pivotField showAll="0"/>
    <pivotField numFmtId="14" showAll="0">
      <items count="201">
        <item x="0"/>
        <item x="30"/>
        <item x="3"/>
        <item x="33"/>
        <item x="6"/>
        <item x="36"/>
        <item x="9"/>
        <item x="39"/>
        <item x="12"/>
        <item x="42"/>
        <item x="15"/>
        <item x="45"/>
        <item x="18"/>
        <item x="48"/>
        <item x="21"/>
        <item x="24"/>
        <item x="27"/>
        <item x="28"/>
        <item x="1"/>
        <item x="31"/>
        <item x="4"/>
        <item x="34"/>
        <item x="7"/>
        <item x="37"/>
        <item x="10"/>
        <item x="40"/>
        <item x="13"/>
        <item x="43"/>
        <item x="16"/>
        <item x="46"/>
        <item x="19"/>
        <item x="49"/>
        <item x="22"/>
        <item x="25"/>
        <item x="29"/>
        <item x="2"/>
        <item x="32"/>
        <item x="5"/>
        <item x="35"/>
        <item x="8"/>
        <item x="38"/>
        <item x="11"/>
        <item x="41"/>
        <item x="14"/>
        <item x="44"/>
        <item x="17"/>
        <item x="47"/>
        <item x="20"/>
        <item x="23"/>
        <item x="26"/>
        <item x="50"/>
        <item x="194"/>
        <item x="167"/>
        <item x="140"/>
        <item x="113"/>
        <item x="86"/>
        <item x="59"/>
        <item x="176"/>
        <item x="149"/>
        <item x="122"/>
        <item x="95"/>
        <item x="68"/>
        <item x="185"/>
        <item x="158"/>
        <item x="131"/>
        <item x="104"/>
        <item x="77"/>
        <item x="78"/>
        <item x="51"/>
        <item x="195"/>
        <item x="168"/>
        <item x="141"/>
        <item x="114"/>
        <item x="87"/>
        <item x="60"/>
        <item x="177"/>
        <item x="150"/>
        <item x="123"/>
        <item x="96"/>
        <item x="69"/>
        <item x="186"/>
        <item x="159"/>
        <item x="132"/>
        <item x="105"/>
        <item x="106"/>
        <item x="79"/>
        <item x="52"/>
        <item x="196"/>
        <item x="169"/>
        <item x="142"/>
        <item x="115"/>
        <item x="88"/>
        <item x="61"/>
        <item x="178"/>
        <item x="151"/>
        <item x="124"/>
        <item x="97"/>
        <item x="70"/>
        <item x="187"/>
        <item x="160"/>
        <item x="133"/>
        <item x="134"/>
        <item x="107"/>
        <item x="80"/>
        <item x="53"/>
        <item x="197"/>
        <item x="170"/>
        <item x="143"/>
        <item x="116"/>
        <item x="89"/>
        <item x="62"/>
        <item x="179"/>
        <item x="152"/>
        <item x="125"/>
        <item x="98"/>
        <item x="71"/>
        <item x="188"/>
        <item x="161"/>
        <item x="162"/>
        <item x="135"/>
        <item x="108"/>
        <item x="81"/>
        <item x="54"/>
        <item x="198"/>
        <item x="171"/>
        <item x="144"/>
        <item x="117"/>
        <item x="90"/>
        <item x="63"/>
        <item x="180"/>
        <item x="153"/>
        <item x="126"/>
        <item x="99"/>
        <item x="72"/>
        <item x="189"/>
        <item x="190"/>
        <item x="163"/>
        <item x="136"/>
        <item x="109"/>
        <item x="82"/>
        <item x="55"/>
        <item x="199"/>
        <item x="172"/>
        <item x="145"/>
        <item x="118"/>
        <item x="91"/>
        <item x="64"/>
        <item x="181"/>
        <item x="154"/>
        <item x="127"/>
        <item x="100"/>
        <item x="73"/>
        <item x="191"/>
        <item x="164"/>
        <item x="137"/>
        <item x="110"/>
        <item x="83"/>
        <item x="56"/>
        <item x="173"/>
        <item x="146"/>
        <item x="119"/>
        <item x="92"/>
        <item x="65"/>
        <item x="182"/>
        <item x="155"/>
        <item x="128"/>
        <item x="101"/>
        <item x="74"/>
        <item x="192"/>
        <item x="165"/>
        <item x="138"/>
        <item x="111"/>
        <item x="84"/>
        <item x="57"/>
        <item x="174"/>
        <item x="147"/>
        <item x="120"/>
        <item x="93"/>
        <item x="66"/>
        <item x="183"/>
        <item x="156"/>
        <item x="129"/>
        <item x="102"/>
        <item x="75"/>
        <item x="193"/>
        <item x="166"/>
        <item x="139"/>
        <item x="112"/>
        <item x="85"/>
        <item x="58"/>
        <item x="175"/>
        <item x="148"/>
        <item x="121"/>
        <item x="94"/>
        <item x="67"/>
        <item x="184"/>
        <item x="157"/>
        <item x="130"/>
        <item x="103"/>
        <item x="7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numFmtId="164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3" baseField="0" baseItem="0" numFmtId="164"/>
  </dataFields>
  <formats count="2">
    <format dxfId="3">
      <pivotArea collapsedLevelsAreSubtotals="1" fieldPosition="0">
        <references count="1">
          <reference field="2" count="1">
            <x v="1"/>
          </reference>
        </references>
      </pivotArea>
    </format>
    <format dxfId="2">
      <pivotArea collapsedLevelsAreSubtotals="1" fieldPosition="0">
        <references count="1">
          <reference field="2" count="1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C907-8B7F-4959-9C9B-9B89D5BFE758}">
  <dimension ref="C7:J14"/>
  <sheetViews>
    <sheetView workbookViewId="0">
      <selection activeCell="C31" sqref="C31"/>
    </sheetView>
  </sheetViews>
  <sheetFormatPr defaultRowHeight="15" x14ac:dyDescent="0.25"/>
  <cols>
    <col min="3" max="3" width="13.140625" bestFit="1" customWidth="1"/>
    <col min="4" max="4" width="15.5703125" bestFit="1" customWidth="1"/>
    <col min="9" max="9" width="13.140625" bestFit="1" customWidth="1"/>
    <col min="10" max="10" width="19.140625" bestFit="1" customWidth="1"/>
  </cols>
  <sheetData>
    <row r="7" spans="3:10" x14ac:dyDescent="0.25">
      <c r="C7" s="37" t="s">
        <v>87</v>
      </c>
      <c r="D7" t="s">
        <v>86</v>
      </c>
    </row>
    <row r="8" spans="3:10" x14ac:dyDescent="0.25">
      <c r="C8" s="38" t="s">
        <v>4</v>
      </c>
      <c r="D8" s="2">
        <v>13080</v>
      </c>
    </row>
    <row r="9" spans="3:10" x14ac:dyDescent="0.25">
      <c r="C9" s="38" t="s">
        <v>5</v>
      </c>
      <c r="D9" s="57">
        <v>52200</v>
      </c>
      <c r="I9" s="37" t="s">
        <v>87</v>
      </c>
      <c r="J9" t="s">
        <v>119</v>
      </c>
    </row>
    <row r="10" spans="3:10" x14ac:dyDescent="0.25">
      <c r="C10" s="38" t="s">
        <v>6</v>
      </c>
      <c r="D10" s="2">
        <v>12670</v>
      </c>
      <c r="I10" s="38" t="s">
        <v>115</v>
      </c>
      <c r="J10" s="57">
        <v>72.549019607843135</v>
      </c>
    </row>
    <row r="11" spans="3:10" x14ac:dyDescent="0.25">
      <c r="C11" s="38" t="s">
        <v>7</v>
      </c>
      <c r="D11" s="2">
        <v>13800</v>
      </c>
      <c r="I11" s="38" t="s">
        <v>116</v>
      </c>
      <c r="J11" s="2">
        <v>600.1960784313726</v>
      </c>
    </row>
    <row r="12" spans="3:10" x14ac:dyDescent="0.25">
      <c r="C12" s="38" t="s">
        <v>88</v>
      </c>
      <c r="D12" s="2">
        <v>91750</v>
      </c>
      <c r="I12" s="38" t="s">
        <v>117</v>
      </c>
      <c r="J12" s="2">
        <v>587.20000000000005</v>
      </c>
    </row>
    <row r="13" spans="3:10" x14ac:dyDescent="0.25">
      <c r="I13" s="38" t="s">
        <v>118</v>
      </c>
      <c r="J13" s="2">
        <v>585</v>
      </c>
    </row>
    <row r="14" spans="3:10" x14ac:dyDescent="0.25">
      <c r="I14" s="38" t="s">
        <v>88</v>
      </c>
      <c r="J14" s="2">
        <v>458.75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opLeftCell="A172" workbookViewId="0">
      <selection sqref="A1:D1048576"/>
    </sheetView>
  </sheetViews>
  <sheetFormatPr defaultRowHeight="15" x14ac:dyDescent="0.25"/>
  <cols>
    <col min="1" max="1" width="15.85546875" customWidth="1"/>
    <col min="2" max="2" width="18.85546875" customWidth="1"/>
    <col min="3" max="3" width="20.85546875" customWidth="1"/>
    <col min="4" max="4" width="15.85546875" customWidth="1"/>
  </cols>
  <sheetData>
    <row r="1" spans="1:4" ht="15.75" x14ac:dyDescent="0.25">
      <c r="A1" s="40" t="s">
        <v>0</v>
      </c>
      <c r="B1" s="40" t="s">
        <v>1</v>
      </c>
      <c r="C1" s="40" t="s">
        <v>2</v>
      </c>
      <c r="D1" s="40" t="s">
        <v>3</v>
      </c>
    </row>
    <row r="2" spans="1:4" x14ac:dyDescent="0.25">
      <c r="A2">
        <v>1001</v>
      </c>
      <c r="B2" s="41">
        <v>44927</v>
      </c>
      <c r="C2" t="s">
        <v>4</v>
      </c>
      <c r="D2" s="2">
        <v>50</v>
      </c>
    </row>
    <row r="3" spans="1:4" x14ac:dyDescent="0.25">
      <c r="A3">
        <v>1002</v>
      </c>
      <c r="B3" s="41">
        <v>44959</v>
      </c>
      <c r="C3" t="s">
        <v>5</v>
      </c>
      <c r="D3" s="2">
        <v>60</v>
      </c>
    </row>
    <row r="4" spans="1:4" x14ac:dyDescent="0.25">
      <c r="A4">
        <v>1003</v>
      </c>
      <c r="B4" s="41">
        <v>44988</v>
      </c>
      <c r="C4" t="s">
        <v>6</v>
      </c>
      <c r="D4" s="2">
        <v>70</v>
      </c>
    </row>
    <row r="5" spans="1:4" x14ac:dyDescent="0.25">
      <c r="A5">
        <v>1004</v>
      </c>
      <c r="B5" s="41">
        <v>44930</v>
      </c>
      <c r="C5" t="s">
        <v>7</v>
      </c>
      <c r="D5" s="2">
        <v>80</v>
      </c>
    </row>
    <row r="6" spans="1:4" x14ac:dyDescent="0.25">
      <c r="A6">
        <v>1005</v>
      </c>
      <c r="B6" s="41">
        <v>44962</v>
      </c>
      <c r="C6" t="s">
        <v>4</v>
      </c>
      <c r="D6" s="2">
        <v>90</v>
      </c>
    </row>
    <row r="7" spans="1:4" x14ac:dyDescent="0.25">
      <c r="A7">
        <v>1006</v>
      </c>
      <c r="B7" s="41">
        <v>44991</v>
      </c>
      <c r="C7" t="s">
        <v>5</v>
      </c>
      <c r="D7" s="2">
        <v>50</v>
      </c>
    </row>
    <row r="8" spans="1:4" x14ac:dyDescent="0.25">
      <c r="A8">
        <v>1007</v>
      </c>
      <c r="B8" s="41">
        <v>44933</v>
      </c>
      <c r="C8" t="s">
        <v>6</v>
      </c>
      <c r="D8" s="2">
        <v>60</v>
      </c>
    </row>
    <row r="9" spans="1:4" x14ac:dyDescent="0.25">
      <c r="A9">
        <v>1008</v>
      </c>
      <c r="B9" s="41">
        <v>44965</v>
      </c>
      <c r="C9" t="s">
        <v>7</v>
      </c>
      <c r="D9" s="2">
        <v>70</v>
      </c>
    </row>
    <row r="10" spans="1:4" x14ac:dyDescent="0.25">
      <c r="A10">
        <v>1009</v>
      </c>
      <c r="B10" s="41">
        <v>44994</v>
      </c>
      <c r="C10" t="s">
        <v>4</v>
      </c>
      <c r="D10" s="2">
        <v>80</v>
      </c>
    </row>
    <row r="11" spans="1:4" x14ac:dyDescent="0.25">
      <c r="A11">
        <v>1010</v>
      </c>
      <c r="B11" s="41">
        <v>44936</v>
      </c>
      <c r="C11" t="s">
        <v>5</v>
      </c>
      <c r="D11" s="2">
        <v>90</v>
      </c>
    </row>
    <row r="12" spans="1:4" x14ac:dyDescent="0.25">
      <c r="A12">
        <v>1011</v>
      </c>
      <c r="B12" s="41">
        <v>44968</v>
      </c>
      <c r="C12" t="s">
        <v>6</v>
      </c>
      <c r="D12" s="2">
        <v>50</v>
      </c>
    </row>
    <row r="13" spans="1:4" x14ac:dyDescent="0.25">
      <c r="A13">
        <v>1012</v>
      </c>
      <c r="B13" s="41">
        <v>44997</v>
      </c>
      <c r="C13" t="s">
        <v>7</v>
      </c>
      <c r="D13" s="2">
        <v>60</v>
      </c>
    </row>
    <row r="14" spans="1:4" x14ac:dyDescent="0.25">
      <c r="A14">
        <v>1013</v>
      </c>
      <c r="B14" s="41">
        <v>44939</v>
      </c>
      <c r="C14" t="s">
        <v>4</v>
      </c>
      <c r="D14" s="2">
        <v>70</v>
      </c>
    </row>
    <row r="15" spans="1:4" x14ac:dyDescent="0.25">
      <c r="A15">
        <v>1014</v>
      </c>
      <c r="B15" s="41">
        <v>44971</v>
      </c>
      <c r="C15" t="s">
        <v>5</v>
      </c>
      <c r="D15" s="2">
        <v>80</v>
      </c>
    </row>
    <row r="16" spans="1:4" x14ac:dyDescent="0.25">
      <c r="A16">
        <v>1015</v>
      </c>
      <c r="B16" s="41">
        <v>44999</v>
      </c>
      <c r="C16" t="s">
        <v>6</v>
      </c>
      <c r="D16" s="2">
        <v>90</v>
      </c>
    </row>
    <row r="17" spans="1:4" x14ac:dyDescent="0.25">
      <c r="A17">
        <v>1016</v>
      </c>
      <c r="B17" s="41">
        <v>44942</v>
      </c>
      <c r="C17" t="s">
        <v>7</v>
      </c>
      <c r="D17" s="2">
        <v>50</v>
      </c>
    </row>
    <row r="18" spans="1:4" x14ac:dyDescent="0.25">
      <c r="A18">
        <v>1017</v>
      </c>
      <c r="B18" s="41">
        <v>44974</v>
      </c>
      <c r="C18" t="s">
        <v>4</v>
      </c>
      <c r="D18" s="2">
        <v>60</v>
      </c>
    </row>
    <row r="19" spans="1:4" x14ac:dyDescent="0.25">
      <c r="A19">
        <v>1018</v>
      </c>
      <c r="B19" s="41">
        <v>45002</v>
      </c>
      <c r="C19" t="s">
        <v>5</v>
      </c>
      <c r="D19" s="2">
        <v>70</v>
      </c>
    </row>
    <row r="20" spans="1:4" x14ac:dyDescent="0.25">
      <c r="A20">
        <v>1019</v>
      </c>
      <c r="B20" s="41">
        <v>44945</v>
      </c>
      <c r="C20" t="s">
        <v>6</v>
      </c>
      <c r="D20" s="2">
        <v>80</v>
      </c>
    </row>
    <row r="21" spans="1:4" x14ac:dyDescent="0.25">
      <c r="A21">
        <v>1020</v>
      </c>
      <c r="B21" s="41">
        <v>44977</v>
      </c>
      <c r="C21" t="s">
        <v>7</v>
      </c>
      <c r="D21" s="2">
        <v>90</v>
      </c>
    </row>
    <row r="22" spans="1:4" x14ac:dyDescent="0.25">
      <c r="A22">
        <v>1021</v>
      </c>
      <c r="B22" s="41">
        <v>45005</v>
      </c>
      <c r="C22" t="s">
        <v>4</v>
      </c>
      <c r="D22" s="2">
        <v>50</v>
      </c>
    </row>
    <row r="23" spans="1:4" x14ac:dyDescent="0.25">
      <c r="A23">
        <v>1022</v>
      </c>
      <c r="B23" s="41">
        <v>44948</v>
      </c>
      <c r="C23" t="s">
        <v>5</v>
      </c>
      <c r="D23" s="2">
        <v>60</v>
      </c>
    </row>
    <row r="24" spans="1:4" x14ac:dyDescent="0.25">
      <c r="A24">
        <v>1023</v>
      </c>
      <c r="B24" s="41">
        <v>44980</v>
      </c>
      <c r="C24" t="s">
        <v>6</v>
      </c>
      <c r="D24" s="2">
        <v>70</v>
      </c>
    </row>
    <row r="25" spans="1:4" x14ac:dyDescent="0.25">
      <c r="A25">
        <v>1024</v>
      </c>
      <c r="B25" s="41">
        <v>45008</v>
      </c>
      <c r="C25" t="s">
        <v>7</v>
      </c>
      <c r="D25" s="2">
        <v>80</v>
      </c>
    </row>
    <row r="26" spans="1:4" x14ac:dyDescent="0.25">
      <c r="A26">
        <v>1025</v>
      </c>
      <c r="B26" s="41">
        <v>44951</v>
      </c>
      <c r="C26" t="s">
        <v>4</v>
      </c>
      <c r="D26" s="2">
        <v>90</v>
      </c>
    </row>
    <row r="27" spans="1:4" x14ac:dyDescent="0.25">
      <c r="A27">
        <v>1026</v>
      </c>
      <c r="B27" s="41">
        <v>44983</v>
      </c>
      <c r="C27" t="s">
        <v>5</v>
      </c>
      <c r="D27" s="2">
        <v>50</v>
      </c>
    </row>
    <row r="28" spans="1:4" x14ac:dyDescent="0.25">
      <c r="A28">
        <v>1027</v>
      </c>
      <c r="B28" s="41">
        <v>45011</v>
      </c>
      <c r="C28" t="s">
        <v>6</v>
      </c>
      <c r="D28" s="2">
        <v>60</v>
      </c>
    </row>
    <row r="29" spans="1:4" x14ac:dyDescent="0.25">
      <c r="A29">
        <v>1028</v>
      </c>
      <c r="B29" s="41">
        <v>44954</v>
      </c>
      <c r="C29" t="s">
        <v>7</v>
      </c>
      <c r="D29" s="2">
        <v>70</v>
      </c>
    </row>
    <row r="30" spans="1:4" x14ac:dyDescent="0.25">
      <c r="A30">
        <v>1029</v>
      </c>
      <c r="B30" s="41">
        <v>44958</v>
      </c>
      <c r="C30" t="s">
        <v>4</v>
      </c>
      <c r="D30" s="2">
        <v>80</v>
      </c>
    </row>
    <row r="31" spans="1:4" x14ac:dyDescent="0.25">
      <c r="A31">
        <v>1030</v>
      </c>
      <c r="B31" s="41">
        <v>44987</v>
      </c>
      <c r="C31" t="s">
        <v>5</v>
      </c>
      <c r="D31" s="2">
        <v>90</v>
      </c>
    </row>
    <row r="32" spans="1:4" x14ac:dyDescent="0.25">
      <c r="A32">
        <v>1031</v>
      </c>
      <c r="B32" s="41">
        <v>44929</v>
      </c>
      <c r="C32" t="s">
        <v>6</v>
      </c>
      <c r="D32" s="2">
        <v>50</v>
      </c>
    </row>
    <row r="33" spans="1:4" x14ac:dyDescent="0.25">
      <c r="A33">
        <v>1032</v>
      </c>
      <c r="B33" s="41">
        <v>44961</v>
      </c>
      <c r="C33" t="s">
        <v>7</v>
      </c>
      <c r="D33" s="2">
        <v>60</v>
      </c>
    </row>
    <row r="34" spans="1:4" x14ac:dyDescent="0.25">
      <c r="A34">
        <v>1033</v>
      </c>
      <c r="B34" s="41">
        <v>44990</v>
      </c>
      <c r="C34" t="s">
        <v>4</v>
      </c>
      <c r="D34" s="2">
        <v>70</v>
      </c>
    </row>
    <row r="35" spans="1:4" x14ac:dyDescent="0.25">
      <c r="A35">
        <v>1034</v>
      </c>
      <c r="B35" s="41">
        <v>44932</v>
      </c>
      <c r="C35" t="s">
        <v>5</v>
      </c>
      <c r="D35" s="2">
        <v>80</v>
      </c>
    </row>
    <row r="36" spans="1:4" x14ac:dyDescent="0.25">
      <c r="A36">
        <v>1035</v>
      </c>
      <c r="B36" s="41">
        <v>44964</v>
      </c>
      <c r="C36" t="s">
        <v>6</v>
      </c>
      <c r="D36" s="2">
        <v>90</v>
      </c>
    </row>
    <row r="37" spans="1:4" x14ac:dyDescent="0.25">
      <c r="A37">
        <v>1036</v>
      </c>
      <c r="B37" s="41">
        <v>44993</v>
      </c>
      <c r="C37" t="s">
        <v>7</v>
      </c>
      <c r="D37" s="2">
        <v>50</v>
      </c>
    </row>
    <row r="38" spans="1:4" x14ac:dyDescent="0.25">
      <c r="A38">
        <v>1037</v>
      </c>
      <c r="B38" s="41">
        <v>44935</v>
      </c>
      <c r="C38" t="s">
        <v>4</v>
      </c>
      <c r="D38" s="2">
        <v>60</v>
      </c>
    </row>
    <row r="39" spans="1:4" x14ac:dyDescent="0.25">
      <c r="A39">
        <v>1038</v>
      </c>
      <c r="B39" s="41">
        <v>44967</v>
      </c>
      <c r="C39" t="s">
        <v>5</v>
      </c>
      <c r="D39" s="2">
        <v>70</v>
      </c>
    </row>
    <row r="40" spans="1:4" x14ac:dyDescent="0.25">
      <c r="A40">
        <v>1039</v>
      </c>
      <c r="B40" s="41">
        <v>44996</v>
      </c>
      <c r="C40" t="s">
        <v>6</v>
      </c>
      <c r="D40" s="2">
        <v>80</v>
      </c>
    </row>
    <row r="41" spans="1:4" x14ac:dyDescent="0.25">
      <c r="A41">
        <v>1040</v>
      </c>
      <c r="B41" s="41">
        <v>44938</v>
      </c>
      <c r="C41" t="s">
        <v>7</v>
      </c>
      <c r="D41" s="2">
        <v>90</v>
      </c>
    </row>
    <row r="42" spans="1:4" x14ac:dyDescent="0.25">
      <c r="A42">
        <v>1041</v>
      </c>
      <c r="B42" s="41">
        <v>44970</v>
      </c>
      <c r="C42" t="s">
        <v>4</v>
      </c>
      <c r="D42" s="2">
        <v>50</v>
      </c>
    </row>
    <row r="43" spans="1:4" x14ac:dyDescent="0.25">
      <c r="A43">
        <v>1042</v>
      </c>
      <c r="B43" s="41">
        <v>44998</v>
      </c>
      <c r="C43" t="s">
        <v>5</v>
      </c>
      <c r="D43" s="2">
        <v>60</v>
      </c>
    </row>
    <row r="44" spans="1:4" x14ac:dyDescent="0.25">
      <c r="A44">
        <v>1043</v>
      </c>
      <c r="B44" s="41">
        <v>44941</v>
      </c>
      <c r="C44" t="s">
        <v>6</v>
      </c>
      <c r="D44" s="2">
        <v>70</v>
      </c>
    </row>
    <row r="45" spans="1:4" x14ac:dyDescent="0.25">
      <c r="A45">
        <v>1044</v>
      </c>
      <c r="B45" s="41">
        <v>44973</v>
      </c>
      <c r="C45" t="s">
        <v>7</v>
      </c>
      <c r="D45" s="2">
        <v>80</v>
      </c>
    </row>
    <row r="46" spans="1:4" x14ac:dyDescent="0.25">
      <c r="A46">
        <v>1045</v>
      </c>
      <c r="B46" s="41">
        <v>45001</v>
      </c>
      <c r="C46" t="s">
        <v>4</v>
      </c>
      <c r="D46" s="2">
        <v>90</v>
      </c>
    </row>
    <row r="47" spans="1:4" x14ac:dyDescent="0.25">
      <c r="A47">
        <v>1046</v>
      </c>
      <c r="B47" s="41">
        <v>44944</v>
      </c>
      <c r="C47" t="s">
        <v>5</v>
      </c>
      <c r="D47" s="2">
        <v>50</v>
      </c>
    </row>
    <row r="48" spans="1:4" x14ac:dyDescent="0.25">
      <c r="A48">
        <v>1047</v>
      </c>
      <c r="B48" s="41">
        <v>44976</v>
      </c>
      <c r="C48" t="s">
        <v>6</v>
      </c>
      <c r="D48" s="2">
        <v>60</v>
      </c>
    </row>
    <row r="49" spans="1:4" x14ac:dyDescent="0.25">
      <c r="A49">
        <v>1048</v>
      </c>
      <c r="B49" s="41">
        <v>45004</v>
      </c>
      <c r="C49" t="s">
        <v>7</v>
      </c>
      <c r="D49" s="2">
        <v>70</v>
      </c>
    </row>
    <row r="50" spans="1:4" x14ac:dyDescent="0.25">
      <c r="A50">
        <v>1049</v>
      </c>
      <c r="B50" s="41">
        <v>44947</v>
      </c>
      <c r="C50" t="s">
        <v>4</v>
      </c>
      <c r="D50" s="2">
        <v>80</v>
      </c>
    </row>
    <row r="51" spans="1:4" x14ac:dyDescent="0.25">
      <c r="A51">
        <v>1050</v>
      </c>
      <c r="B51" s="41">
        <v>44979</v>
      </c>
      <c r="C51" t="s">
        <v>5</v>
      </c>
      <c r="D51" s="2">
        <v>90</v>
      </c>
    </row>
    <row r="52" spans="1:4" x14ac:dyDescent="0.25">
      <c r="A52">
        <v>1051</v>
      </c>
      <c r="B52" s="41">
        <v>45016</v>
      </c>
      <c r="C52" t="s">
        <v>4</v>
      </c>
      <c r="D52" s="2">
        <v>200</v>
      </c>
    </row>
    <row r="53" spans="1:4" x14ac:dyDescent="0.25">
      <c r="A53">
        <v>1052</v>
      </c>
      <c r="B53" s="41">
        <v>45047</v>
      </c>
      <c r="C53" t="s">
        <v>5</v>
      </c>
      <c r="D53" s="2">
        <v>1230</v>
      </c>
    </row>
    <row r="54" spans="1:4" x14ac:dyDescent="0.25">
      <c r="A54">
        <v>1053</v>
      </c>
      <c r="B54" s="41">
        <v>45079</v>
      </c>
      <c r="C54" t="s">
        <v>6</v>
      </c>
      <c r="D54" s="2">
        <v>260</v>
      </c>
    </row>
    <row r="55" spans="1:4" x14ac:dyDescent="0.25">
      <c r="A55">
        <v>1054</v>
      </c>
      <c r="B55" s="41">
        <v>45110</v>
      </c>
      <c r="C55" t="s">
        <v>7</v>
      </c>
      <c r="D55" s="2">
        <v>290</v>
      </c>
    </row>
    <row r="56" spans="1:4" x14ac:dyDescent="0.25">
      <c r="A56">
        <v>1055</v>
      </c>
      <c r="B56" s="41">
        <v>45142</v>
      </c>
      <c r="C56" t="s">
        <v>4</v>
      </c>
      <c r="D56" s="2">
        <v>320</v>
      </c>
    </row>
    <row r="57" spans="1:4" x14ac:dyDescent="0.25">
      <c r="A57">
        <v>1056</v>
      </c>
      <c r="B57" s="41">
        <v>45174</v>
      </c>
      <c r="C57" t="s">
        <v>5</v>
      </c>
      <c r="D57" s="2">
        <v>1350</v>
      </c>
    </row>
    <row r="58" spans="1:4" x14ac:dyDescent="0.25">
      <c r="A58">
        <v>1057</v>
      </c>
      <c r="B58" s="41">
        <v>45205</v>
      </c>
      <c r="C58" t="s">
        <v>6</v>
      </c>
      <c r="D58" s="2">
        <v>380</v>
      </c>
    </row>
    <row r="59" spans="1:4" x14ac:dyDescent="0.25">
      <c r="A59">
        <v>1058</v>
      </c>
      <c r="B59" s="41">
        <v>45238</v>
      </c>
      <c r="C59" t="s">
        <v>7</v>
      </c>
      <c r="D59" s="2">
        <v>410</v>
      </c>
    </row>
    <row r="60" spans="1:4" x14ac:dyDescent="0.25">
      <c r="A60">
        <v>1059</v>
      </c>
      <c r="B60" s="41">
        <v>45269</v>
      </c>
      <c r="C60" t="s">
        <v>4</v>
      </c>
      <c r="D60" s="2">
        <v>440</v>
      </c>
    </row>
    <row r="61" spans="1:4" x14ac:dyDescent="0.25">
      <c r="A61">
        <v>1060</v>
      </c>
      <c r="B61" s="41">
        <v>45025</v>
      </c>
      <c r="C61" t="s">
        <v>5</v>
      </c>
      <c r="D61" s="2">
        <v>1470</v>
      </c>
    </row>
    <row r="62" spans="1:4" x14ac:dyDescent="0.25">
      <c r="A62">
        <v>1061</v>
      </c>
      <c r="B62" s="41">
        <v>45056</v>
      </c>
      <c r="C62" t="s">
        <v>6</v>
      </c>
      <c r="D62" s="2">
        <v>200</v>
      </c>
    </row>
    <row r="63" spans="1:4" x14ac:dyDescent="0.25">
      <c r="A63">
        <v>1062</v>
      </c>
      <c r="B63" s="41">
        <v>45088</v>
      </c>
      <c r="C63" t="s">
        <v>7</v>
      </c>
      <c r="D63" s="2">
        <v>230</v>
      </c>
    </row>
    <row r="64" spans="1:4" x14ac:dyDescent="0.25">
      <c r="A64">
        <v>1063</v>
      </c>
      <c r="B64" s="41">
        <v>45119</v>
      </c>
      <c r="C64" t="s">
        <v>4</v>
      </c>
      <c r="D64" s="2">
        <v>260</v>
      </c>
    </row>
    <row r="65" spans="1:4" x14ac:dyDescent="0.25">
      <c r="A65">
        <v>1064</v>
      </c>
      <c r="B65" s="41">
        <v>45151</v>
      </c>
      <c r="C65" t="s">
        <v>5</v>
      </c>
      <c r="D65" s="2">
        <v>1290</v>
      </c>
    </row>
    <row r="66" spans="1:4" x14ac:dyDescent="0.25">
      <c r="A66">
        <v>1065</v>
      </c>
      <c r="B66" s="41">
        <v>45183</v>
      </c>
      <c r="C66" t="s">
        <v>6</v>
      </c>
      <c r="D66" s="2">
        <v>320</v>
      </c>
    </row>
    <row r="67" spans="1:4" x14ac:dyDescent="0.25">
      <c r="A67">
        <v>1066</v>
      </c>
      <c r="B67" s="41">
        <v>45214</v>
      </c>
      <c r="C67" t="s">
        <v>7</v>
      </c>
      <c r="D67" s="2">
        <v>350</v>
      </c>
    </row>
    <row r="68" spans="1:4" x14ac:dyDescent="0.25">
      <c r="A68">
        <v>1067</v>
      </c>
      <c r="B68" s="41">
        <v>45247</v>
      </c>
      <c r="C68" t="s">
        <v>4</v>
      </c>
      <c r="D68" s="2">
        <v>380</v>
      </c>
    </row>
    <row r="69" spans="1:4" x14ac:dyDescent="0.25">
      <c r="A69">
        <v>1068</v>
      </c>
      <c r="B69" s="41">
        <v>45278</v>
      </c>
      <c r="C69" t="s">
        <v>5</v>
      </c>
      <c r="D69" s="2">
        <v>1410</v>
      </c>
    </row>
    <row r="70" spans="1:4" x14ac:dyDescent="0.25">
      <c r="A70">
        <v>1069</v>
      </c>
      <c r="B70" s="41">
        <v>45034</v>
      </c>
      <c r="C70" t="s">
        <v>6</v>
      </c>
      <c r="D70" s="2">
        <v>440</v>
      </c>
    </row>
    <row r="71" spans="1:4" x14ac:dyDescent="0.25">
      <c r="A71">
        <v>1070</v>
      </c>
      <c r="B71" s="41">
        <v>45065</v>
      </c>
      <c r="C71" t="s">
        <v>7</v>
      </c>
      <c r="D71" s="2">
        <v>470</v>
      </c>
    </row>
    <row r="72" spans="1:4" x14ac:dyDescent="0.25">
      <c r="A72">
        <v>1071</v>
      </c>
      <c r="B72" s="41">
        <v>45097</v>
      </c>
      <c r="C72" t="s">
        <v>4</v>
      </c>
      <c r="D72" s="2">
        <v>200</v>
      </c>
    </row>
    <row r="73" spans="1:4" x14ac:dyDescent="0.25">
      <c r="A73">
        <v>1072</v>
      </c>
      <c r="B73" s="41">
        <v>45128</v>
      </c>
      <c r="C73" t="s">
        <v>5</v>
      </c>
      <c r="D73" s="2">
        <v>1230</v>
      </c>
    </row>
    <row r="74" spans="1:4" x14ac:dyDescent="0.25">
      <c r="A74">
        <v>1073</v>
      </c>
      <c r="B74" s="41">
        <v>45160</v>
      </c>
      <c r="C74" t="s">
        <v>6</v>
      </c>
      <c r="D74" s="2">
        <v>260</v>
      </c>
    </row>
    <row r="75" spans="1:4" x14ac:dyDescent="0.25">
      <c r="A75">
        <v>1074</v>
      </c>
      <c r="B75" s="41">
        <v>45192</v>
      </c>
      <c r="C75" t="s">
        <v>7</v>
      </c>
      <c r="D75" s="2">
        <v>290</v>
      </c>
    </row>
    <row r="76" spans="1:4" x14ac:dyDescent="0.25">
      <c r="A76">
        <v>1075</v>
      </c>
      <c r="B76" s="41">
        <v>45223</v>
      </c>
      <c r="C76" t="s">
        <v>4</v>
      </c>
      <c r="D76" s="2">
        <v>320</v>
      </c>
    </row>
    <row r="77" spans="1:4" x14ac:dyDescent="0.25">
      <c r="A77">
        <v>1076</v>
      </c>
      <c r="B77" s="41">
        <v>45256</v>
      </c>
      <c r="C77" t="s">
        <v>5</v>
      </c>
      <c r="D77" s="2">
        <v>1350</v>
      </c>
    </row>
    <row r="78" spans="1:4" x14ac:dyDescent="0.25">
      <c r="A78">
        <v>1077</v>
      </c>
      <c r="B78" s="41">
        <v>45287</v>
      </c>
      <c r="C78" t="s">
        <v>6</v>
      </c>
      <c r="D78" s="2">
        <v>380</v>
      </c>
    </row>
    <row r="79" spans="1:4" x14ac:dyDescent="0.25">
      <c r="A79">
        <v>1078</v>
      </c>
      <c r="B79" s="41">
        <v>45043</v>
      </c>
      <c r="C79" t="s">
        <v>7</v>
      </c>
      <c r="D79" s="2">
        <v>410</v>
      </c>
    </row>
    <row r="80" spans="1:4" x14ac:dyDescent="0.25">
      <c r="A80">
        <v>1079</v>
      </c>
      <c r="B80" s="41">
        <v>45046</v>
      </c>
      <c r="C80" t="s">
        <v>4</v>
      </c>
      <c r="D80" s="2">
        <v>440</v>
      </c>
    </row>
    <row r="81" spans="1:4" x14ac:dyDescent="0.25">
      <c r="A81">
        <v>1080</v>
      </c>
      <c r="B81" s="41">
        <v>45078</v>
      </c>
      <c r="C81" t="s">
        <v>5</v>
      </c>
      <c r="D81" s="2">
        <v>1470</v>
      </c>
    </row>
    <row r="82" spans="1:4" x14ac:dyDescent="0.25">
      <c r="A82">
        <v>1081</v>
      </c>
      <c r="B82" s="41">
        <v>45109</v>
      </c>
      <c r="C82" t="s">
        <v>6</v>
      </c>
      <c r="D82" s="2">
        <v>200</v>
      </c>
    </row>
    <row r="83" spans="1:4" x14ac:dyDescent="0.25">
      <c r="A83">
        <v>1082</v>
      </c>
      <c r="B83" s="41">
        <v>45141</v>
      </c>
      <c r="C83" t="s">
        <v>7</v>
      </c>
      <c r="D83" s="2">
        <v>230</v>
      </c>
    </row>
    <row r="84" spans="1:4" x14ac:dyDescent="0.25">
      <c r="A84">
        <v>1083</v>
      </c>
      <c r="B84" s="41">
        <v>45173</v>
      </c>
      <c r="C84" t="s">
        <v>4</v>
      </c>
      <c r="D84" s="2">
        <v>260</v>
      </c>
    </row>
    <row r="85" spans="1:4" x14ac:dyDescent="0.25">
      <c r="A85">
        <v>1084</v>
      </c>
      <c r="B85" s="41">
        <v>45204</v>
      </c>
      <c r="C85" t="s">
        <v>5</v>
      </c>
      <c r="D85" s="2">
        <v>1290</v>
      </c>
    </row>
    <row r="86" spans="1:4" x14ac:dyDescent="0.25">
      <c r="A86">
        <v>1085</v>
      </c>
      <c r="B86" s="41">
        <v>45237</v>
      </c>
      <c r="C86" t="s">
        <v>6</v>
      </c>
      <c r="D86" s="2">
        <v>320</v>
      </c>
    </row>
    <row r="87" spans="1:4" x14ac:dyDescent="0.25">
      <c r="A87">
        <v>1086</v>
      </c>
      <c r="B87" s="41">
        <v>45268</v>
      </c>
      <c r="C87" t="s">
        <v>7</v>
      </c>
      <c r="D87" s="2">
        <v>350</v>
      </c>
    </row>
    <row r="88" spans="1:4" x14ac:dyDescent="0.25">
      <c r="A88">
        <v>1087</v>
      </c>
      <c r="B88" s="41">
        <v>45024</v>
      </c>
      <c r="C88" t="s">
        <v>4</v>
      </c>
      <c r="D88" s="2">
        <v>380</v>
      </c>
    </row>
    <row r="89" spans="1:4" x14ac:dyDescent="0.25">
      <c r="A89">
        <v>1088</v>
      </c>
      <c r="B89" s="41">
        <v>45055</v>
      </c>
      <c r="C89" t="s">
        <v>5</v>
      </c>
      <c r="D89" s="2">
        <v>1410</v>
      </c>
    </row>
    <row r="90" spans="1:4" x14ac:dyDescent="0.25">
      <c r="A90">
        <v>1089</v>
      </c>
      <c r="B90" s="41">
        <v>45087</v>
      </c>
      <c r="C90" t="s">
        <v>6</v>
      </c>
      <c r="D90" s="2">
        <v>440</v>
      </c>
    </row>
    <row r="91" spans="1:4" x14ac:dyDescent="0.25">
      <c r="A91">
        <v>1090</v>
      </c>
      <c r="B91" s="41">
        <v>45118</v>
      </c>
      <c r="C91" t="s">
        <v>7</v>
      </c>
      <c r="D91" s="2">
        <v>470</v>
      </c>
    </row>
    <row r="92" spans="1:4" x14ac:dyDescent="0.25">
      <c r="A92">
        <v>1091</v>
      </c>
      <c r="B92" s="41">
        <v>45150</v>
      </c>
      <c r="C92" t="s">
        <v>4</v>
      </c>
      <c r="D92" s="2">
        <v>200</v>
      </c>
    </row>
    <row r="93" spans="1:4" x14ac:dyDescent="0.25">
      <c r="A93">
        <v>1092</v>
      </c>
      <c r="B93" s="41">
        <v>45182</v>
      </c>
      <c r="C93" t="s">
        <v>5</v>
      </c>
      <c r="D93" s="2">
        <v>1230</v>
      </c>
    </row>
    <row r="94" spans="1:4" x14ac:dyDescent="0.25">
      <c r="A94">
        <v>1093</v>
      </c>
      <c r="B94" s="41">
        <v>45213</v>
      </c>
      <c r="C94" t="s">
        <v>6</v>
      </c>
      <c r="D94" s="2">
        <v>260</v>
      </c>
    </row>
    <row r="95" spans="1:4" x14ac:dyDescent="0.25">
      <c r="A95">
        <v>1094</v>
      </c>
      <c r="B95" s="41">
        <v>45246</v>
      </c>
      <c r="C95" t="s">
        <v>7</v>
      </c>
      <c r="D95" s="2">
        <v>290</v>
      </c>
    </row>
    <row r="96" spans="1:4" x14ac:dyDescent="0.25">
      <c r="A96">
        <v>1095</v>
      </c>
      <c r="B96" s="41">
        <v>45277</v>
      </c>
      <c r="C96" t="s">
        <v>4</v>
      </c>
      <c r="D96" s="2">
        <v>320</v>
      </c>
    </row>
    <row r="97" spans="1:4" x14ac:dyDescent="0.25">
      <c r="A97">
        <v>1096</v>
      </c>
      <c r="B97" s="41">
        <v>45033</v>
      </c>
      <c r="C97" t="s">
        <v>5</v>
      </c>
      <c r="D97" s="2">
        <v>1350</v>
      </c>
    </row>
    <row r="98" spans="1:4" x14ac:dyDescent="0.25">
      <c r="A98">
        <v>1097</v>
      </c>
      <c r="B98" s="41">
        <v>45064</v>
      </c>
      <c r="C98" t="s">
        <v>6</v>
      </c>
      <c r="D98" s="2">
        <v>380</v>
      </c>
    </row>
    <row r="99" spans="1:4" x14ac:dyDescent="0.25">
      <c r="A99">
        <v>1098</v>
      </c>
      <c r="B99" s="41">
        <v>45096</v>
      </c>
      <c r="C99" t="s">
        <v>7</v>
      </c>
      <c r="D99" s="2">
        <v>410</v>
      </c>
    </row>
    <row r="100" spans="1:4" x14ac:dyDescent="0.25">
      <c r="A100">
        <v>1099</v>
      </c>
      <c r="B100" s="41">
        <v>45127</v>
      </c>
      <c r="C100" t="s">
        <v>4</v>
      </c>
      <c r="D100" s="2">
        <v>440</v>
      </c>
    </row>
    <row r="101" spans="1:4" x14ac:dyDescent="0.25">
      <c r="A101">
        <v>1100</v>
      </c>
      <c r="B101" s="41">
        <v>45159</v>
      </c>
      <c r="C101" t="s">
        <v>5</v>
      </c>
      <c r="D101" s="2">
        <v>1470</v>
      </c>
    </row>
    <row r="102" spans="1:4" x14ac:dyDescent="0.25">
      <c r="A102">
        <v>1101</v>
      </c>
      <c r="B102" s="41">
        <v>45191</v>
      </c>
      <c r="C102" t="s">
        <v>6</v>
      </c>
      <c r="D102" s="2">
        <v>200</v>
      </c>
    </row>
    <row r="103" spans="1:4" x14ac:dyDescent="0.25">
      <c r="A103">
        <v>1102</v>
      </c>
      <c r="B103" s="41">
        <v>45222</v>
      </c>
      <c r="C103" t="s">
        <v>7</v>
      </c>
      <c r="D103" s="2">
        <v>230</v>
      </c>
    </row>
    <row r="104" spans="1:4" x14ac:dyDescent="0.25">
      <c r="A104">
        <v>1103</v>
      </c>
      <c r="B104" s="41">
        <v>45255</v>
      </c>
      <c r="C104" t="s">
        <v>4</v>
      </c>
      <c r="D104" s="2">
        <v>260</v>
      </c>
    </row>
    <row r="105" spans="1:4" x14ac:dyDescent="0.25">
      <c r="A105">
        <v>1104</v>
      </c>
      <c r="B105" s="41">
        <v>45286</v>
      </c>
      <c r="C105" t="s">
        <v>5</v>
      </c>
      <c r="D105" s="2">
        <v>1290</v>
      </c>
    </row>
    <row r="106" spans="1:4" x14ac:dyDescent="0.25">
      <c r="A106">
        <v>1105</v>
      </c>
      <c r="B106" s="41">
        <v>45042</v>
      </c>
      <c r="C106" t="s">
        <v>6</v>
      </c>
      <c r="D106" s="2">
        <v>320</v>
      </c>
    </row>
    <row r="107" spans="1:4" x14ac:dyDescent="0.25">
      <c r="A107">
        <v>1106</v>
      </c>
      <c r="B107" s="41">
        <v>45073</v>
      </c>
      <c r="C107" t="s">
        <v>7</v>
      </c>
      <c r="D107" s="2">
        <v>350</v>
      </c>
    </row>
    <row r="108" spans="1:4" x14ac:dyDescent="0.25">
      <c r="A108">
        <v>1107</v>
      </c>
      <c r="B108" s="41">
        <v>45077</v>
      </c>
      <c r="C108" t="s">
        <v>4</v>
      </c>
      <c r="D108" s="2">
        <v>380</v>
      </c>
    </row>
    <row r="109" spans="1:4" x14ac:dyDescent="0.25">
      <c r="A109">
        <v>1108</v>
      </c>
      <c r="B109" s="41">
        <v>45108</v>
      </c>
      <c r="C109" t="s">
        <v>5</v>
      </c>
      <c r="D109" s="2">
        <v>1410</v>
      </c>
    </row>
    <row r="110" spans="1:4" x14ac:dyDescent="0.25">
      <c r="A110">
        <v>1109</v>
      </c>
      <c r="B110" s="41">
        <v>45140</v>
      </c>
      <c r="C110" t="s">
        <v>6</v>
      </c>
      <c r="D110" s="2">
        <v>440</v>
      </c>
    </row>
    <row r="111" spans="1:4" x14ac:dyDescent="0.25">
      <c r="A111">
        <v>1110</v>
      </c>
      <c r="B111" s="41">
        <v>45172</v>
      </c>
      <c r="C111" t="s">
        <v>7</v>
      </c>
      <c r="D111" s="2">
        <v>470</v>
      </c>
    </row>
    <row r="112" spans="1:4" x14ac:dyDescent="0.25">
      <c r="A112">
        <v>1111</v>
      </c>
      <c r="B112" s="41">
        <v>45203</v>
      </c>
      <c r="C112" t="s">
        <v>4</v>
      </c>
      <c r="D112" s="2">
        <v>200</v>
      </c>
    </row>
    <row r="113" spans="1:4" x14ac:dyDescent="0.25">
      <c r="A113">
        <v>1112</v>
      </c>
      <c r="B113" s="41">
        <v>45236</v>
      </c>
      <c r="C113" t="s">
        <v>5</v>
      </c>
      <c r="D113" s="2">
        <v>1230</v>
      </c>
    </row>
    <row r="114" spans="1:4" x14ac:dyDescent="0.25">
      <c r="A114">
        <v>1113</v>
      </c>
      <c r="B114" s="41">
        <v>45267</v>
      </c>
      <c r="C114" t="s">
        <v>6</v>
      </c>
      <c r="D114" s="2">
        <v>260</v>
      </c>
    </row>
    <row r="115" spans="1:4" x14ac:dyDescent="0.25">
      <c r="A115">
        <v>1114</v>
      </c>
      <c r="B115" s="41">
        <v>45023</v>
      </c>
      <c r="C115" t="s">
        <v>7</v>
      </c>
      <c r="D115" s="2">
        <v>290</v>
      </c>
    </row>
    <row r="116" spans="1:4" x14ac:dyDescent="0.25">
      <c r="A116">
        <v>1115</v>
      </c>
      <c r="B116" s="41">
        <v>45054</v>
      </c>
      <c r="C116" t="s">
        <v>4</v>
      </c>
      <c r="D116" s="2">
        <v>320</v>
      </c>
    </row>
    <row r="117" spans="1:4" x14ac:dyDescent="0.25">
      <c r="A117">
        <v>1116</v>
      </c>
      <c r="B117" s="41">
        <v>45086</v>
      </c>
      <c r="C117" t="s">
        <v>5</v>
      </c>
      <c r="D117" s="2">
        <v>1350</v>
      </c>
    </row>
    <row r="118" spans="1:4" x14ac:dyDescent="0.25">
      <c r="A118">
        <v>1117</v>
      </c>
      <c r="B118" s="41">
        <v>45117</v>
      </c>
      <c r="C118" t="s">
        <v>6</v>
      </c>
      <c r="D118" s="2">
        <v>380</v>
      </c>
    </row>
    <row r="119" spans="1:4" x14ac:dyDescent="0.25">
      <c r="A119">
        <v>1118</v>
      </c>
      <c r="B119" s="41">
        <v>45149</v>
      </c>
      <c r="C119" t="s">
        <v>7</v>
      </c>
      <c r="D119" s="2">
        <v>410</v>
      </c>
    </row>
    <row r="120" spans="1:4" x14ac:dyDescent="0.25">
      <c r="A120">
        <v>1119</v>
      </c>
      <c r="B120" s="41">
        <v>45181</v>
      </c>
      <c r="C120" t="s">
        <v>4</v>
      </c>
      <c r="D120" s="2">
        <v>440</v>
      </c>
    </row>
    <row r="121" spans="1:4" x14ac:dyDescent="0.25">
      <c r="A121">
        <v>1120</v>
      </c>
      <c r="B121" s="41">
        <v>45212</v>
      </c>
      <c r="C121" t="s">
        <v>5</v>
      </c>
      <c r="D121" s="2">
        <v>1470</v>
      </c>
    </row>
    <row r="122" spans="1:4" x14ac:dyDescent="0.25">
      <c r="A122">
        <v>1121</v>
      </c>
      <c r="B122" s="41">
        <v>45245</v>
      </c>
      <c r="C122" t="s">
        <v>6</v>
      </c>
      <c r="D122" s="2">
        <v>200</v>
      </c>
    </row>
    <row r="123" spans="1:4" x14ac:dyDescent="0.25">
      <c r="A123">
        <v>1122</v>
      </c>
      <c r="B123" s="41">
        <v>45276</v>
      </c>
      <c r="C123" t="s">
        <v>7</v>
      </c>
      <c r="D123" s="2">
        <v>230</v>
      </c>
    </row>
    <row r="124" spans="1:4" x14ac:dyDescent="0.25">
      <c r="A124">
        <v>1123</v>
      </c>
      <c r="B124" s="41">
        <v>45032</v>
      </c>
      <c r="C124" t="s">
        <v>4</v>
      </c>
      <c r="D124" s="2">
        <v>260</v>
      </c>
    </row>
    <row r="125" spans="1:4" x14ac:dyDescent="0.25">
      <c r="A125">
        <v>1124</v>
      </c>
      <c r="B125" s="41">
        <v>45063</v>
      </c>
      <c r="C125" t="s">
        <v>5</v>
      </c>
      <c r="D125" s="2">
        <v>1290</v>
      </c>
    </row>
    <row r="126" spans="1:4" x14ac:dyDescent="0.25">
      <c r="A126">
        <v>1125</v>
      </c>
      <c r="B126" s="41">
        <v>45095</v>
      </c>
      <c r="C126" t="s">
        <v>6</v>
      </c>
      <c r="D126" s="2">
        <v>320</v>
      </c>
    </row>
    <row r="127" spans="1:4" x14ac:dyDescent="0.25">
      <c r="A127">
        <v>1126</v>
      </c>
      <c r="B127" s="41">
        <v>45126</v>
      </c>
      <c r="C127" t="s">
        <v>7</v>
      </c>
      <c r="D127" s="2">
        <v>350</v>
      </c>
    </row>
    <row r="128" spans="1:4" x14ac:dyDescent="0.25">
      <c r="A128">
        <v>1127</v>
      </c>
      <c r="B128" s="41">
        <v>45158</v>
      </c>
      <c r="C128" t="s">
        <v>4</v>
      </c>
      <c r="D128" s="2">
        <v>380</v>
      </c>
    </row>
    <row r="129" spans="1:4" x14ac:dyDescent="0.25">
      <c r="A129">
        <v>1128</v>
      </c>
      <c r="B129" s="41">
        <v>45190</v>
      </c>
      <c r="C129" t="s">
        <v>5</v>
      </c>
      <c r="D129" s="2">
        <v>1410</v>
      </c>
    </row>
    <row r="130" spans="1:4" x14ac:dyDescent="0.25">
      <c r="A130">
        <v>1129</v>
      </c>
      <c r="B130" s="41">
        <v>45221</v>
      </c>
      <c r="C130" t="s">
        <v>6</v>
      </c>
      <c r="D130" s="2">
        <v>440</v>
      </c>
    </row>
    <row r="131" spans="1:4" x14ac:dyDescent="0.25">
      <c r="A131">
        <v>1130</v>
      </c>
      <c r="B131" s="41">
        <v>45254</v>
      </c>
      <c r="C131" t="s">
        <v>7</v>
      </c>
      <c r="D131" s="2">
        <v>470</v>
      </c>
    </row>
    <row r="132" spans="1:4" x14ac:dyDescent="0.25">
      <c r="A132">
        <v>1131</v>
      </c>
      <c r="B132" s="41">
        <v>45285</v>
      </c>
      <c r="C132" t="s">
        <v>4</v>
      </c>
      <c r="D132" s="2">
        <v>200</v>
      </c>
    </row>
    <row r="133" spans="1:4" x14ac:dyDescent="0.25">
      <c r="A133">
        <v>1132</v>
      </c>
      <c r="B133" s="41">
        <v>45041</v>
      </c>
      <c r="C133" t="s">
        <v>5</v>
      </c>
      <c r="D133" s="2">
        <v>1230</v>
      </c>
    </row>
    <row r="134" spans="1:4" x14ac:dyDescent="0.25">
      <c r="A134">
        <v>1133</v>
      </c>
      <c r="B134" s="41">
        <v>45072</v>
      </c>
      <c r="C134" t="s">
        <v>6</v>
      </c>
      <c r="D134" s="2">
        <v>260</v>
      </c>
    </row>
    <row r="135" spans="1:4" x14ac:dyDescent="0.25">
      <c r="A135">
        <v>1134</v>
      </c>
      <c r="B135" s="41">
        <v>45104</v>
      </c>
      <c r="C135" t="s">
        <v>7</v>
      </c>
      <c r="D135" s="2">
        <v>290</v>
      </c>
    </row>
    <row r="136" spans="1:4" x14ac:dyDescent="0.25">
      <c r="A136">
        <v>1135</v>
      </c>
      <c r="B136" s="41">
        <v>45107</v>
      </c>
      <c r="C136" t="s">
        <v>4</v>
      </c>
      <c r="D136" s="2">
        <v>320</v>
      </c>
    </row>
    <row r="137" spans="1:4" x14ac:dyDescent="0.25">
      <c r="A137">
        <v>1136</v>
      </c>
      <c r="B137" s="41">
        <v>45139</v>
      </c>
      <c r="C137" t="s">
        <v>5</v>
      </c>
      <c r="D137" s="2">
        <v>1350</v>
      </c>
    </row>
    <row r="138" spans="1:4" x14ac:dyDescent="0.25">
      <c r="A138">
        <v>1137</v>
      </c>
      <c r="B138" s="41">
        <v>45171</v>
      </c>
      <c r="C138" t="s">
        <v>6</v>
      </c>
      <c r="D138" s="2">
        <v>380</v>
      </c>
    </row>
    <row r="139" spans="1:4" x14ac:dyDescent="0.25">
      <c r="A139">
        <v>1138</v>
      </c>
      <c r="B139" s="41">
        <v>45202</v>
      </c>
      <c r="C139" t="s">
        <v>7</v>
      </c>
      <c r="D139" s="2">
        <v>410</v>
      </c>
    </row>
    <row r="140" spans="1:4" x14ac:dyDescent="0.25">
      <c r="A140">
        <v>1139</v>
      </c>
      <c r="B140" s="41">
        <v>45234</v>
      </c>
      <c r="C140" t="s">
        <v>4</v>
      </c>
      <c r="D140" s="2">
        <v>440</v>
      </c>
    </row>
    <row r="141" spans="1:4" x14ac:dyDescent="0.25">
      <c r="A141">
        <v>1140</v>
      </c>
      <c r="B141" s="41">
        <v>45266</v>
      </c>
      <c r="C141" t="s">
        <v>5</v>
      </c>
      <c r="D141" s="2">
        <v>1470</v>
      </c>
    </row>
    <row r="142" spans="1:4" x14ac:dyDescent="0.25">
      <c r="A142">
        <v>1141</v>
      </c>
      <c r="B142" s="41">
        <v>45022</v>
      </c>
      <c r="C142" t="s">
        <v>6</v>
      </c>
      <c r="D142" s="2">
        <v>200</v>
      </c>
    </row>
    <row r="143" spans="1:4" x14ac:dyDescent="0.25">
      <c r="A143">
        <v>1142</v>
      </c>
      <c r="B143" s="41">
        <v>45053</v>
      </c>
      <c r="C143" t="s">
        <v>7</v>
      </c>
      <c r="D143" s="2">
        <v>230</v>
      </c>
    </row>
    <row r="144" spans="1:4" x14ac:dyDescent="0.25">
      <c r="A144">
        <v>1143</v>
      </c>
      <c r="B144" s="41">
        <v>45085</v>
      </c>
      <c r="C144" t="s">
        <v>4</v>
      </c>
      <c r="D144" s="2">
        <v>260</v>
      </c>
    </row>
    <row r="145" spans="1:4" x14ac:dyDescent="0.25">
      <c r="A145">
        <v>1144</v>
      </c>
      <c r="B145" s="41">
        <v>45116</v>
      </c>
      <c r="C145" t="s">
        <v>5</v>
      </c>
      <c r="D145" s="2">
        <v>1290</v>
      </c>
    </row>
    <row r="146" spans="1:4" x14ac:dyDescent="0.25">
      <c r="A146">
        <v>1145</v>
      </c>
      <c r="B146" s="41">
        <v>45148</v>
      </c>
      <c r="C146" t="s">
        <v>6</v>
      </c>
      <c r="D146" s="2">
        <v>320</v>
      </c>
    </row>
    <row r="147" spans="1:4" x14ac:dyDescent="0.25">
      <c r="A147">
        <v>1146</v>
      </c>
      <c r="B147" s="41">
        <v>45180</v>
      </c>
      <c r="C147" t="s">
        <v>7</v>
      </c>
      <c r="D147" s="2">
        <v>350</v>
      </c>
    </row>
    <row r="148" spans="1:4" x14ac:dyDescent="0.25">
      <c r="A148">
        <v>1147</v>
      </c>
      <c r="B148" s="41">
        <v>45211</v>
      </c>
      <c r="C148" t="s">
        <v>4</v>
      </c>
      <c r="D148" s="2">
        <v>380</v>
      </c>
    </row>
    <row r="149" spans="1:4" x14ac:dyDescent="0.25">
      <c r="A149">
        <v>1148</v>
      </c>
      <c r="B149" s="41">
        <v>45244</v>
      </c>
      <c r="C149" t="s">
        <v>5</v>
      </c>
      <c r="D149" s="2">
        <v>1410</v>
      </c>
    </row>
    <row r="150" spans="1:4" x14ac:dyDescent="0.25">
      <c r="A150">
        <v>1149</v>
      </c>
      <c r="B150" s="41">
        <v>45275</v>
      </c>
      <c r="C150" t="s">
        <v>6</v>
      </c>
      <c r="D150" s="2">
        <v>440</v>
      </c>
    </row>
    <row r="151" spans="1:4" x14ac:dyDescent="0.25">
      <c r="A151">
        <v>1150</v>
      </c>
      <c r="B151" s="41">
        <v>45031</v>
      </c>
      <c r="C151" t="s">
        <v>7</v>
      </c>
      <c r="D151" s="2">
        <v>470</v>
      </c>
    </row>
    <row r="152" spans="1:4" x14ac:dyDescent="0.25">
      <c r="A152">
        <v>1151</v>
      </c>
      <c r="B152" s="41">
        <v>45062</v>
      </c>
      <c r="C152" t="s">
        <v>4</v>
      </c>
      <c r="D152" s="2">
        <v>200</v>
      </c>
    </row>
    <row r="153" spans="1:4" x14ac:dyDescent="0.25">
      <c r="A153">
        <v>1152</v>
      </c>
      <c r="B153" s="41">
        <v>45094</v>
      </c>
      <c r="C153" t="s">
        <v>5</v>
      </c>
      <c r="D153" s="2">
        <v>1230</v>
      </c>
    </row>
    <row r="154" spans="1:4" x14ac:dyDescent="0.25">
      <c r="A154">
        <v>1153</v>
      </c>
      <c r="B154" s="41">
        <v>45125</v>
      </c>
      <c r="C154" t="s">
        <v>6</v>
      </c>
      <c r="D154" s="2">
        <v>260</v>
      </c>
    </row>
    <row r="155" spans="1:4" x14ac:dyDescent="0.25">
      <c r="A155">
        <v>1154</v>
      </c>
      <c r="B155" s="41">
        <v>45157</v>
      </c>
      <c r="C155" t="s">
        <v>7</v>
      </c>
      <c r="D155" s="2">
        <v>290</v>
      </c>
    </row>
    <row r="156" spans="1:4" x14ac:dyDescent="0.25">
      <c r="A156">
        <v>1155</v>
      </c>
      <c r="B156" s="41">
        <v>45189</v>
      </c>
      <c r="C156" t="s">
        <v>4</v>
      </c>
      <c r="D156" s="2">
        <v>320</v>
      </c>
    </row>
    <row r="157" spans="1:4" x14ac:dyDescent="0.25">
      <c r="A157">
        <v>1156</v>
      </c>
      <c r="B157" s="41">
        <v>45220</v>
      </c>
      <c r="C157" t="s">
        <v>5</v>
      </c>
      <c r="D157" s="2">
        <v>1350</v>
      </c>
    </row>
    <row r="158" spans="1:4" x14ac:dyDescent="0.25">
      <c r="A158">
        <v>1157</v>
      </c>
      <c r="B158" s="41">
        <v>45253</v>
      </c>
      <c r="C158" t="s">
        <v>6</v>
      </c>
      <c r="D158" s="2">
        <v>380</v>
      </c>
    </row>
    <row r="159" spans="1:4" x14ac:dyDescent="0.25">
      <c r="A159">
        <v>1158</v>
      </c>
      <c r="B159" s="41">
        <v>45284</v>
      </c>
      <c r="C159" t="s">
        <v>7</v>
      </c>
      <c r="D159" s="2">
        <v>410</v>
      </c>
    </row>
    <row r="160" spans="1:4" x14ac:dyDescent="0.25">
      <c r="A160">
        <v>1159</v>
      </c>
      <c r="B160" s="41">
        <v>45040</v>
      </c>
      <c r="C160" t="s">
        <v>4</v>
      </c>
      <c r="D160" s="2">
        <v>440</v>
      </c>
    </row>
    <row r="161" spans="1:4" x14ac:dyDescent="0.25">
      <c r="A161">
        <v>1160</v>
      </c>
      <c r="B161" s="41">
        <v>45071</v>
      </c>
      <c r="C161" t="s">
        <v>5</v>
      </c>
      <c r="D161" s="2">
        <v>1470</v>
      </c>
    </row>
    <row r="162" spans="1:4" x14ac:dyDescent="0.25">
      <c r="A162">
        <v>1161</v>
      </c>
      <c r="B162" s="41">
        <v>45103</v>
      </c>
      <c r="C162" t="s">
        <v>6</v>
      </c>
      <c r="D162" s="2">
        <v>200</v>
      </c>
    </row>
    <row r="163" spans="1:4" x14ac:dyDescent="0.25">
      <c r="A163">
        <v>1162</v>
      </c>
      <c r="B163" s="41">
        <v>45134</v>
      </c>
      <c r="C163" t="s">
        <v>7</v>
      </c>
      <c r="D163" s="2">
        <v>230</v>
      </c>
    </row>
    <row r="164" spans="1:4" x14ac:dyDescent="0.25">
      <c r="A164">
        <v>1163</v>
      </c>
      <c r="B164" s="41">
        <v>45138</v>
      </c>
      <c r="C164" t="s">
        <v>4</v>
      </c>
      <c r="D164" s="2">
        <v>260</v>
      </c>
    </row>
    <row r="165" spans="1:4" x14ac:dyDescent="0.25">
      <c r="A165">
        <v>1164</v>
      </c>
      <c r="B165" s="41">
        <v>45170</v>
      </c>
      <c r="C165" t="s">
        <v>5</v>
      </c>
      <c r="D165" s="2">
        <v>1290</v>
      </c>
    </row>
    <row r="166" spans="1:4" x14ac:dyDescent="0.25">
      <c r="A166">
        <v>1165</v>
      </c>
      <c r="B166" s="41">
        <v>45201</v>
      </c>
      <c r="C166" t="s">
        <v>6</v>
      </c>
      <c r="D166" s="2">
        <v>320</v>
      </c>
    </row>
    <row r="167" spans="1:4" x14ac:dyDescent="0.25">
      <c r="A167">
        <v>1166</v>
      </c>
      <c r="B167" s="41">
        <v>45233</v>
      </c>
      <c r="C167" t="s">
        <v>7</v>
      </c>
      <c r="D167" s="2">
        <v>350</v>
      </c>
    </row>
    <row r="168" spans="1:4" x14ac:dyDescent="0.25">
      <c r="A168">
        <v>1167</v>
      </c>
      <c r="B168" s="41">
        <v>45265</v>
      </c>
      <c r="C168" t="s">
        <v>4</v>
      </c>
      <c r="D168" s="2">
        <v>380</v>
      </c>
    </row>
    <row r="169" spans="1:4" x14ac:dyDescent="0.25">
      <c r="A169">
        <v>1168</v>
      </c>
      <c r="B169" s="41">
        <v>45021</v>
      </c>
      <c r="C169" t="s">
        <v>5</v>
      </c>
      <c r="D169" s="2">
        <v>1410</v>
      </c>
    </row>
    <row r="170" spans="1:4" x14ac:dyDescent="0.25">
      <c r="A170">
        <v>1169</v>
      </c>
      <c r="B170" s="41">
        <v>45052</v>
      </c>
      <c r="C170" t="s">
        <v>6</v>
      </c>
      <c r="D170" s="2">
        <v>440</v>
      </c>
    </row>
    <row r="171" spans="1:4" x14ac:dyDescent="0.25">
      <c r="A171">
        <v>1170</v>
      </c>
      <c r="B171" s="41">
        <v>45084</v>
      </c>
      <c r="C171" t="s">
        <v>7</v>
      </c>
      <c r="D171" s="2">
        <v>470</v>
      </c>
    </row>
    <row r="172" spans="1:4" x14ac:dyDescent="0.25">
      <c r="A172">
        <v>1171</v>
      </c>
      <c r="B172" s="41">
        <v>45115</v>
      </c>
      <c r="C172" t="s">
        <v>4</v>
      </c>
      <c r="D172" s="2">
        <v>200</v>
      </c>
    </row>
    <row r="173" spans="1:4" x14ac:dyDescent="0.25">
      <c r="A173">
        <v>1172</v>
      </c>
      <c r="B173" s="41">
        <v>45147</v>
      </c>
      <c r="C173" t="s">
        <v>5</v>
      </c>
      <c r="D173" s="2">
        <v>1230</v>
      </c>
    </row>
    <row r="174" spans="1:4" x14ac:dyDescent="0.25">
      <c r="A174">
        <v>1173</v>
      </c>
      <c r="B174" s="41">
        <v>45179</v>
      </c>
      <c r="C174" t="s">
        <v>6</v>
      </c>
      <c r="D174" s="2">
        <v>260</v>
      </c>
    </row>
    <row r="175" spans="1:4" x14ac:dyDescent="0.25">
      <c r="A175">
        <v>1174</v>
      </c>
      <c r="B175" s="41">
        <v>45210</v>
      </c>
      <c r="C175" t="s">
        <v>7</v>
      </c>
      <c r="D175" s="2">
        <v>290</v>
      </c>
    </row>
    <row r="176" spans="1:4" x14ac:dyDescent="0.25">
      <c r="A176">
        <v>1175</v>
      </c>
      <c r="B176" s="41">
        <v>45243</v>
      </c>
      <c r="C176" t="s">
        <v>4</v>
      </c>
      <c r="D176" s="2">
        <v>320</v>
      </c>
    </row>
    <row r="177" spans="1:4" x14ac:dyDescent="0.25">
      <c r="A177">
        <v>1176</v>
      </c>
      <c r="B177" s="41">
        <v>45274</v>
      </c>
      <c r="C177" t="s">
        <v>5</v>
      </c>
      <c r="D177" s="2">
        <v>1350</v>
      </c>
    </row>
    <row r="178" spans="1:4" x14ac:dyDescent="0.25">
      <c r="A178">
        <v>1177</v>
      </c>
      <c r="B178" s="41">
        <v>45030</v>
      </c>
      <c r="C178" t="s">
        <v>6</v>
      </c>
      <c r="D178" s="2">
        <v>380</v>
      </c>
    </row>
    <row r="179" spans="1:4" x14ac:dyDescent="0.25">
      <c r="A179">
        <v>1178</v>
      </c>
      <c r="B179" s="41">
        <v>45061</v>
      </c>
      <c r="C179" t="s">
        <v>7</v>
      </c>
      <c r="D179" s="2">
        <v>410</v>
      </c>
    </row>
    <row r="180" spans="1:4" x14ac:dyDescent="0.25">
      <c r="A180">
        <v>1179</v>
      </c>
      <c r="B180" s="41">
        <v>45093</v>
      </c>
      <c r="C180" t="s">
        <v>4</v>
      </c>
      <c r="D180" s="2">
        <v>440</v>
      </c>
    </row>
    <row r="181" spans="1:4" x14ac:dyDescent="0.25">
      <c r="A181">
        <v>1180</v>
      </c>
      <c r="B181" s="41">
        <v>45124</v>
      </c>
      <c r="C181" t="s">
        <v>5</v>
      </c>
      <c r="D181" s="2">
        <v>1470</v>
      </c>
    </row>
    <row r="182" spans="1:4" x14ac:dyDescent="0.25">
      <c r="A182">
        <v>1181</v>
      </c>
      <c r="B182" s="41">
        <v>45156</v>
      </c>
      <c r="C182" t="s">
        <v>6</v>
      </c>
      <c r="D182" s="2">
        <v>200</v>
      </c>
    </row>
    <row r="183" spans="1:4" x14ac:dyDescent="0.25">
      <c r="A183">
        <v>1182</v>
      </c>
      <c r="B183" s="41">
        <v>45188</v>
      </c>
      <c r="C183" t="s">
        <v>7</v>
      </c>
      <c r="D183" s="2">
        <v>230</v>
      </c>
    </row>
    <row r="184" spans="1:4" x14ac:dyDescent="0.25">
      <c r="A184">
        <v>1183</v>
      </c>
      <c r="B184" s="41">
        <v>45219</v>
      </c>
      <c r="C184" t="s">
        <v>4</v>
      </c>
      <c r="D184" s="2">
        <v>260</v>
      </c>
    </row>
    <row r="185" spans="1:4" x14ac:dyDescent="0.25">
      <c r="A185">
        <v>1184</v>
      </c>
      <c r="B185" s="41">
        <v>45252</v>
      </c>
      <c r="C185" t="s">
        <v>5</v>
      </c>
      <c r="D185" s="2">
        <v>1290</v>
      </c>
    </row>
    <row r="186" spans="1:4" x14ac:dyDescent="0.25">
      <c r="A186">
        <v>1185</v>
      </c>
      <c r="B186" s="41">
        <v>45283</v>
      </c>
      <c r="C186" t="s">
        <v>6</v>
      </c>
      <c r="D186" s="2">
        <v>320</v>
      </c>
    </row>
    <row r="187" spans="1:4" x14ac:dyDescent="0.25">
      <c r="A187">
        <v>1186</v>
      </c>
      <c r="B187" s="41">
        <v>45039</v>
      </c>
      <c r="C187" t="s">
        <v>7</v>
      </c>
      <c r="D187" s="2">
        <v>350</v>
      </c>
    </row>
    <row r="188" spans="1:4" x14ac:dyDescent="0.25">
      <c r="A188">
        <v>1187</v>
      </c>
      <c r="B188" s="41">
        <v>45070</v>
      </c>
      <c r="C188" t="s">
        <v>4</v>
      </c>
      <c r="D188" s="2">
        <v>380</v>
      </c>
    </row>
    <row r="189" spans="1:4" x14ac:dyDescent="0.25">
      <c r="A189">
        <v>1188</v>
      </c>
      <c r="B189" s="41">
        <v>45102</v>
      </c>
      <c r="C189" t="s">
        <v>5</v>
      </c>
      <c r="D189" s="2">
        <v>1410</v>
      </c>
    </row>
    <row r="190" spans="1:4" x14ac:dyDescent="0.25">
      <c r="A190">
        <v>1189</v>
      </c>
      <c r="B190" s="41">
        <v>45133</v>
      </c>
      <c r="C190" t="s">
        <v>6</v>
      </c>
      <c r="D190" s="2">
        <v>440</v>
      </c>
    </row>
    <row r="191" spans="1:4" x14ac:dyDescent="0.25">
      <c r="A191">
        <v>1190</v>
      </c>
      <c r="B191" s="41">
        <v>45165</v>
      </c>
      <c r="C191" t="s">
        <v>7</v>
      </c>
      <c r="D191" s="2">
        <v>470</v>
      </c>
    </row>
    <row r="192" spans="1:4" x14ac:dyDescent="0.25">
      <c r="A192">
        <v>1191</v>
      </c>
      <c r="B192" s="41">
        <v>45169</v>
      </c>
      <c r="C192" t="s">
        <v>4</v>
      </c>
      <c r="D192" s="2">
        <v>200</v>
      </c>
    </row>
    <row r="193" spans="1:4" x14ac:dyDescent="0.25">
      <c r="A193">
        <v>1192</v>
      </c>
      <c r="B193" s="41">
        <v>45200</v>
      </c>
      <c r="C193" t="s">
        <v>5</v>
      </c>
      <c r="D193" s="2">
        <v>1230</v>
      </c>
    </row>
    <row r="194" spans="1:4" x14ac:dyDescent="0.25">
      <c r="A194">
        <v>1193</v>
      </c>
      <c r="B194" s="41">
        <v>45232</v>
      </c>
      <c r="C194" t="s">
        <v>6</v>
      </c>
      <c r="D194" s="2">
        <v>260</v>
      </c>
    </row>
    <row r="195" spans="1:4" x14ac:dyDescent="0.25">
      <c r="A195">
        <v>1194</v>
      </c>
      <c r="B195" s="41">
        <v>45264</v>
      </c>
      <c r="C195" t="s">
        <v>7</v>
      </c>
      <c r="D195" s="2">
        <v>290</v>
      </c>
    </row>
    <row r="196" spans="1:4" x14ac:dyDescent="0.25">
      <c r="A196">
        <v>1195</v>
      </c>
      <c r="B196" s="41">
        <v>45020</v>
      </c>
      <c r="C196" t="s">
        <v>4</v>
      </c>
      <c r="D196" s="2">
        <v>320</v>
      </c>
    </row>
    <row r="197" spans="1:4" x14ac:dyDescent="0.25">
      <c r="A197">
        <v>1196</v>
      </c>
      <c r="B197" s="41">
        <v>45051</v>
      </c>
      <c r="C197" t="s">
        <v>5</v>
      </c>
      <c r="D197" s="2">
        <v>1350</v>
      </c>
    </row>
    <row r="198" spans="1:4" x14ac:dyDescent="0.25">
      <c r="A198">
        <v>1197</v>
      </c>
      <c r="B198" s="41">
        <v>45083</v>
      </c>
      <c r="C198" t="s">
        <v>6</v>
      </c>
      <c r="D198" s="2">
        <v>380</v>
      </c>
    </row>
    <row r="199" spans="1:4" x14ac:dyDescent="0.25">
      <c r="A199">
        <v>1198</v>
      </c>
      <c r="B199" s="41">
        <v>45114</v>
      </c>
      <c r="C199" t="s">
        <v>7</v>
      </c>
      <c r="D199" s="2">
        <v>410</v>
      </c>
    </row>
    <row r="200" spans="1:4" x14ac:dyDescent="0.25">
      <c r="A200">
        <v>1199</v>
      </c>
      <c r="B200" s="41">
        <v>45146</v>
      </c>
      <c r="C200" t="s">
        <v>4</v>
      </c>
      <c r="D200" s="2">
        <v>440</v>
      </c>
    </row>
    <row r="201" spans="1:4" x14ac:dyDescent="0.25">
      <c r="A201">
        <v>1200</v>
      </c>
      <c r="B201" s="41">
        <v>45178</v>
      </c>
      <c r="C201" t="s">
        <v>5</v>
      </c>
      <c r="D201" s="2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6"/>
  <sheetViews>
    <sheetView topLeftCell="A6" workbookViewId="0">
      <selection activeCell="P22" sqref="P22"/>
    </sheetView>
  </sheetViews>
  <sheetFormatPr defaultRowHeight="15" x14ac:dyDescent="0.25"/>
  <cols>
    <col min="1" max="1" width="15.85546875" customWidth="1"/>
    <col min="2" max="2" width="18.85546875" customWidth="1"/>
    <col min="15" max="15" width="18.140625" bestFit="1" customWidth="1"/>
  </cols>
  <sheetData>
    <row r="1" spans="1:16" ht="16.5" thickBot="1" x14ac:dyDescent="0.3">
      <c r="A1" s="40" t="s">
        <v>8</v>
      </c>
      <c r="B1" s="40" t="s">
        <v>9</v>
      </c>
      <c r="C1" s="39" t="s">
        <v>123</v>
      </c>
    </row>
    <row r="2" spans="1:16" x14ac:dyDescent="0.25">
      <c r="A2" s="41">
        <v>44927</v>
      </c>
      <c r="B2" s="2">
        <v>500</v>
      </c>
      <c r="C2" s="60">
        <f>(B2-$P$4)/$P$8</f>
        <v>-0.43081494203035275</v>
      </c>
      <c r="O2" s="59" t="s">
        <v>9</v>
      </c>
      <c r="P2" s="59"/>
    </row>
    <row r="3" spans="1:16" ht="15.75" thickBot="1" x14ac:dyDescent="0.3">
      <c r="A3" s="41">
        <v>44928</v>
      </c>
      <c r="B3" s="2">
        <v>550</v>
      </c>
      <c r="C3" s="60">
        <f t="shared" ref="C3:C66" si="0">(B3-$P$4)/$P$8</f>
        <v>-0.39279573172061416</v>
      </c>
      <c r="E3" s="39" t="s">
        <v>120</v>
      </c>
      <c r="O3" s="17"/>
      <c r="P3" s="17"/>
    </row>
    <row r="4" spans="1:16" x14ac:dyDescent="0.25">
      <c r="A4" s="41">
        <v>44929</v>
      </c>
      <c r="B4" s="2">
        <v>600</v>
      </c>
      <c r="C4" s="60">
        <f t="shared" si="0"/>
        <v>-0.35477652141087562</v>
      </c>
      <c r="E4">
        <v>1000</v>
      </c>
      <c r="I4" s="58" t="s">
        <v>120</v>
      </c>
      <c r="J4" s="58" t="s">
        <v>122</v>
      </c>
      <c r="O4" s="17" t="s">
        <v>124</v>
      </c>
      <c r="P4" s="17">
        <v>1066.5753424657535</v>
      </c>
    </row>
    <row r="5" spans="1:16" x14ac:dyDescent="0.25">
      <c r="A5" s="41">
        <v>44930</v>
      </c>
      <c r="B5" s="2">
        <v>650</v>
      </c>
      <c r="C5" s="60">
        <f t="shared" si="0"/>
        <v>-0.31675731110113703</v>
      </c>
      <c r="E5">
        <v>2000</v>
      </c>
      <c r="I5" s="22">
        <v>1000</v>
      </c>
      <c r="J5" s="17">
        <v>306</v>
      </c>
      <c r="O5" s="17" t="s">
        <v>125</v>
      </c>
      <c r="P5" s="17">
        <v>68.836769402353852</v>
      </c>
    </row>
    <row r="6" spans="1:16" x14ac:dyDescent="0.25">
      <c r="A6" s="41">
        <v>44931</v>
      </c>
      <c r="B6" s="2">
        <v>700</v>
      </c>
      <c r="C6" s="60">
        <f t="shared" si="0"/>
        <v>-0.27873810079139844</v>
      </c>
      <c r="E6">
        <v>3000</v>
      </c>
      <c r="I6" s="22">
        <v>2000</v>
      </c>
      <c r="J6" s="17">
        <v>47</v>
      </c>
      <c r="O6" s="17" t="s">
        <v>126</v>
      </c>
      <c r="P6" s="17">
        <v>800</v>
      </c>
    </row>
    <row r="7" spans="1:16" x14ac:dyDescent="0.25">
      <c r="A7" s="41">
        <v>44932</v>
      </c>
      <c r="B7" s="2">
        <v>750</v>
      </c>
      <c r="C7" s="60">
        <f t="shared" si="0"/>
        <v>-0.24071889048165987</v>
      </c>
      <c r="E7">
        <v>4000</v>
      </c>
      <c r="I7" s="22">
        <v>3000</v>
      </c>
      <c r="J7" s="17">
        <v>0</v>
      </c>
      <c r="O7" s="17" t="s">
        <v>127</v>
      </c>
      <c r="P7" s="17">
        <v>500</v>
      </c>
    </row>
    <row r="8" spans="1:16" x14ac:dyDescent="0.25">
      <c r="A8" s="41">
        <v>44933</v>
      </c>
      <c r="B8" s="2">
        <v>800</v>
      </c>
      <c r="C8" s="60">
        <f t="shared" si="0"/>
        <v>-0.2026996801719213</v>
      </c>
      <c r="E8">
        <v>5000</v>
      </c>
      <c r="I8" s="22">
        <v>4000</v>
      </c>
      <c r="J8" s="17">
        <v>0</v>
      </c>
      <c r="O8" s="17" t="s">
        <v>128</v>
      </c>
      <c r="P8" s="17">
        <v>1315.124632854159</v>
      </c>
    </row>
    <row r="9" spans="1:16" x14ac:dyDescent="0.25">
      <c r="A9" s="41">
        <v>44934</v>
      </c>
      <c r="B9" s="2">
        <v>850</v>
      </c>
      <c r="C9" s="60">
        <f t="shared" si="0"/>
        <v>-0.16468046986218274</v>
      </c>
      <c r="E9">
        <v>6000</v>
      </c>
      <c r="I9" s="22">
        <v>5000</v>
      </c>
      <c r="J9" s="17">
        <v>0</v>
      </c>
      <c r="O9" s="17" t="s">
        <v>129</v>
      </c>
      <c r="P9" s="17">
        <v>1729552.7999397863</v>
      </c>
    </row>
    <row r="10" spans="1:16" x14ac:dyDescent="0.25">
      <c r="A10" s="41">
        <v>44935</v>
      </c>
      <c r="B10" s="2">
        <v>900</v>
      </c>
      <c r="C10" s="60">
        <f t="shared" si="0"/>
        <v>-0.12666125955244414</v>
      </c>
      <c r="E10">
        <v>7000</v>
      </c>
      <c r="I10" s="22">
        <v>6000</v>
      </c>
      <c r="J10" s="17">
        <v>0</v>
      </c>
      <c r="O10" s="17" t="s">
        <v>130</v>
      </c>
      <c r="P10" s="17">
        <v>22.879950292522444</v>
      </c>
    </row>
    <row r="11" spans="1:16" x14ac:dyDescent="0.25">
      <c r="A11" s="41">
        <v>44936</v>
      </c>
      <c r="B11" s="2">
        <v>950</v>
      </c>
      <c r="C11" s="60">
        <f t="shared" si="0"/>
        <v>-8.8642049242705578E-2</v>
      </c>
      <c r="E11">
        <v>8000</v>
      </c>
      <c r="I11" s="22">
        <v>7000</v>
      </c>
      <c r="J11" s="17">
        <v>0</v>
      </c>
      <c r="O11" s="17" t="s">
        <v>131</v>
      </c>
      <c r="P11" s="17">
        <v>4.8444225014435984</v>
      </c>
    </row>
    <row r="12" spans="1:16" x14ac:dyDescent="0.25">
      <c r="A12" s="41">
        <v>44937</v>
      </c>
      <c r="B12" s="2">
        <v>500</v>
      </c>
      <c r="C12" s="60">
        <f t="shared" si="0"/>
        <v>-0.43081494203035275</v>
      </c>
      <c r="I12" s="22">
        <v>8000</v>
      </c>
      <c r="J12" s="17">
        <v>12</v>
      </c>
      <c r="O12" s="17" t="s">
        <v>132</v>
      </c>
      <c r="P12" s="17">
        <v>7500</v>
      </c>
    </row>
    <row r="13" spans="1:16" ht="15.75" thickBot="1" x14ac:dyDescent="0.3">
      <c r="A13" s="41">
        <v>44938</v>
      </c>
      <c r="B13" s="2">
        <v>550</v>
      </c>
      <c r="C13" s="60">
        <f t="shared" si="0"/>
        <v>-0.39279573172061416</v>
      </c>
      <c r="I13" s="25" t="s">
        <v>121</v>
      </c>
      <c r="J13" s="25">
        <v>0</v>
      </c>
      <c r="O13" s="17" t="s">
        <v>133</v>
      </c>
      <c r="P13" s="17">
        <v>500</v>
      </c>
    </row>
    <row r="14" spans="1:16" x14ac:dyDescent="0.25">
      <c r="A14" s="41">
        <v>44939</v>
      </c>
      <c r="B14" s="2">
        <v>600</v>
      </c>
      <c r="C14" s="60">
        <f t="shared" si="0"/>
        <v>-0.35477652141087562</v>
      </c>
      <c r="E14" s="71" t="s">
        <v>168</v>
      </c>
      <c r="O14" s="17" t="s">
        <v>134</v>
      </c>
      <c r="P14" s="17">
        <v>8000</v>
      </c>
    </row>
    <row r="15" spans="1:16" ht="15.75" thickBot="1" x14ac:dyDescent="0.3">
      <c r="A15" s="41">
        <v>44940</v>
      </c>
      <c r="B15" s="2">
        <v>650</v>
      </c>
      <c r="C15" s="60">
        <f t="shared" si="0"/>
        <v>-0.31675731110113703</v>
      </c>
      <c r="E15" s="62" t="s">
        <v>137</v>
      </c>
      <c r="O15" s="17" t="s">
        <v>135</v>
      </c>
      <c r="P15" s="17">
        <v>389300</v>
      </c>
    </row>
    <row r="16" spans="1:16" ht="15.75" thickBot="1" x14ac:dyDescent="0.3">
      <c r="A16" s="41">
        <v>44941</v>
      </c>
      <c r="B16" s="2">
        <v>700</v>
      </c>
      <c r="C16" s="60">
        <f t="shared" si="0"/>
        <v>-0.27873810079139844</v>
      </c>
      <c r="E16" s="61">
        <f>COUNTIFS(C1:C366,"&gt;3")</f>
        <v>12</v>
      </c>
      <c r="O16" s="25" t="s">
        <v>136</v>
      </c>
      <c r="P16" s="25">
        <v>365</v>
      </c>
    </row>
    <row r="17" spans="1:3" x14ac:dyDescent="0.25">
      <c r="A17" s="41">
        <v>44942</v>
      </c>
      <c r="B17" s="2">
        <v>750</v>
      </c>
      <c r="C17" s="60">
        <f t="shared" si="0"/>
        <v>-0.24071889048165987</v>
      </c>
    </row>
    <row r="18" spans="1:3" x14ac:dyDescent="0.25">
      <c r="A18" s="41">
        <v>44943</v>
      </c>
      <c r="B18" s="2">
        <v>800</v>
      </c>
      <c r="C18" s="60">
        <f t="shared" si="0"/>
        <v>-0.2026996801719213</v>
      </c>
    </row>
    <row r="19" spans="1:3" x14ac:dyDescent="0.25">
      <c r="A19" s="41">
        <v>44944</v>
      </c>
      <c r="B19" s="2">
        <v>850</v>
      </c>
      <c r="C19" s="60">
        <f t="shared" si="0"/>
        <v>-0.16468046986218274</v>
      </c>
    </row>
    <row r="20" spans="1:3" x14ac:dyDescent="0.25">
      <c r="A20" s="41">
        <v>44945</v>
      </c>
      <c r="B20" s="2">
        <v>900</v>
      </c>
      <c r="C20" s="60">
        <f t="shared" si="0"/>
        <v>-0.12666125955244414</v>
      </c>
    </row>
    <row r="21" spans="1:3" x14ac:dyDescent="0.25">
      <c r="A21" s="41">
        <v>44946</v>
      </c>
      <c r="B21" s="2">
        <v>950</v>
      </c>
      <c r="C21" s="60">
        <f t="shared" si="0"/>
        <v>-8.8642049242705578E-2</v>
      </c>
    </row>
    <row r="22" spans="1:3" x14ac:dyDescent="0.25">
      <c r="A22" s="41">
        <v>44947</v>
      </c>
      <c r="B22" s="2">
        <v>500</v>
      </c>
      <c r="C22" s="60">
        <f t="shared" si="0"/>
        <v>-0.43081494203035275</v>
      </c>
    </row>
    <row r="23" spans="1:3" x14ac:dyDescent="0.25">
      <c r="A23" s="41">
        <v>44948</v>
      </c>
      <c r="B23" s="2">
        <v>550</v>
      </c>
      <c r="C23" s="60">
        <f t="shared" si="0"/>
        <v>-0.39279573172061416</v>
      </c>
    </row>
    <row r="24" spans="1:3" x14ac:dyDescent="0.25">
      <c r="A24" s="41">
        <v>44949</v>
      </c>
      <c r="B24" s="2">
        <v>600</v>
      </c>
      <c r="C24" s="60">
        <f t="shared" si="0"/>
        <v>-0.35477652141087562</v>
      </c>
    </row>
    <row r="25" spans="1:3" x14ac:dyDescent="0.25">
      <c r="A25" s="41">
        <v>44950</v>
      </c>
      <c r="B25" s="2">
        <v>650</v>
      </c>
      <c r="C25" s="60">
        <f t="shared" si="0"/>
        <v>-0.31675731110113703</v>
      </c>
    </row>
    <row r="26" spans="1:3" x14ac:dyDescent="0.25">
      <c r="A26" s="41">
        <v>44951</v>
      </c>
      <c r="B26" s="2">
        <v>700</v>
      </c>
      <c r="C26" s="60">
        <f t="shared" si="0"/>
        <v>-0.27873810079139844</v>
      </c>
    </row>
    <row r="27" spans="1:3" x14ac:dyDescent="0.25">
      <c r="A27" s="41">
        <v>44952</v>
      </c>
      <c r="B27" s="2">
        <v>750</v>
      </c>
      <c r="C27" s="60">
        <f t="shared" si="0"/>
        <v>-0.24071889048165987</v>
      </c>
    </row>
    <row r="28" spans="1:3" x14ac:dyDescent="0.25">
      <c r="A28" s="41">
        <v>44953</v>
      </c>
      <c r="B28" s="2">
        <v>800</v>
      </c>
      <c r="C28" s="60">
        <f t="shared" si="0"/>
        <v>-0.2026996801719213</v>
      </c>
    </row>
    <row r="29" spans="1:3" x14ac:dyDescent="0.25">
      <c r="A29" s="41">
        <v>44954</v>
      </c>
      <c r="B29" s="2">
        <v>850</v>
      </c>
      <c r="C29" s="60">
        <f t="shared" si="0"/>
        <v>-0.16468046986218274</v>
      </c>
    </row>
    <row r="30" spans="1:3" x14ac:dyDescent="0.25">
      <c r="A30" s="41">
        <v>44955</v>
      </c>
      <c r="B30" s="2">
        <v>900</v>
      </c>
      <c r="C30" s="60">
        <f t="shared" si="0"/>
        <v>-0.12666125955244414</v>
      </c>
    </row>
    <row r="31" spans="1:3" x14ac:dyDescent="0.25">
      <c r="A31" s="41">
        <v>44956</v>
      </c>
      <c r="B31" s="2">
        <v>950</v>
      </c>
      <c r="C31" s="60">
        <f t="shared" si="0"/>
        <v>-8.8642049242705578E-2</v>
      </c>
    </row>
    <row r="32" spans="1:3" x14ac:dyDescent="0.25">
      <c r="A32" s="41">
        <v>44957</v>
      </c>
      <c r="B32" s="2">
        <v>500</v>
      </c>
      <c r="C32" s="60">
        <f t="shared" si="0"/>
        <v>-0.43081494203035275</v>
      </c>
    </row>
    <row r="33" spans="1:11" x14ac:dyDescent="0.25">
      <c r="A33" s="41">
        <v>44958</v>
      </c>
      <c r="B33" s="2">
        <v>550</v>
      </c>
      <c r="C33" s="60">
        <f t="shared" si="0"/>
        <v>-0.39279573172061416</v>
      </c>
      <c r="I33" s="71" t="s">
        <v>169</v>
      </c>
    </row>
    <row r="34" spans="1:11" x14ac:dyDescent="0.25">
      <c r="A34" s="41">
        <v>44959</v>
      </c>
      <c r="B34" s="2">
        <v>600</v>
      </c>
      <c r="C34" s="60">
        <f t="shared" si="0"/>
        <v>-0.35477652141087562</v>
      </c>
      <c r="I34" s="69" t="s">
        <v>166</v>
      </c>
      <c r="J34" s="70"/>
      <c r="K34" s="70"/>
    </row>
    <row r="35" spans="1:11" x14ac:dyDescent="0.25">
      <c r="A35" s="41">
        <v>44960</v>
      </c>
      <c r="B35" s="2">
        <v>650</v>
      </c>
      <c r="C35" s="60">
        <f t="shared" si="0"/>
        <v>-0.31675731110113703</v>
      </c>
      <c r="I35" s="69" t="s">
        <v>167</v>
      </c>
      <c r="J35" s="70"/>
      <c r="K35" s="70"/>
    </row>
    <row r="36" spans="1:11" x14ac:dyDescent="0.25">
      <c r="A36" s="41">
        <v>44961</v>
      </c>
      <c r="B36" s="2">
        <v>700</v>
      </c>
      <c r="C36" s="60">
        <f t="shared" si="0"/>
        <v>-0.27873810079139844</v>
      </c>
    </row>
    <row r="37" spans="1:11" x14ac:dyDescent="0.25">
      <c r="A37" s="41">
        <v>44962</v>
      </c>
      <c r="B37" s="2">
        <v>750</v>
      </c>
      <c r="C37" s="60">
        <f t="shared" si="0"/>
        <v>-0.24071889048165987</v>
      </c>
    </row>
    <row r="38" spans="1:11" x14ac:dyDescent="0.25">
      <c r="A38" s="41">
        <v>44963</v>
      </c>
      <c r="B38" s="2">
        <v>800</v>
      </c>
      <c r="C38" s="60">
        <f t="shared" si="0"/>
        <v>-0.2026996801719213</v>
      </c>
    </row>
    <row r="39" spans="1:11" x14ac:dyDescent="0.25">
      <c r="A39" s="41">
        <v>44964</v>
      </c>
      <c r="B39" s="2">
        <v>850</v>
      </c>
      <c r="C39" s="60">
        <f t="shared" si="0"/>
        <v>-0.16468046986218274</v>
      </c>
    </row>
    <row r="40" spans="1:11" x14ac:dyDescent="0.25">
      <c r="A40" s="41">
        <v>44965</v>
      </c>
      <c r="B40" s="2">
        <v>900</v>
      </c>
      <c r="C40" s="60">
        <f t="shared" si="0"/>
        <v>-0.12666125955244414</v>
      </c>
    </row>
    <row r="41" spans="1:11" x14ac:dyDescent="0.25">
      <c r="A41" s="41">
        <v>44966</v>
      </c>
      <c r="B41" s="2">
        <v>950</v>
      </c>
      <c r="C41" s="60">
        <f t="shared" si="0"/>
        <v>-8.8642049242705578E-2</v>
      </c>
    </row>
    <row r="42" spans="1:11" x14ac:dyDescent="0.25">
      <c r="A42" s="41">
        <v>44967</v>
      </c>
      <c r="B42" s="2">
        <v>500</v>
      </c>
      <c r="C42" s="60">
        <f t="shared" si="0"/>
        <v>-0.43081494203035275</v>
      </c>
    </row>
    <row r="43" spans="1:11" x14ac:dyDescent="0.25">
      <c r="A43" s="41">
        <v>44968</v>
      </c>
      <c r="B43" s="2">
        <v>550</v>
      </c>
      <c r="C43" s="60">
        <f t="shared" si="0"/>
        <v>-0.39279573172061416</v>
      </c>
    </row>
    <row r="44" spans="1:11" x14ac:dyDescent="0.25">
      <c r="A44" s="41">
        <v>44969</v>
      </c>
      <c r="B44" s="2">
        <v>600</v>
      </c>
      <c r="C44" s="60">
        <f t="shared" si="0"/>
        <v>-0.35477652141087562</v>
      </c>
    </row>
    <row r="45" spans="1:11" x14ac:dyDescent="0.25">
      <c r="A45" s="41">
        <v>44970</v>
      </c>
      <c r="B45" s="2">
        <v>650</v>
      </c>
      <c r="C45" s="60">
        <f t="shared" si="0"/>
        <v>-0.31675731110113703</v>
      </c>
    </row>
    <row r="46" spans="1:11" x14ac:dyDescent="0.25">
      <c r="A46" s="41">
        <v>44971</v>
      </c>
      <c r="B46" s="2">
        <v>700</v>
      </c>
      <c r="C46" s="60">
        <f t="shared" si="0"/>
        <v>-0.27873810079139844</v>
      </c>
    </row>
    <row r="47" spans="1:11" x14ac:dyDescent="0.25">
      <c r="A47" s="41">
        <v>44972</v>
      </c>
      <c r="B47" s="2">
        <v>750</v>
      </c>
      <c r="C47" s="60">
        <f t="shared" si="0"/>
        <v>-0.24071889048165987</v>
      </c>
    </row>
    <row r="48" spans="1:11" x14ac:dyDescent="0.25">
      <c r="A48" s="41">
        <v>44973</v>
      </c>
      <c r="B48" s="2">
        <v>800</v>
      </c>
      <c r="C48" s="60">
        <f t="shared" si="0"/>
        <v>-0.2026996801719213</v>
      </c>
    </row>
    <row r="49" spans="1:3" x14ac:dyDescent="0.25">
      <c r="A49" s="41">
        <v>44974</v>
      </c>
      <c r="B49" s="2">
        <v>850</v>
      </c>
      <c r="C49" s="60">
        <f t="shared" si="0"/>
        <v>-0.16468046986218274</v>
      </c>
    </row>
    <row r="50" spans="1:3" x14ac:dyDescent="0.25">
      <c r="A50" s="41">
        <v>44975</v>
      </c>
      <c r="B50" s="2">
        <v>900</v>
      </c>
      <c r="C50" s="60">
        <f t="shared" si="0"/>
        <v>-0.12666125955244414</v>
      </c>
    </row>
    <row r="51" spans="1:3" x14ac:dyDescent="0.25">
      <c r="A51" s="41">
        <v>44976</v>
      </c>
      <c r="B51" s="2">
        <v>950</v>
      </c>
      <c r="C51" s="60">
        <f t="shared" si="0"/>
        <v>-8.8642049242705578E-2</v>
      </c>
    </row>
    <row r="52" spans="1:3" x14ac:dyDescent="0.25">
      <c r="A52" s="41">
        <v>44977</v>
      </c>
      <c r="B52" s="2">
        <v>500</v>
      </c>
      <c r="C52" s="60">
        <f t="shared" si="0"/>
        <v>-0.43081494203035275</v>
      </c>
    </row>
    <row r="53" spans="1:3" x14ac:dyDescent="0.25">
      <c r="A53" s="41">
        <v>44978</v>
      </c>
      <c r="B53" s="2">
        <v>550</v>
      </c>
      <c r="C53" s="60">
        <f t="shared" si="0"/>
        <v>-0.39279573172061416</v>
      </c>
    </row>
    <row r="54" spans="1:3" x14ac:dyDescent="0.25">
      <c r="A54" s="41">
        <v>44979</v>
      </c>
      <c r="B54" s="2">
        <v>600</v>
      </c>
      <c r="C54" s="60">
        <f t="shared" si="0"/>
        <v>-0.35477652141087562</v>
      </c>
    </row>
    <row r="55" spans="1:3" x14ac:dyDescent="0.25">
      <c r="A55" s="41">
        <v>44980</v>
      </c>
      <c r="B55" s="2">
        <v>650</v>
      </c>
      <c r="C55" s="60">
        <f t="shared" si="0"/>
        <v>-0.31675731110113703</v>
      </c>
    </row>
    <row r="56" spans="1:3" x14ac:dyDescent="0.25">
      <c r="A56" s="41">
        <v>44981</v>
      </c>
      <c r="B56" s="2">
        <v>700</v>
      </c>
      <c r="C56" s="60">
        <f t="shared" si="0"/>
        <v>-0.27873810079139844</v>
      </c>
    </row>
    <row r="57" spans="1:3" x14ac:dyDescent="0.25">
      <c r="A57" s="41">
        <v>44982</v>
      </c>
      <c r="B57" s="2">
        <v>750</v>
      </c>
      <c r="C57" s="60">
        <f t="shared" si="0"/>
        <v>-0.24071889048165987</v>
      </c>
    </row>
    <row r="58" spans="1:3" x14ac:dyDescent="0.25">
      <c r="A58" s="41">
        <v>44983</v>
      </c>
      <c r="B58" s="2">
        <v>800</v>
      </c>
      <c r="C58" s="60">
        <f t="shared" si="0"/>
        <v>-0.2026996801719213</v>
      </c>
    </row>
    <row r="59" spans="1:3" x14ac:dyDescent="0.25">
      <c r="A59" s="41">
        <v>44984</v>
      </c>
      <c r="B59" s="2">
        <v>850</v>
      </c>
      <c r="C59" s="60">
        <f t="shared" si="0"/>
        <v>-0.16468046986218274</v>
      </c>
    </row>
    <row r="60" spans="1:3" x14ac:dyDescent="0.25">
      <c r="A60" s="41">
        <v>44985</v>
      </c>
      <c r="B60" s="2">
        <v>900</v>
      </c>
      <c r="C60" s="60">
        <f t="shared" si="0"/>
        <v>-0.12666125955244414</v>
      </c>
    </row>
    <row r="61" spans="1:3" x14ac:dyDescent="0.25">
      <c r="A61" s="41">
        <v>44986</v>
      </c>
      <c r="B61" s="2">
        <v>950</v>
      </c>
      <c r="C61" s="60">
        <f t="shared" si="0"/>
        <v>-8.8642049242705578E-2</v>
      </c>
    </row>
    <row r="62" spans="1:3" x14ac:dyDescent="0.25">
      <c r="A62" s="41">
        <v>44987</v>
      </c>
      <c r="B62" s="2">
        <v>500</v>
      </c>
      <c r="C62" s="60">
        <f t="shared" si="0"/>
        <v>-0.43081494203035275</v>
      </c>
    </row>
    <row r="63" spans="1:3" x14ac:dyDescent="0.25">
      <c r="A63" s="41">
        <v>44988</v>
      </c>
      <c r="B63" s="2">
        <v>550</v>
      </c>
      <c r="C63" s="60">
        <f t="shared" si="0"/>
        <v>-0.39279573172061416</v>
      </c>
    </row>
    <row r="64" spans="1:3" x14ac:dyDescent="0.25">
      <c r="A64" s="41">
        <v>44989</v>
      </c>
      <c r="B64" s="2">
        <v>600</v>
      </c>
      <c r="C64" s="60">
        <f t="shared" si="0"/>
        <v>-0.35477652141087562</v>
      </c>
    </row>
    <row r="65" spans="1:3" x14ac:dyDescent="0.25">
      <c r="A65" s="41">
        <v>44990</v>
      </c>
      <c r="B65" s="2">
        <v>650</v>
      </c>
      <c r="C65" s="60">
        <f t="shared" si="0"/>
        <v>-0.31675731110113703</v>
      </c>
    </row>
    <row r="66" spans="1:3" x14ac:dyDescent="0.25">
      <c r="A66" s="41">
        <v>44991</v>
      </c>
      <c r="B66" s="2">
        <v>700</v>
      </c>
      <c r="C66" s="60">
        <f t="shared" si="0"/>
        <v>-0.27873810079139844</v>
      </c>
    </row>
    <row r="67" spans="1:3" x14ac:dyDescent="0.25">
      <c r="A67" s="41">
        <v>44992</v>
      </c>
      <c r="B67" s="2">
        <v>750</v>
      </c>
      <c r="C67" s="60">
        <f t="shared" ref="C67:C130" si="1">(B67-$P$4)/$P$8</f>
        <v>-0.24071889048165987</v>
      </c>
    </row>
    <row r="68" spans="1:3" x14ac:dyDescent="0.25">
      <c r="A68" s="41">
        <v>44993</v>
      </c>
      <c r="B68" s="2">
        <v>800</v>
      </c>
      <c r="C68" s="60">
        <f t="shared" si="1"/>
        <v>-0.2026996801719213</v>
      </c>
    </row>
    <row r="69" spans="1:3" x14ac:dyDescent="0.25">
      <c r="A69" s="41">
        <v>44994</v>
      </c>
      <c r="B69" s="2">
        <v>850</v>
      </c>
      <c r="C69" s="60">
        <f t="shared" si="1"/>
        <v>-0.16468046986218274</v>
      </c>
    </row>
    <row r="70" spans="1:3" x14ac:dyDescent="0.25">
      <c r="A70" s="41">
        <v>44995</v>
      </c>
      <c r="B70" s="2">
        <v>900</v>
      </c>
      <c r="C70" s="60">
        <f t="shared" si="1"/>
        <v>-0.12666125955244414</v>
      </c>
    </row>
    <row r="71" spans="1:3" x14ac:dyDescent="0.25">
      <c r="A71" s="41">
        <v>44996</v>
      </c>
      <c r="B71" s="2">
        <v>950</v>
      </c>
      <c r="C71" s="60">
        <f t="shared" si="1"/>
        <v>-8.8642049242705578E-2</v>
      </c>
    </row>
    <row r="72" spans="1:3" x14ac:dyDescent="0.25">
      <c r="A72" s="41">
        <v>44997</v>
      </c>
      <c r="B72" s="2">
        <v>500</v>
      </c>
      <c r="C72" s="60">
        <f t="shared" si="1"/>
        <v>-0.43081494203035275</v>
      </c>
    </row>
    <row r="73" spans="1:3" x14ac:dyDescent="0.25">
      <c r="A73" s="41">
        <v>44998</v>
      </c>
      <c r="B73" s="2">
        <v>550</v>
      </c>
      <c r="C73" s="60">
        <f t="shared" si="1"/>
        <v>-0.39279573172061416</v>
      </c>
    </row>
    <row r="74" spans="1:3" x14ac:dyDescent="0.25">
      <c r="A74" s="41">
        <v>44999</v>
      </c>
      <c r="B74" s="2">
        <v>600</v>
      </c>
      <c r="C74" s="60">
        <f t="shared" si="1"/>
        <v>-0.35477652141087562</v>
      </c>
    </row>
    <row r="75" spans="1:3" x14ac:dyDescent="0.25">
      <c r="A75" s="41">
        <v>45000</v>
      </c>
      <c r="B75" s="2">
        <v>650</v>
      </c>
      <c r="C75" s="60">
        <f t="shared" si="1"/>
        <v>-0.31675731110113703</v>
      </c>
    </row>
    <row r="76" spans="1:3" x14ac:dyDescent="0.25">
      <c r="A76" s="41">
        <v>45001</v>
      </c>
      <c r="B76" s="2">
        <v>700</v>
      </c>
      <c r="C76" s="60">
        <f t="shared" si="1"/>
        <v>-0.27873810079139844</v>
      </c>
    </row>
    <row r="77" spans="1:3" x14ac:dyDescent="0.25">
      <c r="A77" s="41">
        <v>45002</v>
      </c>
      <c r="B77" s="2">
        <v>750</v>
      </c>
      <c r="C77" s="60">
        <f t="shared" si="1"/>
        <v>-0.24071889048165987</v>
      </c>
    </row>
    <row r="78" spans="1:3" x14ac:dyDescent="0.25">
      <c r="A78" s="41">
        <v>45003</v>
      </c>
      <c r="B78" s="2">
        <v>800</v>
      </c>
      <c r="C78" s="60">
        <f t="shared" si="1"/>
        <v>-0.2026996801719213</v>
      </c>
    </row>
    <row r="79" spans="1:3" x14ac:dyDescent="0.25">
      <c r="A79" s="41">
        <v>45004</v>
      </c>
      <c r="B79" s="2">
        <v>850</v>
      </c>
      <c r="C79" s="60">
        <f t="shared" si="1"/>
        <v>-0.16468046986218274</v>
      </c>
    </row>
    <row r="80" spans="1:3" x14ac:dyDescent="0.25">
      <c r="A80" s="41">
        <v>45005</v>
      </c>
      <c r="B80" s="2">
        <v>900</v>
      </c>
      <c r="C80" s="60">
        <f t="shared" si="1"/>
        <v>-0.12666125955244414</v>
      </c>
    </row>
    <row r="81" spans="1:3" x14ac:dyDescent="0.25">
      <c r="A81" s="41">
        <v>45006</v>
      </c>
      <c r="B81" s="2">
        <v>950</v>
      </c>
      <c r="C81" s="60">
        <f t="shared" si="1"/>
        <v>-8.8642049242705578E-2</v>
      </c>
    </row>
    <row r="82" spans="1:3" x14ac:dyDescent="0.25">
      <c r="A82" s="41">
        <v>45007</v>
      </c>
      <c r="B82" s="2">
        <v>500</v>
      </c>
      <c r="C82" s="60">
        <f t="shared" si="1"/>
        <v>-0.43081494203035275</v>
      </c>
    </row>
    <row r="83" spans="1:3" x14ac:dyDescent="0.25">
      <c r="A83" s="41">
        <v>45008</v>
      </c>
      <c r="B83" s="2">
        <v>550</v>
      </c>
      <c r="C83" s="60">
        <f t="shared" si="1"/>
        <v>-0.39279573172061416</v>
      </c>
    </row>
    <row r="84" spans="1:3" x14ac:dyDescent="0.25">
      <c r="A84" s="41">
        <v>45009</v>
      </c>
      <c r="B84" s="2">
        <v>600</v>
      </c>
      <c r="C84" s="60">
        <f t="shared" si="1"/>
        <v>-0.35477652141087562</v>
      </c>
    </row>
    <row r="85" spans="1:3" x14ac:dyDescent="0.25">
      <c r="A85" s="41">
        <v>45010</v>
      </c>
      <c r="B85" s="2">
        <v>650</v>
      </c>
      <c r="C85" s="60">
        <f t="shared" si="1"/>
        <v>-0.31675731110113703</v>
      </c>
    </row>
    <row r="86" spans="1:3" x14ac:dyDescent="0.25">
      <c r="A86" s="41">
        <v>45011</v>
      </c>
      <c r="B86" s="2">
        <v>700</v>
      </c>
      <c r="C86" s="60">
        <f t="shared" si="1"/>
        <v>-0.27873810079139844</v>
      </c>
    </row>
    <row r="87" spans="1:3" x14ac:dyDescent="0.25">
      <c r="A87" s="41">
        <v>45012</v>
      </c>
      <c r="B87" s="2">
        <v>750</v>
      </c>
      <c r="C87" s="60">
        <f t="shared" si="1"/>
        <v>-0.24071889048165987</v>
      </c>
    </row>
    <row r="88" spans="1:3" x14ac:dyDescent="0.25">
      <c r="A88" s="41">
        <v>45013</v>
      </c>
      <c r="B88" s="2">
        <v>800</v>
      </c>
      <c r="C88" s="60">
        <f t="shared" si="1"/>
        <v>-0.2026996801719213</v>
      </c>
    </row>
    <row r="89" spans="1:3" x14ac:dyDescent="0.25">
      <c r="A89" s="41">
        <v>45014</v>
      </c>
      <c r="B89" s="2">
        <v>850</v>
      </c>
      <c r="C89" s="60">
        <f t="shared" si="1"/>
        <v>-0.16468046986218274</v>
      </c>
    </row>
    <row r="90" spans="1:3" x14ac:dyDescent="0.25">
      <c r="A90" s="41">
        <v>45015</v>
      </c>
      <c r="B90" s="2">
        <v>900</v>
      </c>
      <c r="C90" s="60">
        <f t="shared" si="1"/>
        <v>-0.12666125955244414</v>
      </c>
    </row>
    <row r="91" spans="1:3" x14ac:dyDescent="0.25">
      <c r="A91" s="41">
        <v>45016</v>
      </c>
      <c r="B91" s="2">
        <v>950</v>
      </c>
      <c r="C91" s="60">
        <f t="shared" si="1"/>
        <v>-8.8642049242705578E-2</v>
      </c>
    </row>
    <row r="92" spans="1:3" x14ac:dyDescent="0.25">
      <c r="A92" s="41">
        <v>45017</v>
      </c>
      <c r="B92" s="2">
        <v>500</v>
      </c>
      <c r="C92" s="60">
        <f t="shared" si="1"/>
        <v>-0.43081494203035275</v>
      </c>
    </row>
    <row r="93" spans="1:3" x14ac:dyDescent="0.25">
      <c r="A93" s="41">
        <v>45018</v>
      </c>
      <c r="B93" s="2">
        <v>550</v>
      </c>
      <c r="C93" s="60">
        <f t="shared" si="1"/>
        <v>-0.39279573172061416</v>
      </c>
    </row>
    <row r="94" spans="1:3" x14ac:dyDescent="0.25">
      <c r="A94" s="41">
        <v>45019</v>
      </c>
      <c r="B94" s="2">
        <v>600</v>
      </c>
      <c r="C94" s="60">
        <f t="shared" si="1"/>
        <v>-0.35477652141087562</v>
      </c>
    </row>
    <row r="95" spans="1:3" x14ac:dyDescent="0.25">
      <c r="A95" s="41">
        <v>45020</v>
      </c>
      <c r="B95" s="2">
        <v>650</v>
      </c>
      <c r="C95" s="60">
        <f t="shared" si="1"/>
        <v>-0.31675731110113703</v>
      </c>
    </row>
    <row r="96" spans="1:3" x14ac:dyDescent="0.25">
      <c r="A96" s="41">
        <v>45021</v>
      </c>
      <c r="B96" s="2">
        <v>700</v>
      </c>
      <c r="C96" s="60">
        <f t="shared" si="1"/>
        <v>-0.27873810079139844</v>
      </c>
    </row>
    <row r="97" spans="1:3" x14ac:dyDescent="0.25">
      <c r="A97" s="41">
        <v>45022</v>
      </c>
      <c r="B97" s="2">
        <v>750</v>
      </c>
      <c r="C97" s="60">
        <f t="shared" si="1"/>
        <v>-0.24071889048165987</v>
      </c>
    </row>
    <row r="98" spans="1:3" x14ac:dyDescent="0.25">
      <c r="A98" s="41">
        <v>45023</v>
      </c>
      <c r="B98" s="2">
        <v>800</v>
      </c>
      <c r="C98" s="60">
        <f t="shared" si="1"/>
        <v>-0.2026996801719213</v>
      </c>
    </row>
    <row r="99" spans="1:3" x14ac:dyDescent="0.25">
      <c r="A99" s="41">
        <v>45024</v>
      </c>
      <c r="B99" s="2">
        <v>850</v>
      </c>
      <c r="C99" s="60">
        <f t="shared" si="1"/>
        <v>-0.16468046986218274</v>
      </c>
    </row>
    <row r="100" spans="1:3" x14ac:dyDescent="0.25">
      <c r="A100" s="41">
        <v>45025</v>
      </c>
      <c r="B100" s="2">
        <v>900</v>
      </c>
      <c r="C100" s="60">
        <f t="shared" si="1"/>
        <v>-0.12666125955244414</v>
      </c>
    </row>
    <row r="101" spans="1:3" x14ac:dyDescent="0.25">
      <c r="A101" s="41">
        <v>45026</v>
      </c>
      <c r="B101" s="2">
        <v>950</v>
      </c>
      <c r="C101" s="60">
        <f t="shared" si="1"/>
        <v>-8.8642049242705578E-2</v>
      </c>
    </row>
    <row r="102" spans="1:3" x14ac:dyDescent="0.25">
      <c r="A102" s="41">
        <v>45027</v>
      </c>
      <c r="B102" s="2">
        <v>500</v>
      </c>
      <c r="C102" s="60">
        <f t="shared" si="1"/>
        <v>-0.43081494203035275</v>
      </c>
    </row>
    <row r="103" spans="1:3" x14ac:dyDescent="0.25">
      <c r="A103" s="41">
        <v>45028</v>
      </c>
      <c r="B103" s="2">
        <v>550</v>
      </c>
      <c r="C103" s="60">
        <f t="shared" si="1"/>
        <v>-0.39279573172061416</v>
      </c>
    </row>
    <row r="104" spans="1:3" x14ac:dyDescent="0.25">
      <c r="A104" s="41">
        <v>45029</v>
      </c>
      <c r="B104" s="2">
        <v>600</v>
      </c>
      <c r="C104" s="60">
        <f t="shared" si="1"/>
        <v>-0.35477652141087562</v>
      </c>
    </row>
    <row r="105" spans="1:3" x14ac:dyDescent="0.25">
      <c r="A105" s="41">
        <v>45030</v>
      </c>
      <c r="B105" s="2">
        <v>650</v>
      </c>
      <c r="C105" s="60">
        <f t="shared" si="1"/>
        <v>-0.31675731110113703</v>
      </c>
    </row>
    <row r="106" spans="1:3" x14ac:dyDescent="0.25">
      <c r="A106" s="41">
        <v>45031</v>
      </c>
      <c r="B106" s="2">
        <v>700</v>
      </c>
      <c r="C106" s="60">
        <f t="shared" si="1"/>
        <v>-0.27873810079139844</v>
      </c>
    </row>
    <row r="107" spans="1:3" x14ac:dyDescent="0.25">
      <c r="A107" s="41">
        <v>45032</v>
      </c>
      <c r="B107" s="2">
        <v>750</v>
      </c>
      <c r="C107" s="60">
        <f t="shared" si="1"/>
        <v>-0.24071889048165987</v>
      </c>
    </row>
    <row r="108" spans="1:3" x14ac:dyDescent="0.25">
      <c r="A108" s="41">
        <v>45033</v>
      </c>
      <c r="B108" s="2">
        <v>800</v>
      </c>
      <c r="C108" s="60">
        <f t="shared" si="1"/>
        <v>-0.2026996801719213</v>
      </c>
    </row>
    <row r="109" spans="1:3" x14ac:dyDescent="0.25">
      <c r="A109" s="41">
        <v>45034</v>
      </c>
      <c r="B109" s="2">
        <v>850</v>
      </c>
      <c r="C109" s="60">
        <f t="shared" si="1"/>
        <v>-0.16468046986218274</v>
      </c>
    </row>
    <row r="110" spans="1:3" x14ac:dyDescent="0.25">
      <c r="A110" s="41">
        <v>45035</v>
      </c>
      <c r="B110" s="2">
        <v>900</v>
      </c>
      <c r="C110" s="60">
        <f t="shared" si="1"/>
        <v>-0.12666125955244414</v>
      </c>
    </row>
    <row r="111" spans="1:3" x14ac:dyDescent="0.25">
      <c r="A111" s="41">
        <v>45036</v>
      </c>
      <c r="B111" s="2">
        <v>950</v>
      </c>
      <c r="C111" s="60">
        <f t="shared" si="1"/>
        <v>-8.8642049242705578E-2</v>
      </c>
    </row>
    <row r="112" spans="1:3" x14ac:dyDescent="0.25">
      <c r="A112" s="41">
        <v>45037</v>
      </c>
      <c r="B112" s="2">
        <v>500</v>
      </c>
      <c r="C112" s="60">
        <f t="shared" si="1"/>
        <v>-0.43081494203035275</v>
      </c>
    </row>
    <row r="113" spans="1:3" x14ac:dyDescent="0.25">
      <c r="A113" s="41">
        <v>45038</v>
      </c>
      <c r="B113" s="2">
        <v>550</v>
      </c>
      <c r="C113" s="60">
        <f t="shared" si="1"/>
        <v>-0.39279573172061416</v>
      </c>
    </row>
    <row r="114" spans="1:3" x14ac:dyDescent="0.25">
      <c r="A114" s="41">
        <v>45039</v>
      </c>
      <c r="B114" s="2">
        <v>600</v>
      </c>
      <c r="C114" s="60">
        <f t="shared" si="1"/>
        <v>-0.35477652141087562</v>
      </c>
    </row>
    <row r="115" spans="1:3" x14ac:dyDescent="0.25">
      <c r="A115" s="41">
        <v>45040</v>
      </c>
      <c r="B115" s="2">
        <v>650</v>
      </c>
      <c r="C115" s="60">
        <f t="shared" si="1"/>
        <v>-0.31675731110113703</v>
      </c>
    </row>
    <row r="116" spans="1:3" x14ac:dyDescent="0.25">
      <c r="A116" s="41">
        <v>45041</v>
      </c>
      <c r="B116" s="2">
        <v>700</v>
      </c>
      <c r="C116" s="60">
        <f t="shared" si="1"/>
        <v>-0.27873810079139844</v>
      </c>
    </row>
    <row r="117" spans="1:3" x14ac:dyDescent="0.25">
      <c r="A117" s="41">
        <v>45042</v>
      </c>
      <c r="B117" s="2">
        <v>750</v>
      </c>
      <c r="C117" s="60">
        <f t="shared" si="1"/>
        <v>-0.24071889048165987</v>
      </c>
    </row>
    <row r="118" spans="1:3" x14ac:dyDescent="0.25">
      <c r="A118" s="41">
        <v>45043</v>
      </c>
      <c r="B118" s="2">
        <v>800</v>
      </c>
      <c r="C118" s="60">
        <f t="shared" si="1"/>
        <v>-0.2026996801719213</v>
      </c>
    </row>
    <row r="119" spans="1:3" x14ac:dyDescent="0.25">
      <c r="A119" s="41">
        <v>45044</v>
      </c>
      <c r="B119" s="2">
        <v>850</v>
      </c>
      <c r="C119" s="60">
        <f t="shared" si="1"/>
        <v>-0.16468046986218274</v>
      </c>
    </row>
    <row r="120" spans="1:3" x14ac:dyDescent="0.25">
      <c r="A120" s="41">
        <v>45045</v>
      </c>
      <c r="B120" s="2">
        <v>900</v>
      </c>
      <c r="C120" s="60">
        <f t="shared" si="1"/>
        <v>-0.12666125955244414</v>
      </c>
    </row>
    <row r="121" spans="1:3" x14ac:dyDescent="0.25">
      <c r="A121" s="41">
        <v>45046</v>
      </c>
      <c r="B121" s="2">
        <v>950</v>
      </c>
      <c r="C121" s="60">
        <f t="shared" si="1"/>
        <v>-8.8642049242705578E-2</v>
      </c>
    </row>
    <row r="122" spans="1:3" x14ac:dyDescent="0.25">
      <c r="A122" s="41">
        <v>45047</v>
      </c>
      <c r="B122" s="2">
        <v>500</v>
      </c>
      <c r="C122" s="60">
        <f t="shared" si="1"/>
        <v>-0.43081494203035275</v>
      </c>
    </row>
    <row r="123" spans="1:3" x14ac:dyDescent="0.25">
      <c r="A123" s="41">
        <v>45048</v>
      </c>
      <c r="B123" s="2">
        <v>550</v>
      </c>
      <c r="C123" s="60">
        <f t="shared" si="1"/>
        <v>-0.39279573172061416</v>
      </c>
    </row>
    <row r="124" spans="1:3" x14ac:dyDescent="0.25">
      <c r="A124" s="41">
        <v>45049</v>
      </c>
      <c r="B124" s="2">
        <v>600</v>
      </c>
      <c r="C124" s="60">
        <f t="shared" si="1"/>
        <v>-0.35477652141087562</v>
      </c>
    </row>
    <row r="125" spans="1:3" x14ac:dyDescent="0.25">
      <c r="A125" s="41">
        <v>45050</v>
      </c>
      <c r="B125" s="2">
        <v>650</v>
      </c>
      <c r="C125" s="60">
        <f t="shared" si="1"/>
        <v>-0.31675731110113703</v>
      </c>
    </row>
    <row r="126" spans="1:3" x14ac:dyDescent="0.25">
      <c r="A126" s="41">
        <v>45051</v>
      </c>
      <c r="B126" s="2">
        <v>700</v>
      </c>
      <c r="C126" s="60">
        <f t="shared" si="1"/>
        <v>-0.27873810079139844</v>
      </c>
    </row>
    <row r="127" spans="1:3" x14ac:dyDescent="0.25">
      <c r="A127" s="41">
        <v>45052</v>
      </c>
      <c r="B127" s="2">
        <v>750</v>
      </c>
      <c r="C127" s="60">
        <f t="shared" si="1"/>
        <v>-0.24071889048165987</v>
      </c>
    </row>
    <row r="128" spans="1:3" x14ac:dyDescent="0.25">
      <c r="A128" s="41">
        <v>45053</v>
      </c>
      <c r="B128" s="2">
        <v>800</v>
      </c>
      <c r="C128" s="60">
        <f t="shared" si="1"/>
        <v>-0.2026996801719213</v>
      </c>
    </row>
    <row r="129" spans="1:3" x14ac:dyDescent="0.25">
      <c r="A129" s="41">
        <v>45054</v>
      </c>
      <c r="B129" s="2">
        <v>850</v>
      </c>
      <c r="C129" s="60">
        <f t="shared" si="1"/>
        <v>-0.16468046986218274</v>
      </c>
    </row>
    <row r="130" spans="1:3" x14ac:dyDescent="0.25">
      <c r="A130" s="41">
        <v>45055</v>
      </c>
      <c r="B130" s="2">
        <v>900</v>
      </c>
      <c r="C130" s="60">
        <f t="shared" si="1"/>
        <v>-0.12666125955244414</v>
      </c>
    </row>
    <row r="131" spans="1:3" x14ac:dyDescent="0.25">
      <c r="A131" s="41">
        <v>45056</v>
      </c>
      <c r="B131" s="2">
        <v>950</v>
      </c>
      <c r="C131" s="60">
        <f t="shared" ref="C131:C194" si="2">(B131-$P$4)/$P$8</f>
        <v>-8.8642049242705578E-2</v>
      </c>
    </row>
    <row r="132" spans="1:3" x14ac:dyDescent="0.25">
      <c r="A132" s="41">
        <v>45057</v>
      </c>
      <c r="B132" s="2">
        <v>500</v>
      </c>
      <c r="C132" s="60">
        <f t="shared" si="2"/>
        <v>-0.43081494203035275</v>
      </c>
    </row>
    <row r="133" spans="1:3" x14ac:dyDescent="0.25">
      <c r="A133" s="41">
        <v>45058</v>
      </c>
      <c r="B133" s="2">
        <v>550</v>
      </c>
      <c r="C133" s="60">
        <f t="shared" si="2"/>
        <v>-0.39279573172061416</v>
      </c>
    </row>
    <row r="134" spans="1:3" x14ac:dyDescent="0.25">
      <c r="A134" s="41">
        <v>45059</v>
      </c>
      <c r="B134" s="2">
        <v>600</v>
      </c>
      <c r="C134" s="60">
        <f t="shared" si="2"/>
        <v>-0.35477652141087562</v>
      </c>
    </row>
    <row r="135" spans="1:3" x14ac:dyDescent="0.25">
      <c r="A135" s="41">
        <v>45060</v>
      </c>
      <c r="B135" s="2">
        <v>650</v>
      </c>
      <c r="C135" s="60">
        <f t="shared" si="2"/>
        <v>-0.31675731110113703</v>
      </c>
    </row>
    <row r="136" spans="1:3" x14ac:dyDescent="0.25">
      <c r="A136" s="41">
        <v>45061</v>
      </c>
      <c r="B136" s="2">
        <v>700</v>
      </c>
      <c r="C136" s="60">
        <f t="shared" si="2"/>
        <v>-0.27873810079139844</v>
      </c>
    </row>
    <row r="137" spans="1:3" x14ac:dyDescent="0.25">
      <c r="A137" s="41">
        <v>45062</v>
      </c>
      <c r="B137" s="2">
        <v>750</v>
      </c>
      <c r="C137" s="60">
        <f t="shared" si="2"/>
        <v>-0.24071889048165987</v>
      </c>
    </row>
    <row r="138" spans="1:3" x14ac:dyDescent="0.25">
      <c r="A138" s="41">
        <v>45063</v>
      </c>
      <c r="B138" s="2">
        <v>800</v>
      </c>
      <c r="C138" s="60">
        <f t="shared" si="2"/>
        <v>-0.2026996801719213</v>
      </c>
    </row>
    <row r="139" spans="1:3" x14ac:dyDescent="0.25">
      <c r="A139" s="41">
        <v>45064</v>
      </c>
      <c r="B139" s="2">
        <v>850</v>
      </c>
      <c r="C139" s="60">
        <f t="shared" si="2"/>
        <v>-0.16468046986218274</v>
      </c>
    </row>
    <row r="140" spans="1:3" x14ac:dyDescent="0.25">
      <c r="A140" s="41">
        <v>45065</v>
      </c>
      <c r="B140" s="2">
        <v>900</v>
      </c>
      <c r="C140" s="60">
        <f t="shared" si="2"/>
        <v>-0.12666125955244414</v>
      </c>
    </row>
    <row r="141" spans="1:3" x14ac:dyDescent="0.25">
      <c r="A141" s="41">
        <v>45066</v>
      </c>
      <c r="B141" s="2">
        <v>950</v>
      </c>
      <c r="C141" s="60">
        <f t="shared" si="2"/>
        <v>-8.8642049242705578E-2</v>
      </c>
    </row>
    <row r="142" spans="1:3" x14ac:dyDescent="0.25">
      <c r="A142" s="41">
        <v>45067</v>
      </c>
      <c r="B142" s="2">
        <v>500</v>
      </c>
      <c r="C142" s="60">
        <f t="shared" si="2"/>
        <v>-0.43081494203035275</v>
      </c>
    </row>
    <row r="143" spans="1:3" x14ac:dyDescent="0.25">
      <c r="A143" s="41">
        <v>45068</v>
      </c>
      <c r="B143" s="2">
        <v>550</v>
      </c>
      <c r="C143" s="60">
        <f t="shared" si="2"/>
        <v>-0.39279573172061416</v>
      </c>
    </row>
    <row r="144" spans="1:3" x14ac:dyDescent="0.25">
      <c r="A144" s="41">
        <v>45069</v>
      </c>
      <c r="B144" s="2">
        <v>600</v>
      </c>
      <c r="C144" s="60">
        <f t="shared" si="2"/>
        <v>-0.35477652141087562</v>
      </c>
    </row>
    <row r="145" spans="1:3" x14ac:dyDescent="0.25">
      <c r="A145" s="41">
        <v>45070</v>
      </c>
      <c r="B145" s="2">
        <v>650</v>
      </c>
      <c r="C145" s="60">
        <f t="shared" si="2"/>
        <v>-0.31675731110113703</v>
      </c>
    </row>
    <row r="146" spans="1:3" x14ac:dyDescent="0.25">
      <c r="A146" s="41">
        <v>45071</v>
      </c>
      <c r="B146" s="2">
        <v>700</v>
      </c>
      <c r="C146" s="60">
        <f t="shared" si="2"/>
        <v>-0.27873810079139844</v>
      </c>
    </row>
    <row r="147" spans="1:3" x14ac:dyDescent="0.25">
      <c r="A147" s="41">
        <v>45072</v>
      </c>
      <c r="B147" s="2">
        <v>750</v>
      </c>
      <c r="C147" s="60">
        <f t="shared" si="2"/>
        <v>-0.24071889048165987</v>
      </c>
    </row>
    <row r="148" spans="1:3" x14ac:dyDescent="0.25">
      <c r="A148" s="41">
        <v>45073</v>
      </c>
      <c r="B148" s="2">
        <v>800</v>
      </c>
      <c r="C148" s="60">
        <f t="shared" si="2"/>
        <v>-0.2026996801719213</v>
      </c>
    </row>
    <row r="149" spans="1:3" x14ac:dyDescent="0.25">
      <c r="A149" s="41">
        <v>45074</v>
      </c>
      <c r="B149" s="2">
        <v>850</v>
      </c>
      <c r="C149" s="60">
        <f t="shared" si="2"/>
        <v>-0.16468046986218274</v>
      </c>
    </row>
    <row r="150" spans="1:3" x14ac:dyDescent="0.25">
      <c r="A150" s="41">
        <v>45075</v>
      </c>
      <c r="B150" s="2">
        <v>900</v>
      </c>
      <c r="C150" s="60">
        <f t="shared" si="2"/>
        <v>-0.12666125955244414</v>
      </c>
    </row>
    <row r="151" spans="1:3" x14ac:dyDescent="0.25">
      <c r="A151" s="41">
        <v>45076</v>
      </c>
      <c r="B151" s="2">
        <v>950</v>
      </c>
      <c r="C151" s="60">
        <f t="shared" si="2"/>
        <v>-8.8642049242705578E-2</v>
      </c>
    </row>
    <row r="152" spans="1:3" x14ac:dyDescent="0.25">
      <c r="A152" s="41">
        <v>45077</v>
      </c>
      <c r="B152" s="2">
        <v>500</v>
      </c>
      <c r="C152" s="60">
        <f t="shared" si="2"/>
        <v>-0.43081494203035275</v>
      </c>
    </row>
    <row r="153" spans="1:3" x14ac:dyDescent="0.25">
      <c r="A153" s="41">
        <v>45078</v>
      </c>
      <c r="B153" s="2">
        <v>550</v>
      </c>
      <c r="C153" s="60">
        <f t="shared" si="2"/>
        <v>-0.39279573172061416</v>
      </c>
    </row>
    <row r="154" spans="1:3" x14ac:dyDescent="0.25">
      <c r="A154" s="41">
        <v>45079</v>
      </c>
      <c r="B154" s="2">
        <v>600</v>
      </c>
      <c r="C154" s="60">
        <f t="shared" si="2"/>
        <v>-0.35477652141087562</v>
      </c>
    </row>
    <row r="155" spans="1:3" x14ac:dyDescent="0.25">
      <c r="A155" s="41">
        <v>45080</v>
      </c>
      <c r="B155" s="2">
        <v>650</v>
      </c>
      <c r="C155" s="60">
        <f t="shared" si="2"/>
        <v>-0.31675731110113703</v>
      </c>
    </row>
    <row r="156" spans="1:3" x14ac:dyDescent="0.25">
      <c r="A156" s="41">
        <v>45081</v>
      </c>
      <c r="B156" s="2">
        <v>700</v>
      </c>
      <c r="C156" s="60">
        <f t="shared" si="2"/>
        <v>-0.27873810079139844</v>
      </c>
    </row>
    <row r="157" spans="1:3" x14ac:dyDescent="0.25">
      <c r="A157" s="41">
        <v>45082</v>
      </c>
      <c r="B157" s="2">
        <v>750</v>
      </c>
      <c r="C157" s="60">
        <f t="shared" si="2"/>
        <v>-0.24071889048165987</v>
      </c>
    </row>
    <row r="158" spans="1:3" x14ac:dyDescent="0.25">
      <c r="A158" s="41">
        <v>45083</v>
      </c>
      <c r="B158" s="2">
        <v>800</v>
      </c>
      <c r="C158" s="60">
        <f t="shared" si="2"/>
        <v>-0.2026996801719213</v>
      </c>
    </row>
    <row r="159" spans="1:3" x14ac:dyDescent="0.25">
      <c r="A159" s="41">
        <v>45084</v>
      </c>
      <c r="B159" s="2">
        <v>850</v>
      </c>
      <c r="C159" s="60">
        <f t="shared" si="2"/>
        <v>-0.16468046986218274</v>
      </c>
    </row>
    <row r="160" spans="1:3" x14ac:dyDescent="0.25">
      <c r="A160" s="41">
        <v>45085</v>
      </c>
      <c r="B160" s="2">
        <v>900</v>
      </c>
      <c r="C160" s="60">
        <f t="shared" si="2"/>
        <v>-0.12666125955244414</v>
      </c>
    </row>
    <row r="161" spans="1:3" x14ac:dyDescent="0.25">
      <c r="A161" s="41">
        <v>45086</v>
      </c>
      <c r="B161" s="2">
        <v>950</v>
      </c>
      <c r="C161" s="60">
        <f t="shared" si="2"/>
        <v>-8.8642049242705578E-2</v>
      </c>
    </row>
    <row r="162" spans="1:3" x14ac:dyDescent="0.25">
      <c r="A162" s="41">
        <v>45087</v>
      </c>
      <c r="B162" s="2">
        <v>500</v>
      </c>
      <c r="C162" s="60">
        <f t="shared" si="2"/>
        <v>-0.43081494203035275</v>
      </c>
    </row>
    <row r="163" spans="1:3" x14ac:dyDescent="0.25">
      <c r="A163" s="41">
        <v>45088</v>
      </c>
      <c r="B163" s="2">
        <v>550</v>
      </c>
      <c r="C163" s="60">
        <f t="shared" si="2"/>
        <v>-0.39279573172061416</v>
      </c>
    </row>
    <row r="164" spans="1:3" x14ac:dyDescent="0.25">
      <c r="A164" s="41">
        <v>45089</v>
      </c>
      <c r="B164" s="2">
        <v>600</v>
      </c>
      <c r="C164" s="60">
        <f t="shared" si="2"/>
        <v>-0.35477652141087562</v>
      </c>
    </row>
    <row r="165" spans="1:3" x14ac:dyDescent="0.25">
      <c r="A165" s="41">
        <v>45090</v>
      </c>
      <c r="B165" s="2">
        <v>650</v>
      </c>
      <c r="C165" s="60">
        <f t="shared" si="2"/>
        <v>-0.31675731110113703</v>
      </c>
    </row>
    <row r="166" spans="1:3" x14ac:dyDescent="0.25">
      <c r="A166" s="41">
        <v>45091</v>
      </c>
      <c r="B166" s="2">
        <v>700</v>
      </c>
      <c r="C166" s="60">
        <f t="shared" si="2"/>
        <v>-0.27873810079139844</v>
      </c>
    </row>
    <row r="167" spans="1:3" x14ac:dyDescent="0.25">
      <c r="A167" s="41">
        <v>45092</v>
      </c>
      <c r="B167" s="2">
        <v>750</v>
      </c>
      <c r="C167" s="60">
        <f t="shared" si="2"/>
        <v>-0.24071889048165987</v>
      </c>
    </row>
    <row r="168" spans="1:3" x14ac:dyDescent="0.25">
      <c r="A168" s="41">
        <v>45093</v>
      </c>
      <c r="B168" s="2">
        <v>800</v>
      </c>
      <c r="C168" s="60">
        <f t="shared" si="2"/>
        <v>-0.2026996801719213</v>
      </c>
    </row>
    <row r="169" spans="1:3" x14ac:dyDescent="0.25">
      <c r="A169" s="41">
        <v>45094</v>
      </c>
      <c r="B169" s="2">
        <v>850</v>
      </c>
      <c r="C169" s="60">
        <f t="shared" si="2"/>
        <v>-0.16468046986218274</v>
      </c>
    </row>
    <row r="170" spans="1:3" x14ac:dyDescent="0.25">
      <c r="A170" s="41">
        <v>45095</v>
      </c>
      <c r="B170" s="2">
        <v>900</v>
      </c>
      <c r="C170" s="60">
        <f t="shared" si="2"/>
        <v>-0.12666125955244414</v>
      </c>
    </row>
    <row r="171" spans="1:3" x14ac:dyDescent="0.25">
      <c r="A171" s="41">
        <v>45096</v>
      </c>
      <c r="B171" s="2">
        <v>950</v>
      </c>
      <c r="C171" s="60">
        <f t="shared" si="2"/>
        <v>-8.8642049242705578E-2</v>
      </c>
    </row>
    <row r="172" spans="1:3" x14ac:dyDescent="0.25">
      <c r="A172" s="41">
        <v>45097</v>
      </c>
      <c r="B172" s="2">
        <v>500</v>
      </c>
      <c r="C172" s="60">
        <f t="shared" si="2"/>
        <v>-0.43081494203035275</v>
      </c>
    </row>
    <row r="173" spans="1:3" x14ac:dyDescent="0.25">
      <c r="A173" s="41">
        <v>45098</v>
      </c>
      <c r="B173" s="2">
        <v>550</v>
      </c>
      <c r="C173" s="60">
        <f t="shared" si="2"/>
        <v>-0.39279573172061416</v>
      </c>
    </row>
    <row r="174" spans="1:3" x14ac:dyDescent="0.25">
      <c r="A174" s="41">
        <v>45099</v>
      </c>
      <c r="B174" s="2">
        <v>600</v>
      </c>
      <c r="C174" s="60">
        <f t="shared" si="2"/>
        <v>-0.35477652141087562</v>
      </c>
    </row>
    <row r="175" spans="1:3" x14ac:dyDescent="0.25">
      <c r="A175" s="41">
        <v>45100</v>
      </c>
      <c r="B175" s="2">
        <v>650</v>
      </c>
      <c r="C175" s="60">
        <f t="shared" si="2"/>
        <v>-0.31675731110113703</v>
      </c>
    </row>
    <row r="176" spans="1:3" x14ac:dyDescent="0.25">
      <c r="A176" s="41">
        <v>45101</v>
      </c>
      <c r="B176" s="2">
        <v>700</v>
      </c>
      <c r="C176" s="60">
        <f t="shared" si="2"/>
        <v>-0.27873810079139844</v>
      </c>
    </row>
    <row r="177" spans="1:3" x14ac:dyDescent="0.25">
      <c r="A177" s="41">
        <v>45102</v>
      </c>
      <c r="B177" s="2">
        <v>750</v>
      </c>
      <c r="C177" s="60">
        <f t="shared" si="2"/>
        <v>-0.24071889048165987</v>
      </c>
    </row>
    <row r="178" spans="1:3" x14ac:dyDescent="0.25">
      <c r="A178" s="41">
        <v>45103</v>
      </c>
      <c r="B178" s="2">
        <v>800</v>
      </c>
      <c r="C178" s="60">
        <f t="shared" si="2"/>
        <v>-0.2026996801719213</v>
      </c>
    </row>
    <row r="179" spans="1:3" x14ac:dyDescent="0.25">
      <c r="A179" s="41">
        <v>45104</v>
      </c>
      <c r="B179" s="2">
        <v>850</v>
      </c>
      <c r="C179" s="60">
        <f t="shared" si="2"/>
        <v>-0.16468046986218274</v>
      </c>
    </row>
    <row r="180" spans="1:3" x14ac:dyDescent="0.25">
      <c r="A180" s="41">
        <v>45105</v>
      </c>
      <c r="B180" s="2">
        <v>900</v>
      </c>
      <c r="C180" s="60">
        <f t="shared" si="2"/>
        <v>-0.12666125955244414</v>
      </c>
    </row>
    <row r="181" spans="1:3" x14ac:dyDescent="0.25">
      <c r="A181" s="41">
        <v>45106</v>
      </c>
      <c r="B181" s="2">
        <v>950</v>
      </c>
      <c r="C181" s="60">
        <f t="shared" si="2"/>
        <v>-8.8642049242705578E-2</v>
      </c>
    </row>
    <row r="182" spans="1:3" x14ac:dyDescent="0.25">
      <c r="A182" s="41">
        <v>45107</v>
      </c>
      <c r="B182" s="2">
        <v>500</v>
      </c>
      <c r="C182" s="60">
        <f t="shared" si="2"/>
        <v>-0.43081494203035275</v>
      </c>
    </row>
    <row r="183" spans="1:3" x14ac:dyDescent="0.25">
      <c r="A183" s="41">
        <v>45108</v>
      </c>
      <c r="B183" s="2">
        <v>550</v>
      </c>
      <c r="C183" s="60">
        <f t="shared" si="2"/>
        <v>-0.39279573172061416</v>
      </c>
    </row>
    <row r="184" spans="1:3" x14ac:dyDescent="0.25">
      <c r="A184" s="41">
        <v>45109</v>
      </c>
      <c r="B184" s="2">
        <v>600</v>
      </c>
      <c r="C184" s="60">
        <f t="shared" si="2"/>
        <v>-0.35477652141087562</v>
      </c>
    </row>
    <row r="185" spans="1:3" x14ac:dyDescent="0.25">
      <c r="A185" s="41">
        <v>45110</v>
      </c>
      <c r="B185" s="2">
        <v>650</v>
      </c>
      <c r="C185" s="60">
        <f t="shared" si="2"/>
        <v>-0.31675731110113703</v>
      </c>
    </row>
    <row r="186" spans="1:3" x14ac:dyDescent="0.25">
      <c r="A186" s="41">
        <v>45111</v>
      </c>
      <c r="B186" s="2">
        <v>700</v>
      </c>
      <c r="C186" s="60">
        <f t="shared" si="2"/>
        <v>-0.27873810079139844</v>
      </c>
    </row>
    <row r="187" spans="1:3" x14ac:dyDescent="0.25">
      <c r="A187" s="41">
        <v>45112</v>
      </c>
      <c r="B187" s="2">
        <v>750</v>
      </c>
      <c r="C187" s="60">
        <f t="shared" si="2"/>
        <v>-0.24071889048165987</v>
      </c>
    </row>
    <row r="188" spans="1:3" x14ac:dyDescent="0.25">
      <c r="A188" s="41">
        <v>45113</v>
      </c>
      <c r="B188" s="2">
        <v>800</v>
      </c>
      <c r="C188" s="60">
        <f t="shared" si="2"/>
        <v>-0.2026996801719213</v>
      </c>
    </row>
    <row r="189" spans="1:3" x14ac:dyDescent="0.25">
      <c r="A189" s="41">
        <v>45114</v>
      </c>
      <c r="B189" s="2">
        <v>850</v>
      </c>
      <c r="C189" s="60">
        <f t="shared" si="2"/>
        <v>-0.16468046986218274</v>
      </c>
    </row>
    <row r="190" spans="1:3" x14ac:dyDescent="0.25">
      <c r="A190" s="41">
        <v>45115</v>
      </c>
      <c r="B190" s="2">
        <v>900</v>
      </c>
      <c r="C190" s="60">
        <f t="shared" si="2"/>
        <v>-0.12666125955244414</v>
      </c>
    </row>
    <row r="191" spans="1:3" x14ac:dyDescent="0.25">
      <c r="A191" s="41">
        <v>45116</v>
      </c>
      <c r="B191" s="2">
        <v>950</v>
      </c>
      <c r="C191" s="60">
        <f t="shared" si="2"/>
        <v>-8.8642049242705578E-2</v>
      </c>
    </row>
    <row r="192" spans="1:3" x14ac:dyDescent="0.25">
      <c r="A192" s="41">
        <v>45117</v>
      </c>
      <c r="B192" s="2">
        <v>500</v>
      </c>
      <c r="C192" s="60">
        <f t="shared" si="2"/>
        <v>-0.43081494203035275</v>
      </c>
    </row>
    <row r="193" spans="1:3" x14ac:dyDescent="0.25">
      <c r="A193" s="41">
        <v>45118</v>
      </c>
      <c r="B193" s="2">
        <v>550</v>
      </c>
      <c r="C193" s="60">
        <f t="shared" si="2"/>
        <v>-0.39279573172061416</v>
      </c>
    </row>
    <row r="194" spans="1:3" x14ac:dyDescent="0.25">
      <c r="A194" s="41">
        <v>45119</v>
      </c>
      <c r="B194" s="2">
        <v>600</v>
      </c>
      <c r="C194" s="60">
        <f t="shared" si="2"/>
        <v>-0.35477652141087562</v>
      </c>
    </row>
    <row r="195" spans="1:3" x14ac:dyDescent="0.25">
      <c r="A195" s="41">
        <v>45120</v>
      </c>
      <c r="B195" s="2">
        <v>650</v>
      </c>
      <c r="C195" s="60">
        <f t="shared" ref="C195:C258" si="3">(B195-$P$4)/$P$8</f>
        <v>-0.31675731110113703</v>
      </c>
    </row>
    <row r="196" spans="1:3" x14ac:dyDescent="0.25">
      <c r="A196" s="41">
        <v>45121</v>
      </c>
      <c r="B196" s="2">
        <v>700</v>
      </c>
      <c r="C196" s="60">
        <f t="shared" si="3"/>
        <v>-0.27873810079139844</v>
      </c>
    </row>
    <row r="197" spans="1:3" x14ac:dyDescent="0.25">
      <c r="A197" s="41">
        <v>45122</v>
      </c>
      <c r="B197" s="2">
        <v>750</v>
      </c>
      <c r="C197" s="60">
        <f t="shared" si="3"/>
        <v>-0.24071889048165987</v>
      </c>
    </row>
    <row r="198" spans="1:3" x14ac:dyDescent="0.25">
      <c r="A198" s="41">
        <v>45123</v>
      </c>
      <c r="B198" s="2">
        <v>800</v>
      </c>
      <c r="C198" s="60">
        <f t="shared" si="3"/>
        <v>-0.2026996801719213</v>
      </c>
    </row>
    <row r="199" spans="1:3" x14ac:dyDescent="0.25">
      <c r="A199" s="41">
        <v>45124</v>
      </c>
      <c r="B199" s="2">
        <v>850</v>
      </c>
      <c r="C199" s="60">
        <f t="shared" si="3"/>
        <v>-0.16468046986218274</v>
      </c>
    </row>
    <row r="200" spans="1:3" x14ac:dyDescent="0.25">
      <c r="A200" s="41">
        <v>45125</v>
      </c>
      <c r="B200" s="2">
        <v>900</v>
      </c>
      <c r="C200" s="60">
        <f t="shared" si="3"/>
        <v>-0.12666125955244414</v>
      </c>
    </row>
    <row r="201" spans="1:3" x14ac:dyDescent="0.25">
      <c r="A201" s="41">
        <v>45126</v>
      </c>
      <c r="B201" s="2">
        <v>950</v>
      </c>
      <c r="C201" s="60">
        <f t="shared" si="3"/>
        <v>-8.8642049242705578E-2</v>
      </c>
    </row>
    <row r="202" spans="1:3" x14ac:dyDescent="0.25">
      <c r="A202" s="41">
        <v>45127</v>
      </c>
      <c r="B202" s="2">
        <v>500</v>
      </c>
      <c r="C202" s="60">
        <f t="shared" si="3"/>
        <v>-0.43081494203035275</v>
      </c>
    </row>
    <row r="203" spans="1:3" x14ac:dyDescent="0.25">
      <c r="A203" s="41">
        <v>45128</v>
      </c>
      <c r="B203" s="2">
        <v>550</v>
      </c>
      <c r="C203" s="60">
        <f t="shared" si="3"/>
        <v>-0.39279573172061416</v>
      </c>
    </row>
    <row r="204" spans="1:3" x14ac:dyDescent="0.25">
      <c r="A204" s="41">
        <v>45129</v>
      </c>
      <c r="B204" s="2">
        <v>600</v>
      </c>
      <c r="C204" s="60">
        <f t="shared" si="3"/>
        <v>-0.35477652141087562</v>
      </c>
    </row>
    <row r="205" spans="1:3" x14ac:dyDescent="0.25">
      <c r="A205" s="41">
        <v>45130</v>
      </c>
      <c r="B205" s="2">
        <v>650</v>
      </c>
      <c r="C205" s="60">
        <f t="shared" si="3"/>
        <v>-0.31675731110113703</v>
      </c>
    </row>
    <row r="206" spans="1:3" x14ac:dyDescent="0.25">
      <c r="A206" s="41">
        <v>45131</v>
      </c>
      <c r="B206" s="2">
        <v>700</v>
      </c>
      <c r="C206" s="60">
        <f t="shared" si="3"/>
        <v>-0.27873810079139844</v>
      </c>
    </row>
    <row r="207" spans="1:3" x14ac:dyDescent="0.25">
      <c r="A207" s="41">
        <v>45132</v>
      </c>
      <c r="B207" s="2">
        <v>750</v>
      </c>
      <c r="C207" s="60">
        <f t="shared" si="3"/>
        <v>-0.24071889048165987</v>
      </c>
    </row>
    <row r="208" spans="1:3" x14ac:dyDescent="0.25">
      <c r="A208" s="41">
        <v>45133</v>
      </c>
      <c r="B208" s="2">
        <v>800</v>
      </c>
      <c r="C208" s="60">
        <f t="shared" si="3"/>
        <v>-0.2026996801719213</v>
      </c>
    </row>
    <row r="209" spans="1:3" x14ac:dyDescent="0.25">
      <c r="A209" s="41">
        <v>45134</v>
      </c>
      <c r="B209" s="2">
        <v>850</v>
      </c>
      <c r="C209" s="60">
        <f t="shared" si="3"/>
        <v>-0.16468046986218274</v>
      </c>
    </row>
    <row r="210" spans="1:3" x14ac:dyDescent="0.25">
      <c r="A210" s="41">
        <v>45135</v>
      </c>
      <c r="B210" s="2">
        <v>900</v>
      </c>
      <c r="C210" s="60">
        <f t="shared" si="3"/>
        <v>-0.12666125955244414</v>
      </c>
    </row>
    <row r="211" spans="1:3" x14ac:dyDescent="0.25">
      <c r="A211" s="41">
        <v>45136</v>
      </c>
      <c r="B211" s="2">
        <v>950</v>
      </c>
      <c r="C211" s="60">
        <f t="shared" si="3"/>
        <v>-8.8642049242705578E-2</v>
      </c>
    </row>
    <row r="212" spans="1:3" x14ac:dyDescent="0.25">
      <c r="A212" s="41">
        <v>45137</v>
      </c>
      <c r="B212" s="2">
        <v>500</v>
      </c>
      <c r="C212" s="60">
        <f t="shared" si="3"/>
        <v>-0.43081494203035275</v>
      </c>
    </row>
    <row r="213" spans="1:3" x14ac:dyDescent="0.25">
      <c r="A213" s="41">
        <v>45138</v>
      </c>
      <c r="B213" s="2">
        <v>550</v>
      </c>
      <c r="C213" s="60">
        <f t="shared" si="3"/>
        <v>-0.39279573172061416</v>
      </c>
    </row>
    <row r="214" spans="1:3" x14ac:dyDescent="0.25">
      <c r="A214" s="41">
        <v>45139</v>
      </c>
      <c r="B214" s="2">
        <v>600</v>
      </c>
      <c r="C214" s="60">
        <f t="shared" si="3"/>
        <v>-0.35477652141087562</v>
      </c>
    </row>
    <row r="215" spans="1:3" x14ac:dyDescent="0.25">
      <c r="A215" s="41">
        <v>45140</v>
      </c>
      <c r="B215" s="2">
        <v>650</v>
      </c>
      <c r="C215" s="60">
        <f t="shared" si="3"/>
        <v>-0.31675731110113703</v>
      </c>
    </row>
    <row r="216" spans="1:3" x14ac:dyDescent="0.25">
      <c r="A216" s="41">
        <v>45141</v>
      </c>
      <c r="B216" s="2">
        <v>700</v>
      </c>
      <c r="C216" s="60">
        <f t="shared" si="3"/>
        <v>-0.27873810079139844</v>
      </c>
    </row>
    <row r="217" spans="1:3" x14ac:dyDescent="0.25">
      <c r="A217" s="41">
        <v>45142</v>
      </c>
      <c r="B217" s="2">
        <v>750</v>
      </c>
      <c r="C217" s="60">
        <f t="shared" si="3"/>
        <v>-0.24071889048165987</v>
      </c>
    </row>
    <row r="218" spans="1:3" x14ac:dyDescent="0.25">
      <c r="A218" s="41">
        <v>45143</v>
      </c>
      <c r="B218" s="2">
        <v>800</v>
      </c>
      <c r="C218" s="60">
        <f t="shared" si="3"/>
        <v>-0.2026996801719213</v>
      </c>
    </row>
    <row r="219" spans="1:3" x14ac:dyDescent="0.25">
      <c r="A219" s="41">
        <v>45144</v>
      </c>
      <c r="B219" s="2">
        <v>850</v>
      </c>
      <c r="C219" s="60">
        <f t="shared" si="3"/>
        <v>-0.16468046986218274</v>
      </c>
    </row>
    <row r="220" spans="1:3" x14ac:dyDescent="0.25">
      <c r="A220" s="41">
        <v>45145</v>
      </c>
      <c r="B220" s="2">
        <v>900</v>
      </c>
      <c r="C220" s="60">
        <f t="shared" si="3"/>
        <v>-0.12666125955244414</v>
      </c>
    </row>
    <row r="221" spans="1:3" x14ac:dyDescent="0.25">
      <c r="A221" s="41">
        <v>45146</v>
      </c>
      <c r="B221" s="2">
        <v>950</v>
      </c>
      <c r="C221" s="60">
        <f t="shared" si="3"/>
        <v>-8.8642049242705578E-2</v>
      </c>
    </row>
    <row r="222" spans="1:3" x14ac:dyDescent="0.25">
      <c r="A222" s="41">
        <v>45147</v>
      </c>
      <c r="B222" s="2">
        <v>500</v>
      </c>
      <c r="C222" s="60">
        <f t="shared" si="3"/>
        <v>-0.43081494203035275</v>
      </c>
    </row>
    <row r="223" spans="1:3" x14ac:dyDescent="0.25">
      <c r="A223" s="41">
        <v>45148</v>
      </c>
      <c r="B223" s="2">
        <v>550</v>
      </c>
      <c r="C223" s="60">
        <f t="shared" si="3"/>
        <v>-0.39279573172061416</v>
      </c>
    </row>
    <row r="224" spans="1:3" x14ac:dyDescent="0.25">
      <c r="A224" s="41">
        <v>45149</v>
      </c>
      <c r="B224" s="2">
        <v>600</v>
      </c>
      <c r="C224" s="60">
        <f t="shared" si="3"/>
        <v>-0.35477652141087562</v>
      </c>
    </row>
    <row r="225" spans="1:3" x14ac:dyDescent="0.25">
      <c r="A225" s="41">
        <v>45150</v>
      </c>
      <c r="B225" s="2">
        <v>650</v>
      </c>
      <c r="C225" s="60">
        <f t="shared" si="3"/>
        <v>-0.31675731110113703</v>
      </c>
    </row>
    <row r="226" spans="1:3" x14ac:dyDescent="0.25">
      <c r="A226" s="41">
        <v>45151</v>
      </c>
      <c r="B226" s="2">
        <v>700</v>
      </c>
      <c r="C226" s="60">
        <f t="shared" si="3"/>
        <v>-0.27873810079139844</v>
      </c>
    </row>
    <row r="227" spans="1:3" x14ac:dyDescent="0.25">
      <c r="A227" s="41">
        <v>45152</v>
      </c>
      <c r="B227" s="2">
        <v>750</v>
      </c>
      <c r="C227" s="60">
        <f t="shared" si="3"/>
        <v>-0.24071889048165987</v>
      </c>
    </row>
    <row r="228" spans="1:3" x14ac:dyDescent="0.25">
      <c r="A228" s="41">
        <v>45153</v>
      </c>
      <c r="B228" s="2">
        <v>800</v>
      </c>
      <c r="C228" s="60">
        <f t="shared" si="3"/>
        <v>-0.2026996801719213</v>
      </c>
    </row>
    <row r="229" spans="1:3" x14ac:dyDescent="0.25">
      <c r="A229" s="41">
        <v>45154</v>
      </c>
      <c r="B229" s="2">
        <v>850</v>
      </c>
      <c r="C229" s="60">
        <f t="shared" si="3"/>
        <v>-0.16468046986218274</v>
      </c>
    </row>
    <row r="230" spans="1:3" x14ac:dyDescent="0.25">
      <c r="A230" s="41">
        <v>45155</v>
      </c>
      <c r="B230" s="2">
        <v>900</v>
      </c>
      <c r="C230" s="60">
        <f t="shared" si="3"/>
        <v>-0.12666125955244414</v>
      </c>
    </row>
    <row r="231" spans="1:3" x14ac:dyDescent="0.25">
      <c r="A231" s="41">
        <v>45156</v>
      </c>
      <c r="B231" s="2">
        <v>950</v>
      </c>
      <c r="C231" s="60">
        <f t="shared" si="3"/>
        <v>-8.8642049242705578E-2</v>
      </c>
    </row>
    <row r="232" spans="1:3" x14ac:dyDescent="0.25">
      <c r="A232" s="41">
        <v>45157</v>
      </c>
      <c r="B232" s="2">
        <v>500</v>
      </c>
      <c r="C232" s="60">
        <f t="shared" si="3"/>
        <v>-0.43081494203035275</v>
      </c>
    </row>
    <row r="233" spans="1:3" x14ac:dyDescent="0.25">
      <c r="A233" s="41">
        <v>45158</v>
      </c>
      <c r="B233" s="2">
        <v>550</v>
      </c>
      <c r="C233" s="60">
        <f t="shared" si="3"/>
        <v>-0.39279573172061416</v>
      </c>
    </row>
    <row r="234" spans="1:3" x14ac:dyDescent="0.25">
      <c r="A234" s="41">
        <v>45159</v>
      </c>
      <c r="B234" s="2">
        <v>600</v>
      </c>
      <c r="C234" s="60">
        <f t="shared" si="3"/>
        <v>-0.35477652141087562</v>
      </c>
    </row>
    <row r="235" spans="1:3" x14ac:dyDescent="0.25">
      <c r="A235" s="41">
        <v>45160</v>
      </c>
      <c r="B235" s="2">
        <v>650</v>
      </c>
      <c r="C235" s="60">
        <f t="shared" si="3"/>
        <v>-0.31675731110113703</v>
      </c>
    </row>
    <row r="236" spans="1:3" x14ac:dyDescent="0.25">
      <c r="A236" s="41">
        <v>45161</v>
      </c>
      <c r="B236" s="2">
        <v>700</v>
      </c>
      <c r="C236" s="60">
        <f t="shared" si="3"/>
        <v>-0.27873810079139844</v>
      </c>
    </row>
    <row r="237" spans="1:3" x14ac:dyDescent="0.25">
      <c r="A237" s="41">
        <v>45162</v>
      </c>
      <c r="B237" s="2">
        <v>750</v>
      </c>
      <c r="C237" s="60">
        <f t="shared" si="3"/>
        <v>-0.24071889048165987</v>
      </c>
    </row>
    <row r="238" spans="1:3" x14ac:dyDescent="0.25">
      <c r="A238" s="41">
        <v>45163</v>
      </c>
      <c r="B238" s="2">
        <v>800</v>
      </c>
      <c r="C238" s="60">
        <f t="shared" si="3"/>
        <v>-0.2026996801719213</v>
      </c>
    </row>
    <row r="239" spans="1:3" x14ac:dyDescent="0.25">
      <c r="A239" s="41">
        <v>45164</v>
      </c>
      <c r="B239" s="2">
        <v>850</v>
      </c>
      <c r="C239" s="60">
        <f t="shared" si="3"/>
        <v>-0.16468046986218274</v>
      </c>
    </row>
    <row r="240" spans="1:3" x14ac:dyDescent="0.25">
      <c r="A240" s="41">
        <v>45165</v>
      </c>
      <c r="B240" s="2">
        <v>900</v>
      </c>
      <c r="C240" s="60">
        <f t="shared" si="3"/>
        <v>-0.12666125955244414</v>
      </c>
    </row>
    <row r="241" spans="1:3" x14ac:dyDescent="0.25">
      <c r="A241" s="41">
        <v>45166</v>
      </c>
      <c r="B241" s="2">
        <v>950</v>
      </c>
      <c r="C241" s="60">
        <f t="shared" si="3"/>
        <v>-8.8642049242705578E-2</v>
      </c>
    </row>
    <row r="242" spans="1:3" x14ac:dyDescent="0.25">
      <c r="A242" s="41">
        <v>45167</v>
      </c>
      <c r="B242" s="2">
        <v>500</v>
      </c>
      <c r="C242" s="60">
        <f t="shared" si="3"/>
        <v>-0.43081494203035275</v>
      </c>
    </row>
    <row r="243" spans="1:3" x14ac:dyDescent="0.25">
      <c r="A243" s="41">
        <v>45168</v>
      </c>
      <c r="B243" s="2">
        <v>550</v>
      </c>
      <c r="C243" s="60">
        <f t="shared" si="3"/>
        <v>-0.39279573172061416</v>
      </c>
    </row>
    <row r="244" spans="1:3" x14ac:dyDescent="0.25">
      <c r="A244" s="41">
        <v>45169</v>
      </c>
      <c r="B244" s="2">
        <v>600</v>
      </c>
      <c r="C244" s="60">
        <f t="shared" si="3"/>
        <v>-0.35477652141087562</v>
      </c>
    </row>
    <row r="245" spans="1:3" x14ac:dyDescent="0.25">
      <c r="A245" s="41">
        <v>45170</v>
      </c>
      <c r="B245" s="2">
        <v>650</v>
      </c>
      <c r="C245" s="60">
        <f t="shared" si="3"/>
        <v>-0.31675731110113703</v>
      </c>
    </row>
    <row r="246" spans="1:3" x14ac:dyDescent="0.25">
      <c r="A246" s="41">
        <v>45171</v>
      </c>
      <c r="B246" s="2">
        <v>700</v>
      </c>
      <c r="C246" s="60">
        <f t="shared" si="3"/>
        <v>-0.27873810079139844</v>
      </c>
    </row>
    <row r="247" spans="1:3" x14ac:dyDescent="0.25">
      <c r="A247" s="41">
        <v>45172</v>
      </c>
      <c r="B247" s="2">
        <v>750</v>
      </c>
      <c r="C247" s="60">
        <f t="shared" si="3"/>
        <v>-0.24071889048165987</v>
      </c>
    </row>
    <row r="248" spans="1:3" x14ac:dyDescent="0.25">
      <c r="A248" s="41">
        <v>45173</v>
      </c>
      <c r="B248" s="2">
        <v>800</v>
      </c>
      <c r="C248" s="60">
        <f t="shared" si="3"/>
        <v>-0.2026996801719213</v>
      </c>
    </row>
    <row r="249" spans="1:3" x14ac:dyDescent="0.25">
      <c r="A249" s="41">
        <v>45174</v>
      </c>
      <c r="B249" s="2">
        <v>850</v>
      </c>
      <c r="C249" s="60">
        <f t="shared" si="3"/>
        <v>-0.16468046986218274</v>
      </c>
    </row>
    <row r="250" spans="1:3" x14ac:dyDescent="0.25">
      <c r="A250" s="41">
        <v>45175</v>
      </c>
      <c r="B250" s="2">
        <v>900</v>
      </c>
      <c r="C250" s="60">
        <f t="shared" si="3"/>
        <v>-0.12666125955244414</v>
      </c>
    </row>
    <row r="251" spans="1:3" x14ac:dyDescent="0.25">
      <c r="A251" s="41">
        <v>45176</v>
      </c>
      <c r="B251" s="2">
        <v>950</v>
      </c>
      <c r="C251" s="60">
        <f t="shared" si="3"/>
        <v>-8.8642049242705578E-2</v>
      </c>
    </row>
    <row r="252" spans="1:3" x14ac:dyDescent="0.25">
      <c r="A252" s="41">
        <v>45177</v>
      </c>
      <c r="B252" s="2">
        <v>500</v>
      </c>
      <c r="C252" s="60">
        <f t="shared" si="3"/>
        <v>-0.43081494203035275</v>
      </c>
    </row>
    <row r="253" spans="1:3" x14ac:dyDescent="0.25">
      <c r="A253" s="41">
        <v>45178</v>
      </c>
      <c r="B253" s="2">
        <v>550</v>
      </c>
      <c r="C253" s="60">
        <f t="shared" si="3"/>
        <v>-0.39279573172061416</v>
      </c>
    </row>
    <row r="254" spans="1:3" x14ac:dyDescent="0.25">
      <c r="A254" s="41">
        <v>45179</v>
      </c>
      <c r="B254" s="2">
        <v>600</v>
      </c>
      <c r="C254" s="60">
        <f t="shared" si="3"/>
        <v>-0.35477652141087562</v>
      </c>
    </row>
    <row r="255" spans="1:3" x14ac:dyDescent="0.25">
      <c r="A255" s="41">
        <v>45180</v>
      </c>
      <c r="B255" s="2">
        <v>650</v>
      </c>
      <c r="C255" s="60">
        <f t="shared" si="3"/>
        <v>-0.31675731110113703</v>
      </c>
    </row>
    <row r="256" spans="1:3" x14ac:dyDescent="0.25">
      <c r="A256" s="41">
        <v>45181</v>
      </c>
      <c r="B256" s="2">
        <v>700</v>
      </c>
      <c r="C256" s="60">
        <f t="shared" si="3"/>
        <v>-0.27873810079139844</v>
      </c>
    </row>
    <row r="257" spans="1:3" x14ac:dyDescent="0.25">
      <c r="A257" s="41">
        <v>45182</v>
      </c>
      <c r="B257" s="2">
        <v>750</v>
      </c>
      <c r="C257" s="60">
        <f t="shared" si="3"/>
        <v>-0.24071889048165987</v>
      </c>
    </row>
    <row r="258" spans="1:3" x14ac:dyDescent="0.25">
      <c r="A258" s="41">
        <v>45183</v>
      </c>
      <c r="B258" s="2">
        <v>800</v>
      </c>
      <c r="C258" s="60">
        <f t="shared" si="3"/>
        <v>-0.2026996801719213</v>
      </c>
    </row>
    <row r="259" spans="1:3" x14ac:dyDescent="0.25">
      <c r="A259" s="41">
        <v>45184</v>
      </c>
      <c r="B259" s="2">
        <v>850</v>
      </c>
      <c r="C259" s="60">
        <f t="shared" ref="C259:C322" si="4">(B259-$P$4)/$P$8</f>
        <v>-0.16468046986218274</v>
      </c>
    </row>
    <row r="260" spans="1:3" x14ac:dyDescent="0.25">
      <c r="A260" s="41">
        <v>45185</v>
      </c>
      <c r="B260" s="2">
        <v>900</v>
      </c>
      <c r="C260" s="60">
        <f t="shared" si="4"/>
        <v>-0.12666125955244414</v>
      </c>
    </row>
    <row r="261" spans="1:3" x14ac:dyDescent="0.25">
      <c r="A261" s="41">
        <v>45186</v>
      </c>
      <c r="B261" s="2">
        <v>950</v>
      </c>
      <c r="C261" s="60">
        <f t="shared" si="4"/>
        <v>-8.8642049242705578E-2</v>
      </c>
    </row>
    <row r="262" spans="1:3" x14ac:dyDescent="0.25">
      <c r="A262" s="41">
        <v>45187</v>
      </c>
      <c r="B262" s="2">
        <v>500</v>
      </c>
      <c r="C262" s="60">
        <f t="shared" si="4"/>
        <v>-0.43081494203035275</v>
      </c>
    </row>
    <row r="263" spans="1:3" x14ac:dyDescent="0.25">
      <c r="A263" s="41">
        <v>45188</v>
      </c>
      <c r="B263" s="2">
        <v>550</v>
      </c>
      <c r="C263" s="60">
        <f t="shared" si="4"/>
        <v>-0.39279573172061416</v>
      </c>
    </row>
    <row r="264" spans="1:3" x14ac:dyDescent="0.25">
      <c r="A264" s="41">
        <v>45189</v>
      </c>
      <c r="B264" s="2">
        <v>600</v>
      </c>
      <c r="C264" s="60">
        <f t="shared" si="4"/>
        <v>-0.35477652141087562</v>
      </c>
    </row>
    <row r="265" spans="1:3" x14ac:dyDescent="0.25">
      <c r="A265" s="41">
        <v>45190</v>
      </c>
      <c r="B265" s="2">
        <v>650</v>
      </c>
      <c r="C265" s="60">
        <f t="shared" si="4"/>
        <v>-0.31675731110113703</v>
      </c>
    </row>
    <row r="266" spans="1:3" x14ac:dyDescent="0.25">
      <c r="A266" s="41">
        <v>45191</v>
      </c>
      <c r="B266" s="2">
        <v>700</v>
      </c>
      <c r="C266" s="60">
        <f t="shared" si="4"/>
        <v>-0.27873810079139844</v>
      </c>
    </row>
    <row r="267" spans="1:3" x14ac:dyDescent="0.25">
      <c r="A267" s="41">
        <v>45192</v>
      </c>
      <c r="B267" s="2">
        <v>750</v>
      </c>
      <c r="C267" s="60">
        <f t="shared" si="4"/>
        <v>-0.24071889048165987</v>
      </c>
    </row>
    <row r="268" spans="1:3" x14ac:dyDescent="0.25">
      <c r="A268" s="41">
        <v>45193</v>
      </c>
      <c r="B268" s="2">
        <v>800</v>
      </c>
      <c r="C268" s="60">
        <f t="shared" si="4"/>
        <v>-0.2026996801719213</v>
      </c>
    </row>
    <row r="269" spans="1:3" x14ac:dyDescent="0.25">
      <c r="A269" s="41">
        <v>45194</v>
      </c>
      <c r="B269" s="2">
        <v>850</v>
      </c>
      <c r="C269" s="60">
        <f t="shared" si="4"/>
        <v>-0.16468046986218274</v>
      </c>
    </row>
    <row r="270" spans="1:3" x14ac:dyDescent="0.25">
      <c r="A270" s="41">
        <v>45195</v>
      </c>
      <c r="B270" s="2">
        <v>900</v>
      </c>
      <c r="C270" s="60">
        <f t="shared" si="4"/>
        <v>-0.12666125955244414</v>
      </c>
    </row>
    <row r="271" spans="1:3" x14ac:dyDescent="0.25">
      <c r="A271" s="41">
        <v>45196</v>
      </c>
      <c r="B271" s="2">
        <v>950</v>
      </c>
      <c r="C271" s="60">
        <f t="shared" si="4"/>
        <v>-8.8642049242705578E-2</v>
      </c>
    </row>
    <row r="272" spans="1:3" x14ac:dyDescent="0.25">
      <c r="A272" s="41">
        <v>45197</v>
      </c>
      <c r="B272" s="2">
        <v>500</v>
      </c>
      <c r="C272" s="60">
        <f t="shared" si="4"/>
        <v>-0.43081494203035275</v>
      </c>
    </row>
    <row r="273" spans="1:3" x14ac:dyDescent="0.25">
      <c r="A273" s="41">
        <v>45198</v>
      </c>
      <c r="B273" s="2">
        <v>550</v>
      </c>
      <c r="C273" s="60">
        <f t="shared" si="4"/>
        <v>-0.39279573172061416</v>
      </c>
    </row>
    <row r="274" spans="1:3" x14ac:dyDescent="0.25">
      <c r="A274" s="41">
        <v>45199</v>
      </c>
      <c r="B274" s="2">
        <v>600</v>
      </c>
      <c r="C274" s="60">
        <f t="shared" si="4"/>
        <v>-0.35477652141087562</v>
      </c>
    </row>
    <row r="275" spans="1:3" x14ac:dyDescent="0.25">
      <c r="A275" s="41">
        <v>45200</v>
      </c>
      <c r="B275" s="2">
        <v>650</v>
      </c>
      <c r="C275" s="60">
        <f t="shared" si="4"/>
        <v>-0.31675731110113703</v>
      </c>
    </row>
    <row r="276" spans="1:3" x14ac:dyDescent="0.25">
      <c r="A276" s="41">
        <v>45201</v>
      </c>
      <c r="B276" s="2">
        <v>700</v>
      </c>
      <c r="C276" s="60">
        <f t="shared" si="4"/>
        <v>-0.27873810079139844</v>
      </c>
    </row>
    <row r="277" spans="1:3" x14ac:dyDescent="0.25">
      <c r="A277" s="41">
        <v>45202</v>
      </c>
      <c r="B277" s="2">
        <v>750</v>
      </c>
      <c r="C277" s="60">
        <f t="shared" si="4"/>
        <v>-0.24071889048165987</v>
      </c>
    </row>
    <row r="278" spans="1:3" x14ac:dyDescent="0.25">
      <c r="A278" s="41">
        <v>45203</v>
      </c>
      <c r="B278" s="2">
        <v>800</v>
      </c>
      <c r="C278" s="60">
        <f t="shared" si="4"/>
        <v>-0.2026996801719213</v>
      </c>
    </row>
    <row r="279" spans="1:3" x14ac:dyDescent="0.25">
      <c r="A279" s="41">
        <v>45204</v>
      </c>
      <c r="B279" s="2">
        <v>850</v>
      </c>
      <c r="C279" s="60">
        <f t="shared" si="4"/>
        <v>-0.16468046986218274</v>
      </c>
    </row>
    <row r="280" spans="1:3" x14ac:dyDescent="0.25">
      <c r="A280" s="41">
        <v>45205</v>
      </c>
      <c r="B280" s="2">
        <v>900</v>
      </c>
      <c r="C280" s="60">
        <f t="shared" si="4"/>
        <v>-0.12666125955244414</v>
      </c>
    </row>
    <row r="281" spans="1:3" x14ac:dyDescent="0.25">
      <c r="A281" s="41">
        <v>45206</v>
      </c>
      <c r="B281" s="2">
        <v>950</v>
      </c>
      <c r="C281" s="60">
        <f t="shared" si="4"/>
        <v>-8.8642049242705578E-2</v>
      </c>
    </row>
    <row r="282" spans="1:3" x14ac:dyDescent="0.25">
      <c r="A282" s="41">
        <v>45207</v>
      </c>
      <c r="B282" s="2">
        <v>500</v>
      </c>
      <c r="C282" s="60">
        <f t="shared" si="4"/>
        <v>-0.43081494203035275</v>
      </c>
    </row>
    <row r="283" spans="1:3" x14ac:dyDescent="0.25">
      <c r="A283" s="41">
        <v>45208</v>
      </c>
      <c r="B283" s="2">
        <v>550</v>
      </c>
      <c r="C283" s="60">
        <f t="shared" si="4"/>
        <v>-0.39279573172061416</v>
      </c>
    </row>
    <row r="284" spans="1:3" x14ac:dyDescent="0.25">
      <c r="A284" s="41">
        <v>45209</v>
      </c>
      <c r="B284" s="2">
        <v>600</v>
      </c>
      <c r="C284" s="60">
        <f t="shared" si="4"/>
        <v>-0.35477652141087562</v>
      </c>
    </row>
    <row r="285" spans="1:3" x14ac:dyDescent="0.25">
      <c r="A285" s="41">
        <v>45210</v>
      </c>
      <c r="B285" s="2">
        <v>650</v>
      </c>
      <c r="C285" s="60">
        <f t="shared" si="4"/>
        <v>-0.31675731110113703</v>
      </c>
    </row>
    <row r="286" spans="1:3" x14ac:dyDescent="0.25">
      <c r="A286" s="41">
        <v>45211</v>
      </c>
      <c r="B286" s="2">
        <v>700</v>
      </c>
      <c r="C286" s="60">
        <f t="shared" si="4"/>
        <v>-0.27873810079139844</v>
      </c>
    </row>
    <row r="287" spans="1:3" x14ac:dyDescent="0.25">
      <c r="A287" s="41">
        <v>45212</v>
      </c>
      <c r="B287" s="2">
        <v>750</v>
      </c>
      <c r="C287" s="60">
        <f t="shared" si="4"/>
        <v>-0.24071889048165987</v>
      </c>
    </row>
    <row r="288" spans="1:3" x14ac:dyDescent="0.25">
      <c r="A288" s="41">
        <v>45213</v>
      </c>
      <c r="B288" s="2">
        <v>800</v>
      </c>
      <c r="C288" s="60">
        <f t="shared" si="4"/>
        <v>-0.2026996801719213</v>
      </c>
    </row>
    <row r="289" spans="1:3" x14ac:dyDescent="0.25">
      <c r="A289" s="41">
        <v>45214</v>
      </c>
      <c r="B289" s="2">
        <v>850</v>
      </c>
      <c r="C289" s="60">
        <f t="shared" si="4"/>
        <v>-0.16468046986218274</v>
      </c>
    </row>
    <row r="290" spans="1:3" x14ac:dyDescent="0.25">
      <c r="A290" s="41">
        <v>45215</v>
      </c>
      <c r="B290" s="2">
        <v>900</v>
      </c>
      <c r="C290" s="60">
        <f t="shared" si="4"/>
        <v>-0.12666125955244414</v>
      </c>
    </row>
    <row r="291" spans="1:3" x14ac:dyDescent="0.25">
      <c r="A291" s="41">
        <v>45216</v>
      </c>
      <c r="B291" s="2">
        <v>950</v>
      </c>
      <c r="C291" s="60">
        <f t="shared" si="4"/>
        <v>-8.8642049242705578E-2</v>
      </c>
    </row>
    <row r="292" spans="1:3" x14ac:dyDescent="0.25">
      <c r="A292" s="41">
        <v>45217</v>
      </c>
      <c r="B292" s="2">
        <v>500</v>
      </c>
      <c r="C292" s="60">
        <f t="shared" si="4"/>
        <v>-0.43081494203035275</v>
      </c>
    </row>
    <row r="293" spans="1:3" x14ac:dyDescent="0.25">
      <c r="A293" s="41">
        <v>45218</v>
      </c>
      <c r="B293" s="2">
        <v>550</v>
      </c>
      <c r="C293" s="60">
        <f t="shared" si="4"/>
        <v>-0.39279573172061416</v>
      </c>
    </row>
    <row r="294" spans="1:3" x14ac:dyDescent="0.25">
      <c r="A294" s="41">
        <v>45219</v>
      </c>
      <c r="B294" s="2">
        <v>600</v>
      </c>
      <c r="C294" s="60">
        <f t="shared" si="4"/>
        <v>-0.35477652141087562</v>
      </c>
    </row>
    <row r="295" spans="1:3" x14ac:dyDescent="0.25">
      <c r="A295" s="41">
        <v>45220</v>
      </c>
      <c r="B295" s="2">
        <v>650</v>
      </c>
      <c r="C295" s="60">
        <f t="shared" si="4"/>
        <v>-0.31675731110113703</v>
      </c>
    </row>
    <row r="296" spans="1:3" x14ac:dyDescent="0.25">
      <c r="A296" s="41">
        <v>45221</v>
      </c>
      <c r="B296" s="2">
        <v>700</v>
      </c>
      <c r="C296" s="60">
        <f t="shared" si="4"/>
        <v>-0.27873810079139844</v>
      </c>
    </row>
    <row r="297" spans="1:3" x14ac:dyDescent="0.25">
      <c r="A297" s="41">
        <v>45222</v>
      </c>
      <c r="B297" s="2">
        <v>750</v>
      </c>
      <c r="C297" s="60">
        <f t="shared" si="4"/>
        <v>-0.24071889048165987</v>
      </c>
    </row>
    <row r="298" spans="1:3" x14ac:dyDescent="0.25">
      <c r="A298" s="41">
        <v>45223</v>
      </c>
      <c r="B298" s="2">
        <v>800</v>
      </c>
      <c r="C298" s="60">
        <f t="shared" si="4"/>
        <v>-0.2026996801719213</v>
      </c>
    </row>
    <row r="299" spans="1:3" x14ac:dyDescent="0.25">
      <c r="A299" s="41">
        <v>45224</v>
      </c>
      <c r="B299" s="2">
        <v>850</v>
      </c>
      <c r="C299" s="60">
        <f t="shared" si="4"/>
        <v>-0.16468046986218274</v>
      </c>
    </row>
    <row r="300" spans="1:3" x14ac:dyDescent="0.25">
      <c r="A300" s="41">
        <v>45225</v>
      </c>
      <c r="B300" s="2">
        <v>900</v>
      </c>
      <c r="C300" s="60">
        <f t="shared" si="4"/>
        <v>-0.12666125955244414</v>
      </c>
    </row>
    <row r="301" spans="1:3" x14ac:dyDescent="0.25">
      <c r="A301" s="41">
        <v>45226</v>
      </c>
      <c r="B301" s="2">
        <v>950</v>
      </c>
      <c r="C301" s="60">
        <f t="shared" si="4"/>
        <v>-8.8642049242705578E-2</v>
      </c>
    </row>
    <row r="302" spans="1:3" x14ac:dyDescent="0.25">
      <c r="A302" s="41">
        <v>45227</v>
      </c>
      <c r="B302" s="2">
        <v>1000</v>
      </c>
      <c r="C302" s="60">
        <f t="shared" si="4"/>
        <v>-5.0622838932967013E-2</v>
      </c>
    </row>
    <row r="303" spans="1:3" x14ac:dyDescent="0.25">
      <c r="A303" s="41">
        <v>45228</v>
      </c>
      <c r="B303" s="2">
        <v>1100</v>
      </c>
      <c r="C303" s="60">
        <f t="shared" si="4"/>
        <v>2.541558168651014E-2</v>
      </c>
    </row>
    <row r="304" spans="1:3" x14ac:dyDescent="0.25">
      <c r="A304" s="41">
        <v>45229</v>
      </c>
      <c r="B304" s="2">
        <v>1200</v>
      </c>
      <c r="C304" s="60">
        <f t="shared" si="4"/>
        <v>0.10145400230598729</v>
      </c>
    </row>
    <row r="305" spans="1:3" x14ac:dyDescent="0.25">
      <c r="A305" s="41">
        <v>45230</v>
      </c>
      <c r="B305" s="2">
        <v>1300</v>
      </c>
      <c r="C305" s="60">
        <f t="shared" si="4"/>
        <v>0.17749242292546444</v>
      </c>
    </row>
    <row r="306" spans="1:3" x14ac:dyDescent="0.25">
      <c r="A306" s="41">
        <v>45231</v>
      </c>
      <c r="B306" s="2">
        <v>1400</v>
      </c>
      <c r="C306" s="60">
        <f t="shared" si="4"/>
        <v>0.2535308435449416</v>
      </c>
    </row>
    <row r="307" spans="1:3" x14ac:dyDescent="0.25">
      <c r="A307" s="41">
        <v>45232</v>
      </c>
      <c r="B307" s="2">
        <v>1500</v>
      </c>
      <c r="C307" s="60">
        <f t="shared" si="4"/>
        <v>0.32956926416441873</v>
      </c>
    </row>
    <row r="308" spans="1:3" x14ac:dyDescent="0.25">
      <c r="A308" s="41">
        <v>45233</v>
      </c>
      <c r="B308" s="2">
        <v>1600</v>
      </c>
      <c r="C308" s="60">
        <f t="shared" si="4"/>
        <v>0.40560768478389586</v>
      </c>
    </row>
    <row r="309" spans="1:3" x14ac:dyDescent="0.25">
      <c r="A309" s="41">
        <v>45234</v>
      </c>
      <c r="B309" s="2">
        <v>1700</v>
      </c>
      <c r="C309" s="60">
        <f t="shared" si="4"/>
        <v>0.48164610540337305</v>
      </c>
    </row>
    <row r="310" spans="1:3" x14ac:dyDescent="0.25">
      <c r="A310" s="41">
        <v>45235</v>
      </c>
      <c r="B310" s="2">
        <v>1800</v>
      </c>
      <c r="C310" s="60">
        <f t="shared" si="4"/>
        <v>0.55768452602285024</v>
      </c>
    </row>
    <row r="311" spans="1:3" x14ac:dyDescent="0.25">
      <c r="A311" s="41">
        <v>45236</v>
      </c>
      <c r="B311" s="2">
        <v>1900</v>
      </c>
      <c r="C311" s="60">
        <f t="shared" si="4"/>
        <v>0.63372294664232731</v>
      </c>
    </row>
    <row r="312" spans="1:3" x14ac:dyDescent="0.25">
      <c r="A312" s="41">
        <v>45237</v>
      </c>
      <c r="B312" s="2">
        <v>1000</v>
      </c>
      <c r="C312" s="60">
        <f t="shared" si="4"/>
        <v>-5.0622838932967013E-2</v>
      </c>
    </row>
    <row r="313" spans="1:3" x14ac:dyDescent="0.25">
      <c r="A313" s="41">
        <v>45238</v>
      </c>
      <c r="B313" s="2">
        <v>1100</v>
      </c>
      <c r="C313" s="60">
        <f t="shared" si="4"/>
        <v>2.541558168651014E-2</v>
      </c>
    </row>
    <row r="314" spans="1:3" x14ac:dyDescent="0.25">
      <c r="A314" s="41">
        <v>45239</v>
      </c>
      <c r="B314" s="2">
        <v>1200</v>
      </c>
      <c r="C314" s="60">
        <f t="shared" si="4"/>
        <v>0.10145400230598729</v>
      </c>
    </row>
    <row r="315" spans="1:3" x14ac:dyDescent="0.25">
      <c r="A315" s="41">
        <v>45240</v>
      </c>
      <c r="B315" s="2">
        <v>1300</v>
      </c>
      <c r="C315" s="60">
        <f t="shared" si="4"/>
        <v>0.17749242292546444</v>
      </c>
    </row>
    <row r="316" spans="1:3" x14ac:dyDescent="0.25">
      <c r="A316" s="41">
        <v>45241</v>
      </c>
      <c r="B316" s="2">
        <v>1400</v>
      </c>
      <c r="C316" s="60">
        <f t="shared" si="4"/>
        <v>0.2535308435449416</v>
      </c>
    </row>
    <row r="317" spans="1:3" x14ac:dyDescent="0.25">
      <c r="A317" s="41">
        <v>45242</v>
      </c>
      <c r="B317" s="2">
        <v>1500</v>
      </c>
      <c r="C317" s="60">
        <f t="shared" si="4"/>
        <v>0.32956926416441873</v>
      </c>
    </row>
    <row r="318" spans="1:3" x14ac:dyDescent="0.25">
      <c r="A318" s="41">
        <v>45243</v>
      </c>
      <c r="B318" s="2">
        <v>1600</v>
      </c>
      <c r="C318" s="60">
        <f t="shared" si="4"/>
        <v>0.40560768478389586</v>
      </c>
    </row>
    <row r="319" spans="1:3" x14ac:dyDescent="0.25">
      <c r="A319" s="41">
        <v>45244</v>
      </c>
      <c r="B319" s="2">
        <v>1700</v>
      </c>
      <c r="C319" s="60">
        <f t="shared" si="4"/>
        <v>0.48164610540337305</v>
      </c>
    </row>
    <row r="320" spans="1:3" x14ac:dyDescent="0.25">
      <c r="A320" s="41">
        <v>45245</v>
      </c>
      <c r="B320" s="2">
        <v>1800</v>
      </c>
      <c r="C320" s="60">
        <f t="shared" si="4"/>
        <v>0.55768452602285024</v>
      </c>
    </row>
    <row r="321" spans="1:3" x14ac:dyDescent="0.25">
      <c r="A321" s="41">
        <v>45246</v>
      </c>
      <c r="B321" s="2">
        <v>1900</v>
      </c>
      <c r="C321" s="60">
        <f t="shared" si="4"/>
        <v>0.63372294664232731</v>
      </c>
    </row>
    <row r="322" spans="1:3" x14ac:dyDescent="0.25">
      <c r="A322" s="41">
        <v>45247</v>
      </c>
      <c r="B322" s="2">
        <v>1000</v>
      </c>
      <c r="C322" s="60">
        <f t="shared" si="4"/>
        <v>-5.0622838932967013E-2</v>
      </c>
    </row>
    <row r="323" spans="1:3" x14ac:dyDescent="0.25">
      <c r="A323" s="41">
        <v>45248</v>
      </c>
      <c r="B323" s="2">
        <v>1100</v>
      </c>
      <c r="C323" s="60">
        <f t="shared" ref="C323:C366" si="5">(B323-$P$4)/$P$8</f>
        <v>2.541558168651014E-2</v>
      </c>
    </row>
    <row r="324" spans="1:3" x14ac:dyDescent="0.25">
      <c r="A324" s="41">
        <v>45249</v>
      </c>
      <c r="B324" s="2">
        <v>1200</v>
      </c>
      <c r="C324" s="60">
        <f t="shared" si="5"/>
        <v>0.10145400230598729</v>
      </c>
    </row>
    <row r="325" spans="1:3" x14ac:dyDescent="0.25">
      <c r="A325" s="41">
        <v>45250</v>
      </c>
      <c r="B325" s="2">
        <v>1300</v>
      </c>
      <c r="C325" s="60">
        <f t="shared" si="5"/>
        <v>0.17749242292546444</v>
      </c>
    </row>
    <row r="326" spans="1:3" x14ac:dyDescent="0.25">
      <c r="A326" s="41">
        <v>45251</v>
      </c>
      <c r="B326" s="2">
        <v>1400</v>
      </c>
      <c r="C326" s="60">
        <f t="shared" si="5"/>
        <v>0.2535308435449416</v>
      </c>
    </row>
    <row r="327" spans="1:3" x14ac:dyDescent="0.25">
      <c r="A327" s="41">
        <v>45252</v>
      </c>
      <c r="B327" s="2">
        <v>1500</v>
      </c>
      <c r="C327" s="60">
        <f t="shared" si="5"/>
        <v>0.32956926416441873</v>
      </c>
    </row>
    <row r="328" spans="1:3" x14ac:dyDescent="0.25">
      <c r="A328" s="41">
        <v>45253</v>
      </c>
      <c r="B328" s="2">
        <v>1600</v>
      </c>
      <c r="C328" s="60">
        <f t="shared" si="5"/>
        <v>0.40560768478389586</v>
      </c>
    </row>
    <row r="329" spans="1:3" x14ac:dyDescent="0.25">
      <c r="A329" s="41">
        <v>45254</v>
      </c>
      <c r="B329" s="2">
        <v>1700</v>
      </c>
      <c r="C329" s="60">
        <f t="shared" si="5"/>
        <v>0.48164610540337305</v>
      </c>
    </row>
    <row r="330" spans="1:3" x14ac:dyDescent="0.25">
      <c r="A330" s="41">
        <v>45255</v>
      </c>
      <c r="B330" s="2">
        <v>1800</v>
      </c>
      <c r="C330" s="60">
        <f t="shared" si="5"/>
        <v>0.55768452602285024</v>
      </c>
    </row>
    <row r="331" spans="1:3" x14ac:dyDescent="0.25">
      <c r="A331" s="41">
        <v>45256</v>
      </c>
      <c r="B331" s="2">
        <v>1900</v>
      </c>
      <c r="C331" s="60">
        <f t="shared" si="5"/>
        <v>0.63372294664232731</v>
      </c>
    </row>
    <row r="332" spans="1:3" x14ac:dyDescent="0.25">
      <c r="A332" s="41">
        <v>45257</v>
      </c>
      <c r="B332" s="2">
        <v>1000</v>
      </c>
      <c r="C332" s="60">
        <f t="shared" si="5"/>
        <v>-5.0622838932967013E-2</v>
      </c>
    </row>
    <row r="333" spans="1:3" x14ac:dyDescent="0.25">
      <c r="A333" s="41">
        <v>45258</v>
      </c>
      <c r="B333" s="2">
        <v>1100</v>
      </c>
      <c r="C333" s="60">
        <f t="shared" si="5"/>
        <v>2.541558168651014E-2</v>
      </c>
    </row>
    <row r="334" spans="1:3" x14ac:dyDescent="0.25">
      <c r="A334" s="41">
        <v>45259</v>
      </c>
      <c r="B334" s="2">
        <v>1200</v>
      </c>
      <c r="C334" s="60">
        <f t="shared" si="5"/>
        <v>0.10145400230598729</v>
      </c>
    </row>
    <row r="335" spans="1:3" x14ac:dyDescent="0.25">
      <c r="A335" s="41">
        <v>45260</v>
      </c>
      <c r="B335" s="2">
        <v>1300</v>
      </c>
      <c r="C335" s="60">
        <f t="shared" si="5"/>
        <v>0.17749242292546444</v>
      </c>
    </row>
    <row r="336" spans="1:3" x14ac:dyDescent="0.25">
      <c r="A336" s="41">
        <v>45261</v>
      </c>
      <c r="B336" s="2">
        <v>1400</v>
      </c>
      <c r="C336" s="60">
        <f t="shared" si="5"/>
        <v>0.2535308435449416</v>
      </c>
    </row>
    <row r="337" spans="1:3" x14ac:dyDescent="0.25">
      <c r="A337" s="41">
        <v>45262</v>
      </c>
      <c r="B337" s="2">
        <v>1500</v>
      </c>
      <c r="C337" s="60">
        <f t="shared" si="5"/>
        <v>0.32956926416441873</v>
      </c>
    </row>
    <row r="338" spans="1:3" x14ac:dyDescent="0.25">
      <c r="A338" s="41">
        <v>45263</v>
      </c>
      <c r="B338" s="2">
        <v>1600</v>
      </c>
      <c r="C338" s="60">
        <f t="shared" si="5"/>
        <v>0.40560768478389586</v>
      </c>
    </row>
    <row r="339" spans="1:3" x14ac:dyDescent="0.25">
      <c r="A339" s="41">
        <v>45264</v>
      </c>
      <c r="B339" s="2">
        <v>1700</v>
      </c>
      <c r="C339" s="60">
        <f t="shared" si="5"/>
        <v>0.48164610540337305</v>
      </c>
    </row>
    <row r="340" spans="1:3" x14ac:dyDescent="0.25">
      <c r="A340" s="41">
        <v>45265</v>
      </c>
      <c r="B340" s="2">
        <v>1800</v>
      </c>
      <c r="C340" s="60">
        <f t="shared" si="5"/>
        <v>0.55768452602285024</v>
      </c>
    </row>
    <row r="341" spans="1:3" x14ac:dyDescent="0.25">
      <c r="A341" s="41">
        <v>45266</v>
      </c>
      <c r="B341" s="2">
        <v>1900</v>
      </c>
      <c r="C341" s="60">
        <f t="shared" si="5"/>
        <v>0.63372294664232731</v>
      </c>
    </row>
    <row r="342" spans="1:3" x14ac:dyDescent="0.25">
      <c r="A342" s="41">
        <v>45267</v>
      </c>
      <c r="B342" s="2">
        <v>1000</v>
      </c>
      <c r="C342" s="60">
        <f t="shared" si="5"/>
        <v>-5.0622838932967013E-2</v>
      </c>
    </row>
    <row r="343" spans="1:3" x14ac:dyDescent="0.25">
      <c r="A343" s="41">
        <v>45268</v>
      </c>
      <c r="B343" s="2">
        <v>1100</v>
      </c>
      <c r="C343" s="60">
        <f t="shared" si="5"/>
        <v>2.541558168651014E-2</v>
      </c>
    </row>
    <row r="344" spans="1:3" x14ac:dyDescent="0.25">
      <c r="A344" s="41">
        <v>45269</v>
      </c>
      <c r="B344" s="2">
        <v>1200</v>
      </c>
      <c r="C344" s="60">
        <f t="shared" si="5"/>
        <v>0.10145400230598729</v>
      </c>
    </row>
    <row r="345" spans="1:3" x14ac:dyDescent="0.25">
      <c r="A345" s="41">
        <v>45270</v>
      </c>
      <c r="B345" s="2">
        <v>1300</v>
      </c>
      <c r="C345" s="60">
        <f t="shared" si="5"/>
        <v>0.17749242292546444</v>
      </c>
    </row>
    <row r="346" spans="1:3" x14ac:dyDescent="0.25">
      <c r="A346" s="41">
        <v>45271</v>
      </c>
      <c r="B346" s="2">
        <v>1400</v>
      </c>
      <c r="C346" s="60">
        <f t="shared" si="5"/>
        <v>0.2535308435449416</v>
      </c>
    </row>
    <row r="347" spans="1:3" x14ac:dyDescent="0.25">
      <c r="A347" s="41">
        <v>45272</v>
      </c>
      <c r="B347" s="2">
        <v>1500</v>
      </c>
      <c r="C347" s="60">
        <f t="shared" si="5"/>
        <v>0.32956926416441873</v>
      </c>
    </row>
    <row r="348" spans="1:3" x14ac:dyDescent="0.25">
      <c r="A348" s="41">
        <v>45273</v>
      </c>
      <c r="B348" s="2">
        <v>1600</v>
      </c>
      <c r="C348" s="60">
        <f t="shared" si="5"/>
        <v>0.40560768478389586</v>
      </c>
    </row>
    <row r="349" spans="1:3" x14ac:dyDescent="0.25">
      <c r="A349" s="41">
        <v>45274</v>
      </c>
      <c r="B349" s="2">
        <v>1700</v>
      </c>
      <c r="C349" s="60">
        <f t="shared" si="5"/>
        <v>0.48164610540337305</v>
      </c>
    </row>
    <row r="350" spans="1:3" x14ac:dyDescent="0.25">
      <c r="A350" s="41">
        <v>45275</v>
      </c>
      <c r="B350" s="2">
        <v>1800</v>
      </c>
      <c r="C350" s="60">
        <f t="shared" si="5"/>
        <v>0.55768452602285024</v>
      </c>
    </row>
    <row r="351" spans="1:3" x14ac:dyDescent="0.25">
      <c r="A351" s="41">
        <v>45276</v>
      </c>
      <c r="B351" s="2">
        <v>1900</v>
      </c>
      <c r="C351" s="60">
        <f t="shared" si="5"/>
        <v>0.63372294664232731</v>
      </c>
    </row>
    <row r="352" spans="1:3" x14ac:dyDescent="0.25">
      <c r="A352" s="41">
        <v>45277</v>
      </c>
      <c r="B352" s="2">
        <v>1000</v>
      </c>
      <c r="C352" s="60">
        <f t="shared" si="5"/>
        <v>-5.0622838932967013E-2</v>
      </c>
    </row>
    <row r="353" spans="1:3" x14ac:dyDescent="0.25">
      <c r="A353" s="41">
        <v>45278</v>
      </c>
      <c r="B353" s="2">
        <v>1100</v>
      </c>
      <c r="C353" s="60">
        <f t="shared" si="5"/>
        <v>2.541558168651014E-2</v>
      </c>
    </row>
    <row r="354" spans="1:3" x14ac:dyDescent="0.25">
      <c r="A354" s="41">
        <v>45279</v>
      </c>
      <c r="B354" s="2">
        <v>1200</v>
      </c>
      <c r="C354" s="60">
        <f t="shared" si="5"/>
        <v>0.10145400230598729</v>
      </c>
    </row>
    <row r="355" spans="1:3" x14ac:dyDescent="0.25">
      <c r="A355" s="41">
        <v>45280</v>
      </c>
      <c r="B355" s="2">
        <v>8000</v>
      </c>
      <c r="C355" s="60">
        <f t="shared" si="5"/>
        <v>5.2720666044304334</v>
      </c>
    </row>
    <row r="356" spans="1:3" x14ac:dyDescent="0.25">
      <c r="A356" s="41">
        <v>45281</v>
      </c>
      <c r="B356" s="2">
        <v>8000</v>
      </c>
      <c r="C356" s="60">
        <f t="shared" si="5"/>
        <v>5.2720666044304334</v>
      </c>
    </row>
    <row r="357" spans="1:3" x14ac:dyDescent="0.25">
      <c r="A357" s="41">
        <v>45282</v>
      </c>
      <c r="B357" s="2">
        <v>8000</v>
      </c>
      <c r="C357" s="60">
        <f t="shared" si="5"/>
        <v>5.2720666044304334</v>
      </c>
    </row>
    <row r="358" spans="1:3" x14ac:dyDescent="0.25">
      <c r="A358" s="41">
        <v>45283</v>
      </c>
      <c r="B358" s="2">
        <v>8000</v>
      </c>
      <c r="C358" s="60">
        <f t="shared" si="5"/>
        <v>5.2720666044304334</v>
      </c>
    </row>
    <row r="359" spans="1:3" x14ac:dyDescent="0.25">
      <c r="A359" s="41">
        <v>45284</v>
      </c>
      <c r="B359" s="2">
        <v>8000</v>
      </c>
      <c r="C359" s="60">
        <f t="shared" si="5"/>
        <v>5.2720666044304334</v>
      </c>
    </row>
    <row r="360" spans="1:3" x14ac:dyDescent="0.25">
      <c r="A360" s="41">
        <v>45285</v>
      </c>
      <c r="B360" s="2">
        <v>8000</v>
      </c>
      <c r="C360" s="60">
        <f t="shared" si="5"/>
        <v>5.2720666044304334</v>
      </c>
    </row>
    <row r="361" spans="1:3" x14ac:dyDescent="0.25">
      <c r="A361" s="41">
        <v>45286</v>
      </c>
      <c r="B361" s="2">
        <v>8000</v>
      </c>
      <c r="C361" s="60">
        <f t="shared" si="5"/>
        <v>5.2720666044304334</v>
      </c>
    </row>
    <row r="362" spans="1:3" x14ac:dyDescent="0.25">
      <c r="A362" s="41">
        <v>45287</v>
      </c>
      <c r="B362" s="2">
        <v>8000</v>
      </c>
      <c r="C362" s="60">
        <f t="shared" si="5"/>
        <v>5.2720666044304334</v>
      </c>
    </row>
    <row r="363" spans="1:3" x14ac:dyDescent="0.25">
      <c r="A363" s="41">
        <v>45288</v>
      </c>
      <c r="B363" s="2">
        <v>8000</v>
      </c>
      <c r="C363" s="60">
        <f t="shared" si="5"/>
        <v>5.2720666044304334</v>
      </c>
    </row>
    <row r="364" spans="1:3" x14ac:dyDescent="0.25">
      <c r="A364" s="41">
        <v>45289</v>
      </c>
      <c r="B364" s="2">
        <v>8000</v>
      </c>
      <c r="C364" s="60">
        <f t="shared" si="5"/>
        <v>5.2720666044304334</v>
      </c>
    </row>
    <row r="365" spans="1:3" x14ac:dyDescent="0.25">
      <c r="A365" s="41">
        <v>45290</v>
      </c>
      <c r="B365" s="2">
        <v>8000</v>
      </c>
      <c r="C365" s="60">
        <f t="shared" si="5"/>
        <v>5.2720666044304334</v>
      </c>
    </row>
    <row r="366" spans="1:3" x14ac:dyDescent="0.25">
      <c r="A366" s="41">
        <v>45291</v>
      </c>
      <c r="B366" s="2">
        <v>8000</v>
      </c>
      <c r="C366" s="60">
        <f t="shared" si="5"/>
        <v>5.2720666044304334</v>
      </c>
    </row>
  </sheetData>
  <sortState xmlns:xlrd2="http://schemas.microsoft.com/office/spreadsheetml/2017/richdata2" ref="I5:I12">
    <sortCondition ref="I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25EF-BAE9-4B93-B88A-CAB803C7A7DC}">
  <dimension ref="A1:G28"/>
  <sheetViews>
    <sheetView showGridLines="0" workbookViewId="0">
      <selection activeCell="K20" sqref="K20"/>
    </sheetView>
  </sheetViews>
  <sheetFormatPr defaultRowHeight="15" x14ac:dyDescent="0.25"/>
  <cols>
    <col min="1" max="1" width="2.28515625" customWidth="1"/>
    <col min="2" max="2" width="5" bestFit="1" customWidth="1"/>
    <col min="3" max="3" width="20.28515625" bestFit="1" customWidth="1"/>
    <col min="4" max="4" width="13.7109375" bestFit="1" customWidth="1"/>
    <col min="5" max="5" width="11.28515625" bestFit="1" customWidth="1"/>
    <col min="6" max="6" width="7.7109375" bestFit="1" customWidth="1"/>
    <col min="7" max="7" width="5.42578125" bestFit="1" customWidth="1"/>
  </cols>
  <sheetData>
    <row r="1" spans="1:5" x14ac:dyDescent="0.25">
      <c r="A1" s="14" t="s">
        <v>37</v>
      </c>
    </row>
    <row r="2" spans="1:5" x14ac:dyDescent="0.25">
      <c r="A2" s="14" t="s">
        <v>38</v>
      </c>
    </row>
    <row r="3" spans="1:5" x14ac:dyDescent="0.25">
      <c r="A3" s="14" t="s">
        <v>39</v>
      </c>
    </row>
    <row r="4" spans="1:5" x14ac:dyDescent="0.25">
      <c r="A4" s="14" t="s">
        <v>40</v>
      </c>
    </row>
    <row r="5" spans="1:5" x14ac:dyDescent="0.25">
      <c r="A5" s="14" t="s">
        <v>41</v>
      </c>
    </row>
    <row r="6" spans="1:5" x14ac:dyDescent="0.25">
      <c r="A6" s="14"/>
      <c r="B6" t="s">
        <v>42</v>
      </c>
    </row>
    <row r="7" spans="1:5" x14ac:dyDescent="0.25">
      <c r="A7" s="14"/>
      <c r="B7" t="s">
        <v>43</v>
      </c>
    </row>
    <row r="8" spans="1:5" x14ac:dyDescent="0.25">
      <c r="A8" s="14"/>
      <c r="B8" t="s">
        <v>44</v>
      </c>
    </row>
    <row r="9" spans="1:5" x14ac:dyDescent="0.25">
      <c r="A9" s="14" t="s">
        <v>45</v>
      </c>
    </row>
    <row r="10" spans="1:5" x14ac:dyDescent="0.25">
      <c r="B10" t="s">
        <v>46</v>
      </c>
    </row>
    <row r="11" spans="1:5" x14ac:dyDescent="0.25">
      <c r="B11" t="s">
        <v>47</v>
      </c>
    </row>
    <row r="12" spans="1:5" x14ac:dyDescent="0.25">
      <c r="B12" t="s">
        <v>48</v>
      </c>
    </row>
    <row r="14" spans="1:5" ht="15.75" thickBot="1" x14ac:dyDescent="0.3">
      <c r="A14" t="s">
        <v>49</v>
      </c>
    </row>
    <row r="15" spans="1:5" ht="15.75" thickBot="1" x14ac:dyDescent="0.3">
      <c r="B15" s="16" t="s">
        <v>50</v>
      </c>
      <c r="C15" s="16" t="s">
        <v>51</v>
      </c>
      <c r="D15" s="16" t="s">
        <v>52</v>
      </c>
      <c r="E15" s="72" t="s">
        <v>53</v>
      </c>
    </row>
    <row r="16" spans="1:5" ht="15.75" thickBot="1" x14ac:dyDescent="0.3">
      <c r="B16" s="15" t="s">
        <v>61</v>
      </c>
      <c r="C16" s="15"/>
      <c r="D16" s="19">
        <v>68500</v>
      </c>
      <c r="E16" s="74">
        <v>68500</v>
      </c>
    </row>
    <row r="19" spans="1:7" ht="15.75" thickBot="1" x14ac:dyDescent="0.3">
      <c r="A19" t="s">
        <v>54</v>
      </c>
    </row>
    <row r="20" spans="1:7" ht="15.75" thickBot="1" x14ac:dyDescent="0.3">
      <c r="B20" s="16" t="s">
        <v>50</v>
      </c>
      <c r="C20" s="16" t="s">
        <v>51</v>
      </c>
      <c r="D20" s="72" t="s">
        <v>52</v>
      </c>
      <c r="E20" s="16" t="s">
        <v>53</v>
      </c>
      <c r="F20" s="16" t="s">
        <v>55</v>
      </c>
    </row>
    <row r="21" spans="1:7" ht="15.75" thickBot="1" x14ac:dyDescent="0.3">
      <c r="B21" s="18" t="s">
        <v>62</v>
      </c>
      <c r="C21" s="18" t="s">
        <v>63</v>
      </c>
      <c r="D21" s="73">
        <v>450</v>
      </c>
      <c r="E21" s="20">
        <v>450</v>
      </c>
      <c r="F21" s="18" t="s">
        <v>64</v>
      </c>
    </row>
    <row r="22" spans="1:7" ht="15.75" thickBot="1" x14ac:dyDescent="0.3">
      <c r="B22" s="15" t="s">
        <v>65</v>
      </c>
      <c r="C22" s="15" t="s">
        <v>66</v>
      </c>
      <c r="D22" s="23">
        <v>460</v>
      </c>
      <c r="E22" s="21">
        <v>460</v>
      </c>
      <c r="F22" s="15" t="s">
        <v>64</v>
      </c>
    </row>
    <row r="25" spans="1:7" ht="15.75" thickBot="1" x14ac:dyDescent="0.3">
      <c r="A25" t="s">
        <v>56</v>
      </c>
    </row>
    <row r="26" spans="1:7" ht="15.75" thickBot="1" x14ac:dyDescent="0.3">
      <c r="B26" s="16" t="s">
        <v>50</v>
      </c>
      <c r="C26" s="16" t="s">
        <v>51</v>
      </c>
      <c r="D26" s="16" t="s">
        <v>57</v>
      </c>
      <c r="E26" s="16" t="s">
        <v>58</v>
      </c>
      <c r="F26" s="16" t="s">
        <v>59</v>
      </c>
      <c r="G26" s="16" t="s">
        <v>60</v>
      </c>
    </row>
    <row r="27" spans="1:7" x14ac:dyDescent="0.25">
      <c r="B27" s="18" t="s">
        <v>67</v>
      </c>
      <c r="C27" s="18" t="s">
        <v>20</v>
      </c>
      <c r="D27" s="20">
        <v>1820</v>
      </c>
      <c r="E27" s="18" t="s">
        <v>68</v>
      </c>
      <c r="F27" s="18" t="s">
        <v>69</v>
      </c>
      <c r="G27" s="18">
        <v>0</v>
      </c>
    </row>
    <row r="28" spans="1:7" ht="15.75" thickBot="1" x14ac:dyDescent="0.3">
      <c r="B28" s="15" t="s">
        <v>70</v>
      </c>
      <c r="C28" s="15" t="s">
        <v>22</v>
      </c>
      <c r="D28" s="21">
        <v>1830</v>
      </c>
      <c r="E28" s="15" t="s">
        <v>71</v>
      </c>
      <c r="F28" s="15" t="s">
        <v>69</v>
      </c>
      <c r="G28" s="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F1E8-0614-401A-A39A-B5666F1DD682}">
  <dimension ref="A1:G28"/>
  <sheetViews>
    <sheetView showGridLines="0" workbookViewId="0">
      <selection activeCell="J20" sqref="J20"/>
    </sheetView>
  </sheetViews>
  <sheetFormatPr defaultRowHeight="15" x14ac:dyDescent="0.25"/>
  <cols>
    <col min="1" max="1" width="2.28515625" customWidth="1"/>
    <col min="2" max="2" width="5" bestFit="1" customWidth="1"/>
    <col min="3" max="3" width="20.28515625" bestFit="1" customWidth="1"/>
    <col min="4" max="4" width="13.7109375" bestFit="1" customWidth="1"/>
    <col min="5" max="5" width="12" bestFit="1" customWidth="1"/>
    <col min="6" max="6" width="11.42578125" bestFit="1" customWidth="1"/>
    <col min="7" max="7" width="12" bestFit="1" customWidth="1"/>
  </cols>
  <sheetData>
    <row r="1" spans="1:5" x14ac:dyDescent="0.25">
      <c r="A1" s="14" t="s">
        <v>37</v>
      </c>
    </row>
    <row r="2" spans="1:5" x14ac:dyDescent="0.25">
      <c r="A2" s="14" t="s">
        <v>138</v>
      </c>
    </row>
    <row r="3" spans="1:5" x14ac:dyDescent="0.25">
      <c r="A3" s="14" t="s">
        <v>139</v>
      </c>
    </row>
    <row r="4" spans="1:5" x14ac:dyDescent="0.25">
      <c r="A4" s="14" t="s">
        <v>40</v>
      </c>
    </row>
    <row r="5" spans="1:5" x14ac:dyDescent="0.25">
      <c r="A5" s="14" t="s">
        <v>41</v>
      </c>
    </row>
    <row r="6" spans="1:5" x14ac:dyDescent="0.25">
      <c r="A6" s="14"/>
      <c r="B6" t="s">
        <v>42</v>
      </c>
    </row>
    <row r="7" spans="1:5" x14ac:dyDescent="0.25">
      <c r="A7" s="14"/>
      <c r="B7" t="s">
        <v>140</v>
      </c>
    </row>
    <row r="8" spans="1:5" x14ac:dyDescent="0.25">
      <c r="A8" s="14"/>
      <c r="B8" t="s">
        <v>141</v>
      </c>
    </row>
    <row r="9" spans="1:5" x14ac:dyDescent="0.25">
      <c r="A9" s="14" t="s">
        <v>45</v>
      </c>
    </row>
    <row r="10" spans="1:5" x14ac:dyDescent="0.25">
      <c r="B10" t="s">
        <v>46</v>
      </c>
    </row>
    <row r="11" spans="1:5" x14ac:dyDescent="0.25">
      <c r="B11" t="s">
        <v>47</v>
      </c>
    </row>
    <row r="12" spans="1:5" x14ac:dyDescent="0.25">
      <c r="B12" t="s">
        <v>48</v>
      </c>
    </row>
    <row r="14" spans="1:5" ht="15.75" thickBot="1" x14ac:dyDescent="0.3">
      <c r="A14" t="s">
        <v>49</v>
      </c>
    </row>
    <row r="15" spans="1:5" ht="15.75" thickBot="1" x14ac:dyDescent="0.3">
      <c r="B15" s="16" t="s">
        <v>50</v>
      </c>
      <c r="C15" s="16" t="s">
        <v>51</v>
      </c>
      <c r="D15" s="16" t="s">
        <v>52</v>
      </c>
      <c r="E15" s="72" t="s">
        <v>53</v>
      </c>
    </row>
    <row r="16" spans="1:5" ht="15.75" thickBot="1" x14ac:dyDescent="0.3">
      <c r="B16" s="15" t="s">
        <v>61</v>
      </c>
      <c r="C16" s="15"/>
      <c r="D16" s="19">
        <v>68500</v>
      </c>
      <c r="E16" s="74">
        <v>70749.999911078936</v>
      </c>
    </row>
    <row r="19" spans="1:7" ht="15.75" thickBot="1" x14ac:dyDescent="0.3">
      <c r="A19" t="s">
        <v>54</v>
      </c>
    </row>
    <row r="20" spans="1:7" ht="15.75" thickBot="1" x14ac:dyDescent="0.3">
      <c r="B20" s="16" t="s">
        <v>50</v>
      </c>
      <c r="C20" s="16" t="s">
        <v>51</v>
      </c>
      <c r="D20" s="16" t="s">
        <v>52</v>
      </c>
      <c r="E20" s="16" t="s">
        <v>53</v>
      </c>
      <c r="F20" s="16" t="s">
        <v>55</v>
      </c>
    </row>
    <row r="21" spans="1:7" x14ac:dyDescent="0.25">
      <c r="B21" s="18" t="s">
        <v>62</v>
      </c>
      <c r="C21" s="18" t="s">
        <v>63</v>
      </c>
      <c r="D21" s="20">
        <v>450</v>
      </c>
      <c r="E21" s="20">
        <v>585.00000177842139</v>
      </c>
      <c r="F21" s="18" t="s">
        <v>64</v>
      </c>
    </row>
    <row r="22" spans="1:7" ht="15.75" thickBot="1" x14ac:dyDescent="0.3">
      <c r="B22" s="15" t="s">
        <v>65</v>
      </c>
      <c r="C22" s="15" t="s">
        <v>66</v>
      </c>
      <c r="D22" s="21">
        <v>460</v>
      </c>
      <c r="E22" s="21">
        <v>414.99999822157866</v>
      </c>
      <c r="F22" s="15" t="s">
        <v>64</v>
      </c>
    </row>
    <row r="25" spans="1:7" ht="15.75" thickBot="1" x14ac:dyDescent="0.3">
      <c r="A25" t="s">
        <v>56</v>
      </c>
    </row>
    <row r="26" spans="1:7" ht="15.75" thickBot="1" x14ac:dyDescent="0.3">
      <c r="B26" s="16" t="s">
        <v>50</v>
      </c>
      <c r="C26" s="16" t="s">
        <v>51</v>
      </c>
      <c r="D26" s="16" t="s">
        <v>57</v>
      </c>
      <c r="E26" s="16" t="s">
        <v>58</v>
      </c>
      <c r="F26" s="16" t="s">
        <v>59</v>
      </c>
      <c r="G26" s="16" t="s">
        <v>60</v>
      </c>
    </row>
    <row r="27" spans="1:7" x14ac:dyDescent="0.25">
      <c r="B27" s="18" t="s">
        <v>67</v>
      </c>
      <c r="C27" s="18" t="s">
        <v>20</v>
      </c>
      <c r="D27" s="20">
        <v>2000</v>
      </c>
      <c r="E27" s="18" t="s">
        <v>142</v>
      </c>
      <c r="F27" s="18" t="s">
        <v>69</v>
      </c>
      <c r="G27" s="18">
        <v>0</v>
      </c>
    </row>
    <row r="28" spans="1:7" ht="15.75" thickBot="1" x14ac:dyDescent="0.3">
      <c r="B28" s="15" t="s">
        <v>70</v>
      </c>
      <c r="C28" s="15" t="s">
        <v>22</v>
      </c>
      <c r="D28" s="21">
        <v>1829.9999964431574</v>
      </c>
      <c r="E28" s="15" t="s">
        <v>71</v>
      </c>
      <c r="F28" s="15" t="s">
        <v>143</v>
      </c>
      <c r="G28" s="15">
        <v>3.5568425573728746E-6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G14" sqref="G14"/>
    </sheetView>
  </sheetViews>
  <sheetFormatPr defaultRowHeight="21" x14ac:dyDescent="0.25"/>
  <cols>
    <col min="1" max="2" width="20.85546875" customWidth="1"/>
    <col min="3" max="4" width="12.85546875" customWidth="1"/>
    <col min="5" max="5" width="18.85546875" customWidth="1"/>
    <col min="6" max="6" width="5.85546875" customWidth="1"/>
    <col min="7" max="7" width="15.85546875" customWidth="1"/>
  </cols>
  <sheetData>
    <row r="1" spans="1:7" ht="18.75" x14ac:dyDescent="0.3">
      <c r="A1" s="3" t="s">
        <v>10</v>
      </c>
    </row>
    <row r="3" spans="1:7" ht="15.75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12</v>
      </c>
      <c r="F3" s="1" t="s">
        <v>12</v>
      </c>
      <c r="G3" s="1" t="s">
        <v>15</v>
      </c>
    </row>
    <row r="5" spans="1:7" ht="15" x14ac:dyDescent="0.25">
      <c r="A5" t="s">
        <v>16</v>
      </c>
      <c r="B5" t="s">
        <v>17</v>
      </c>
      <c r="C5" s="4">
        <v>585.00000177842139</v>
      </c>
      <c r="D5" s="5">
        <v>414.99999822157866</v>
      </c>
    </row>
    <row r="6" spans="1:7" ht="15" x14ac:dyDescent="0.25">
      <c r="A6" t="s">
        <v>12</v>
      </c>
      <c r="B6" t="s">
        <v>18</v>
      </c>
      <c r="C6" s="6">
        <v>50</v>
      </c>
      <c r="D6" s="6">
        <v>100</v>
      </c>
    </row>
    <row r="8" spans="1:7" ht="15" x14ac:dyDescent="0.25">
      <c r="A8" t="s">
        <v>19</v>
      </c>
      <c r="B8" t="s">
        <v>20</v>
      </c>
      <c r="C8">
        <v>2</v>
      </c>
      <c r="D8">
        <v>2</v>
      </c>
      <c r="E8" s="7">
        <f>C5*C8+D5*D8</f>
        <v>2000</v>
      </c>
      <c r="F8" t="s">
        <v>21</v>
      </c>
      <c r="G8" s="8">
        <v>1820</v>
      </c>
    </row>
    <row r="9" spans="1:7" ht="15" x14ac:dyDescent="0.25">
      <c r="A9" t="s">
        <v>12</v>
      </c>
      <c r="B9" t="s">
        <v>22</v>
      </c>
      <c r="C9">
        <v>1</v>
      </c>
      <c r="D9">
        <v>3</v>
      </c>
      <c r="E9" s="9">
        <f>C5*C9+D5*D9</f>
        <v>1829.9999964431574</v>
      </c>
      <c r="F9" t="s">
        <v>21</v>
      </c>
      <c r="G9" s="10">
        <v>1830</v>
      </c>
    </row>
    <row r="15" spans="1:7" ht="15" x14ac:dyDescent="0.25">
      <c r="A15" t="s">
        <v>23</v>
      </c>
      <c r="B15" t="s">
        <v>24</v>
      </c>
      <c r="C15" t="s">
        <v>12</v>
      </c>
      <c r="D15" t="s">
        <v>12</v>
      </c>
      <c r="E15" s="11">
        <f>C5*C6+D5*D6</f>
        <v>70749.999911078936</v>
      </c>
    </row>
  </sheetData>
  <pageMargins left="0.7" right="0.7" top="0.75" bottom="0.75" header="0.3" footer="0.3"/>
  <ignoredErrors>
    <ignoredError sqref="A1:G4 A6:G15 A5:B5 E5:G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336A-F47D-4F26-A9AF-115A1055C547}">
  <sheetPr>
    <outlinePr summaryBelow="0"/>
  </sheetPr>
  <dimension ref="B1:G12"/>
  <sheetViews>
    <sheetView showGridLines="0" workbookViewId="0">
      <selection activeCell="H16" sqref="H16"/>
    </sheetView>
  </sheetViews>
  <sheetFormatPr defaultRowHeight="15" outlineLevelRow="1" outlineLevelCol="1" x14ac:dyDescent="0.25"/>
  <cols>
    <col min="3" max="3" width="12.285156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28" t="s">
        <v>78</v>
      </c>
      <c r="C2" s="28"/>
      <c r="D2" s="33"/>
      <c r="E2" s="33"/>
      <c r="F2" s="33"/>
      <c r="G2" s="33"/>
    </row>
    <row r="3" spans="2:7" ht="15.75" collapsed="1" x14ac:dyDescent="0.25">
      <c r="B3" s="27"/>
      <c r="C3" s="27"/>
      <c r="D3" s="34" t="s">
        <v>80</v>
      </c>
      <c r="E3" s="34" t="s">
        <v>73</v>
      </c>
      <c r="F3" s="34" t="s">
        <v>75</v>
      </c>
      <c r="G3" s="34" t="s">
        <v>77</v>
      </c>
    </row>
    <row r="4" spans="2:7" ht="45" hidden="1" outlineLevel="1" x14ac:dyDescent="0.25">
      <c r="B4" s="30"/>
      <c r="C4" s="30"/>
      <c r="D4" s="17"/>
      <c r="E4" s="36" t="s">
        <v>74</v>
      </c>
      <c r="F4" s="36" t="s">
        <v>76</v>
      </c>
      <c r="G4" s="36" t="s">
        <v>76</v>
      </c>
    </row>
    <row r="5" spans="2:7" x14ac:dyDescent="0.25">
      <c r="B5" s="31" t="s">
        <v>79</v>
      </c>
      <c r="C5" s="31"/>
      <c r="D5" s="29"/>
      <c r="E5" s="29"/>
      <c r="F5" s="29"/>
      <c r="G5" s="29"/>
    </row>
    <row r="6" spans="2:7" outlineLevel="1" x14ac:dyDescent="0.25">
      <c r="B6" s="30"/>
      <c r="C6" s="30" t="s">
        <v>72</v>
      </c>
      <c r="D6" s="24">
        <v>0.15</v>
      </c>
      <c r="E6" s="35">
        <v>0.05</v>
      </c>
      <c r="F6" s="35">
        <v>0.15</v>
      </c>
      <c r="G6" s="35">
        <v>-0.08</v>
      </c>
    </row>
    <row r="7" spans="2:7" outlineLevel="1" x14ac:dyDescent="0.25">
      <c r="B7" s="30"/>
      <c r="C7" s="30" t="s">
        <v>34</v>
      </c>
      <c r="D7" s="24">
        <v>0.52</v>
      </c>
      <c r="E7" s="35">
        <v>0.6</v>
      </c>
      <c r="F7" s="35">
        <v>0.52</v>
      </c>
      <c r="G7" s="35">
        <v>0.68</v>
      </c>
    </row>
    <row r="8" spans="2:7" ht="15.75" thickBot="1" x14ac:dyDescent="0.3">
      <c r="B8" s="31" t="s">
        <v>81</v>
      </c>
      <c r="C8" s="31"/>
      <c r="D8" s="29"/>
      <c r="E8" s="29"/>
      <c r="F8" s="75"/>
      <c r="G8" s="75"/>
    </row>
    <row r="9" spans="2:7" ht="15.75" outlineLevel="1" thickBot="1" x14ac:dyDescent="0.3">
      <c r="B9" s="32"/>
      <c r="C9" s="32" t="s">
        <v>85</v>
      </c>
      <c r="D9" s="26">
        <v>142500</v>
      </c>
      <c r="E9" s="26">
        <v>76500</v>
      </c>
      <c r="F9" s="74">
        <v>142500</v>
      </c>
      <c r="G9" s="74">
        <v>13700</v>
      </c>
    </row>
    <row r="10" spans="2:7" x14ac:dyDescent="0.25">
      <c r="B10" t="s">
        <v>82</v>
      </c>
    </row>
    <row r="11" spans="2:7" x14ac:dyDescent="0.25">
      <c r="B11" t="s">
        <v>83</v>
      </c>
    </row>
    <row r="12" spans="2:7" x14ac:dyDescent="0.25">
      <c r="B12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B4" sqref="B4"/>
    </sheetView>
  </sheetViews>
  <sheetFormatPr defaultRowHeight="21" x14ac:dyDescent="0.25"/>
  <cols>
    <col min="1" max="1" width="25.85546875" customWidth="1"/>
    <col min="2" max="2" width="20.85546875" customWidth="1"/>
  </cols>
  <sheetData>
    <row r="1" spans="1:2" ht="18.75" x14ac:dyDescent="0.3">
      <c r="A1" s="3" t="s">
        <v>25</v>
      </c>
    </row>
    <row r="3" spans="1:2" ht="15.75" x14ac:dyDescent="0.25">
      <c r="A3" s="1" t="s">
        <v>26</v>
      </c>
      <c r="B3" s="1" t="s">
        <v>27</v>
      </c>
    </row>
    <row r="4" spans="1:2" ht="15" x14ac:dyDescent="0.25">
      <c r="A4" t="s">
        <v>28</v>
      </c>
      <c r="B4" s="12">
        <v>0.25</v>
      </c>
    </row>
    <row r="5" spans="1:2" ht="15" x14ac:dyDescent="0.25">
      <c r="A5" t="s">
        <v>29</v>
      </c>
      <c r="B5" s="12">
        <v>0.55000000000000004</v>
      </c>
    </row>
    <row r="7" spans="1:2" ht="15.75" x14ac:dyDescent="0.25">
      <c r="A7" s="1" t="s">
        <v>30</v>
      </c>
      <c r="B7" s="1" t="s">
        <v>31</v>
      </c>
    </row>
    <row r="8" spans="1:2" ht="15" x14ac:dyDescent="0.25">
      <c r="A8" t="s">
        <v>32</v>
      </c>
      <c r="B8" s="6">
        <v>500000</v>
      </c>
    </row>
    <row r="9" spans="1:2" ht="15" x14ac:dyDescent="0.25">
      <c r="A9" t="s">
        <v>33</v>
      </c>
      <c r="B9" s="6">
        <f>B8*(1+B4)</f>
        <v>625000</v>
      </c>
    </row>
    <row r="10" spans="1:2" ht="15" x14ac:dyDescent="0.25">
      <c r="A10" t="s">
        <v>34</v>
      </c>
      <c r="B10" s="6">
        <f>B9*B5</f>
        <v>343750</v>
      </c>
    </row>
    <row r="11" spans="1:2" ht="15" x14ac:dyDescent="0.25">
      <c r="A11" t="s">
        <v>35</v>
      </c>
      <c r="B11" s="6">
        <v>133500</v>
      </c>
    </row>
    <row r="12" spans="1:2" ht="15" x14ac:dyDescent="0.25">
      <c r="A12" t="s">
        <v>36</v>
      </c>
      <c r="B12" s="13">
        <f>B9-B10-B11</f>
        <v>147750</v>
      </c>
    </row>
  </sheetData>
  <scenarios current="2" sqref="B12">
    <scenario name="Base" locked="1" count="2" user="haj" comment="Created by haj on 2/19/2026_x000a_Modified by haj on 2/19/2026">
      <inputCells r="B4" val="0.05" numFmtId="166"/>
      <inputCells r="B5" val="0.6" numFmtId="166"/>
    </scenario>
    <scenario name="Best" locked="1" count="2" user="haj" comment="Created by haj on 2/19/2026">
      <inputCells r="B4" val="0.15" numFmtId="166"/>
      <inputCells r="B5" val="0.52" numFmtId="166"/>
    </scenario>
    <scenario name="Worst" locked="1" count="2" user="haj" comment="Created by haj on 2/19/2026">
      <inputCells r="B4" val="-0.08" numFmtId="166"/>
      <inputCells r="B5" val="0.68" numFmtId="166"/>
    </scenario>
  </scenarios>
  <pageMargins left="0.7" right="0.7" top="0.75" bottom="0.75" header="0.3" footer="0.3"/>
  <ignoredErrors>
    <ignoredError sqref="A1:B3 A6:B12 A4 A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4E2B-588E-499B-8FDC-E51C37167DAC}">
  <dimension ref="A1:G31"/>
  <sheetViews>
    <sheetView showGridLines="0" topLeftCell="A7" workbookViewId="0">
      <selection activeCell="K31" sqref="K31"/>
    </sheetView>
  </sheetViews>
  <sheetFormatPr defaultRowHeight="15" x14ac:dyDescent="0.25"/>
  <cols>
    <col min="1" max="1" width="2.28515625" customWidth="1"/>
    <col min="2" max="2" width="17.85546875" bestFit="1" customWidth="1"/>
    <col min="3" max="3" width="26" bestFit="1" customWidth="1"/>
    <col min="4" max="5" width="13.7109375" bestFit="1" customWidth="1"/>
    <col min="6" max="6" width="11.42578125" bestFit="1" customWidth="1"/>
    <col min="7" max="7" width="5.42578125" bestFit="1" customWidth="1"/>
  </cols>
  <sheetData>
    <row r="1" spans="1:5" x14ac:dyDescent="0.25">
      <c r="A1" s="14" t="s">
        <v>37</v>
      </c>
    </row>
    <row r="2" spans="1:5" x14ac:dyDescent="0.25">
      <c r="A2" s="14" t="s">
        <v>144</v>
      </c>
    </row>
    <row r="3" spans="1:5" x14ac:dyDescent="0.25">
      <c r="A3" s="14" t="s">
        <v>145</v>
      </c>
    </row>
    <row r="4" spans="1:5" x14ac:dyDescent="0.25">
      <c r="A4" s="14" t="s">
        <v>40</v>
      </c>
    </row>
    <row r="5" spans="1:5" x14ac:dyDescent="0.25">
      <c r="A5" s="14" t="s">
        <v>41</v>
      </c>
    </row>
    <row r="6" spans="1:5" x14ac:dyDescent="0.25">
      <c r="A6" s="14"/>
      <c r="B6" t="s">
        <v>146</v>
      </c>
    </row>
    <row r="7" spans="1:5" x14ac:dyDescent="0.25">
      <c r="A7" s="14"/>
      <c r="B7" t="s">
        <v>140</v>
      </c>
    </row>
    <row r="8" spans="1:5" x14ac:dyDescent="0.25">
      <c r="A8" s="14"/>
      <c r="B8" t="s">
        <v>147</v>
      </c>
    </row>
    <row r="9" spans="1:5" x14ac:dyDescent="0.25">
      <c r="A9" s="14" t="s">
        <v>45</v>
      </c>
    </row>
    <row r="10" spans="1:5" x14ac:dyDescent="0.25">
      <c r="B10" t="s">
        <v>46</v>
      </c>
    </row>
    <row r="11" spans="1:5" x14ac:dyDescent="0.25">
      <c r="B11" t="s">
        <v>48</v>
      </c>
    </row>
    <row r="14" spans="1:5" ht="15.75" thickBot="1" x14ac:dyDescent="0.3">
      <c r="A14" t="s">
        <v>49</v>
      </c>
    </row>
    <row r="15" spans="1:5" ht="15.75" thickBot="1" x14ac:dyDescent="0.3">
      <c r="B15" s="16" t="s">
        <v>50</v>
      </c>
      <c r="C15" s="16" t="s">
        <v>51</v>
      </c>
      <c r="D15" s="16" t="s">
        <v>52</v>
      </c>
      <c r="E15" s="72" t="s">
        <v>53</v>
      </c>
    </row>
    <row r="16" spans="1:5" ht="15.75" thickBot="1" x14ac:dyDescent="0.3">
      <c r="B16" s="15" t="s">
        <v>148</v>
      </c>
      <c r="C16" s="15" t="s">
        <v>109</v>
      </c>
      <c r="D16" s="63">
        <v>0</v>
      </c>
      <c r="E16" s="76">
        <v>900000</v>
      </c>
    </row>
    <row r="19" spans="1:7" ht="15.75" thickBot="1" x14ac:dyDescent="0.3">
      <c r="A19" t="s">
        <v>54</v>
      </c>
    </row>
    <row r="20" spans="1:7" ht="15.75" thickBot="1" x14ac:dyDescent="0.3">
      <c r="B20" s="16" t="s">
        <v>50</v>
      </c>
      <c r="C20" s="16" t="s">
        <v>51</v>
      </c>
      <c r="D20" s="16" t="s">
        <v>52</v>
      </c>
      <c r="E20" s="16" t="s">
        <v>53</v>
      </c>
      <c r="F20" s="16" t="s">
        <v>55</v>
      </c>
    </row>
    <row r="21" spans="1:7" ht="15.75" thickBot="1" x14ac:dyDescent="0.3">
      <c r="B21" s="18" t="s">
        <v>65</v>
      </c>
      <c r="C21" s="18" t="s">
        <v>149</v>
      </c>
      <c r="D21" s="20">
        <v>0</v>
      </c>
      <c r="E21" s="20">
        <v>12</v>
      </c>
      <c r="F21" s="18" t="s">
        <v>55</v>
      </c>
    </row>
    <row r="22" spans="1:7" ht="15.75" thickBot="1" x14ac:dyDescent="0.3">
      <c r="B22" s="18" t="s">
        <v>150</v>
      </c>
      <c r="C22" s="18" t="s">
        <v>151</v>
      </c>
      <c r="D22" s="20">
        <v>0</v>
      </c>
      <c r="E22" s="73">
        <v>4</v>
      </c>
      <c r="F22" s="18" t="s">
        <v>55</v>
      </c>
    </row>
    <row r="23" spans="1:7" ht="15.75" thickBot="1" x14ac:dyDescent="0.3">
      <c r="B23" s="15" t="s">
        <v>152</v>
      </c>
      <c r="C23" s="15" t="s">
        <v>153</v>
      </c>
      <c r="D23" s="21">
        <v>0</v>
      </c>
      <c r="E23" s="23">
        <v>0</v>
      </c>
      <c r="F23" s="15" t="s">
        <v>55</v>
      </c>
    </row>
    <row r="26" spans="1:7" ht="15.75" thickBot="1" x14ac:dyDescent="0.3">
      <c r="A26" t="s">
        <v>56</v>
      </c>
    </row>
    <row r="27" spans="1:7" ht="15.75" thickBot="1" x14ac:dyDescent="0.3">
      <c r="B27" s="16" t="s">
        <v>50</v>
      </c>
      <c r="C27" s="16" t="s">
        <v>51</v>
      </c>
      <c r="D27" s="16" t="s">
        <v>57</v>
      </c>
      <c r="E27" s="16" t="s">
        <v>58</v>
      </c>
      <c r="F27" s="16" t="s">
        <v>59</v>
      </c>
      <c r="G27" s="16" t="s">
        <v>60</v>
      </c>
    </row>
    <row r="28" spans="1:7" x14ac:dyDescent="0.25">
      <c r="B28" s="18" t="s">
        <v>154</v>
      </c>
      <c r="C28" s="18" t="s">
        <v>155</v>
      </c>
      <c r="D28" s="20">
        <v>50000</v>
      </c>
      <c r="E28" s="18" t="s">
        <v>156</v>
      </c>
      <c r="F28" s="18" t="s">
        <v>69</v>
      </c>
      <c r="G28" s="18">
        <v>0</v>
      </c>
    </row>
    <row r="29" spans="1:7" x14ac:dyDescent="0.25">
      <c r="B29" s="18" t="s">
        <v>65</v>
      </c>
      <c r="C29" s="18" t="s">
        <v>149</v>
      </c>
      <c r="D29" s="20">
        <v>12</v>
      </c>
      <c r="E29" s="18" t="s">
        <v>157</v>
      </c>
      <c r="F29" s="18" t="s">
        <v>143</v>
      </c>
      <c r="G29" s="20">
        <v>2</v>
      </c>
    </row>
    <row r="30" spans="1:7" x14ac:dyDescent="0.25">
      <c r="B30" s="18" t="s">
        <v>150</v>
      </c>
      <c r="C30" s="18" t="s">
        <v>151</v>
      </c>
      <c r="D30" s="20">
        <v>4</v>
      </c>
      <c r="E30" s="18" t="s">
        <v>158</v>
      </c>
      <c r="F30" s="18" t="s">
        <v>69</v>
      </c>
      <c r="G30" s="18">
        <v>0</v>
      </c>
    </row>
    <row r="31" spans="1:7" ht="15.75" thickBot="1" x14ac:dyDescent="0.3">
      <c r="B31" s="15" t="s">
        <v>159</v>
      </c>
      <c r="C31" s="15"/>
      <c r="D31" s="15"/>
      <c r="E31" s="15"/>
      <c r="F31" s="15"/>
      <c r="G31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9B21-03CC-4FD0-9F69-2D54122E6FAF}">
  <dimension ref="A1:D16"/>
  <sheetViews>
    <sheetView workbookViewId="0">
      <selection activeCell="A16" sqref="A16"/>
    </sheetView>
  </sheetViews>
  <sheetFormatPr defaultRowHeight="15" x14ac:dyDescent="0.25"/>
  <cols>
    <col min="1" max="1" width="28.85546875" style="47" customWidth="1"/>
    <col min="2" max="2" width="15.85546875" style="47" customWidth="1"/>
    <col min="3" max="3" width="20.85546875" style="47" customWidth="1"/>
    <col min="4" max="4" width="22.85546875" style="47" customWidth="1"/>
    <col min="5" max="16384" width="9.140625" style="47"/>
  </cols>
  <sheetData>
    <row r="1" spans="1:4" ht="18.75" x14ac:dyDescent="0.3">
      <c r="A1" s="46" t="s">
        <v>100</v>
      </c>
    </row>
    <row r="3" spans="1:4" ht="15.75" x14ac:dyDescent="0.25">
      <c r="A3" s="48" t="s">
        <v>101</v>
      </c>
      <c r="B3" s="48" t="s">
        <v>102</v>
      </c>
      <c r="C3" s="48" t="s">
        <v>103</v>
      </c>
      <c r="D3" s="48" t="s">
        <v>104</v>
      </c>
    </row>
    <row r="5" spans="1:4" x14ac:dyDescent="0.25">
      <c r="A5" s="47" t="s">
        <v>105</v>
      </c>
      <c r="B5" s="49">
        <v>1500</v>
      </c>
      <c r="C5" s="50">
        <v>25000</v>
      </c>
      <c r="D5" s="51">
        <v>12</v>
      </c>
    </row>
    <row r="6" spans="1:4" x14ac:dyDescent="0.25">
      <c r="A6" s="47" t="s">
        <v>106</v>
      </c>
      <c r="B6" s="49">
        <v>8000</v>
      </c>
      <c r="C6" s="50">
        <v>150000</v>
      </c>
      <c r="D6" s="51">
        <v>4</v>
      </c>
    </row>
    <row r="7" spans="1:4" x14ac:dyDescent="0.25">
      <c r="A7" s="47" t="s">
        <v>107</v>
      </c>
      <c r="B7" s="49">
        <v>2500</v>
      </c>
      <c r="C7" s="50">
        <v>40000</v>
      </c>
      <c r="D7" s="51">
        <v>0</v>
      </c>
    </row>
    <row r="9" spans="1:4" x14ac:dyDescent="0.25">
      <c r="A9" s="52" t="s">
        <v>108</v>
      </c>
      <c r="B9" s="52" t="s">
        <v>12</v>
      </c>
      <c r="C9" s="52" t="s">
        <v>12</v>
      </c>
      <c r="D9" s="52" t="s">
        <v>109</v>
      </c>
    </row>
    <row r="10" spans="1:4" x14ac:dyDescent="0.25">
      <c r="A10" s="47" t="s">
        <v>110</v>
      </c>
      <c r="B10" s="47" t="s">
        <v>12</v>
      </c>
      <c r="C10" s="52" t="s">
        <v>21</v>
      </c>
      <c r="D10" s="53">
        <f>SUMPRODUCT(B5:B7,D5:D7)</f>
        <v>50000</v>
      </c>
    </row>
    <row r="11" spans="1:4" x14ac:dyDescent="0.25">
      <c r="A11" s="47" t="s">
        <v>111</v>
      </c>
      <c r="B11" s="47" t="s">
        <v>12</v>
      </c>
      <c r="C11" s="47" t="s">
        <v>12</v>
      </c>
      <c r="D11" s="54">
        <v>50000</v>
      </c>
    </row>
    <row r="12" spans="1:4" x14ac:dyDescent="0.25">
      <c r="A12" s="47" t="s">
        <v>112</v>
      </c>
      <c r="B12" s="47" t="s">
        <v>12</v>
      </c>
      <c r="C12" s="47" t="s">
        <v>12</v>
      </c>
      <c r="D12" s="55">
        <v>10</v>
      </c>
    </row>
    <row r="13" spans="1:4" x14ac:dyDescent="0.25">
      <c r="A13" s="47" t="s">
        <v>113</v>
      </c>
      <c r="B13" s="47" t="s">
        <v>12</v>
      </c>
      <c r="C13" s="47" t="s">
        <v>12</v>
      </c>
      <c r="D13" s="55">
        <v>5</v>
      </c>
    </row>
    <row r="15" spans="1:4" x14ac:dyDescent="0.25">
      <c r="A15" s="47" t="s">
        <v>23</v>
      </c>
    </row>
    <row r="16" spans="1:4" x14ac:dyDescent="0.25">
      <c r="A16" s="47" t="s">
        <v>114</v>
      </c>
      <c r="B16" s="47" t="s">
        <v>12</v>
      </c>
      <c r="C16" s="47" t="s">
        <v>12</v>
      </c>
      <c r="D16" s="56">
        <f>SUMPRODUCT(C5:C7,D5:D7)</f>
        <v>900000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6961-6804-4116-A5CF-00278AA725A7}">
  <sheetPr>
    <outlinePr summaryBelow="0"/>
  </sheetPr>
  <dimension ref="B1:G13"/>
  <sheetViews>
    <sheetView showGridLines="0" tabSelected="1" workbookViewId="0">
      <selection activeCell="J18" sqref="J18"/>
    </sheetView>
  </sheetViews>
  <sheetFormatPr defaultRowHeight="15" outlineLevelRow="1" outlineLevelCol="1" x14ac:dyDescent="0.25"/>
  <cols>
    <col min="3" max="3" width="11.42578125" bestFit="1" customWidth="1"/>
    <col min="4" max="5" width="14.85546875" bestFit="1" customWidth="1" outlineLevel="1"/>
    <col min="6" max="6" width="17.28515625" bestFit="1" customWidth="1" outlineLevel="1"/>
    <col min="7" max="7" width="14.85546875" bestFit="1" customWidth="1" outlineLevel="1"/>
  </cols>
  <sheetData>
    <row r="1" spans="2:7" ht="15.75" thickBot="1" x14ac:dyDescent="0.3"/>
    <row r="2" spans="2:7" ht="15.75" x14ac:dyDescent="0.25">
      <c r="B2" s="28" t="s">
        <v>78</v>
      </c>
      <c r="C2" s="28"/>
      <c r="D2" s="33"/>
      <c r="E2" s="33"/>
      <c r="F2" s="77"/>
      <c r="G2" s="33"/>
    </row>
    <row r="3" spans="2:7" ht="26.25" collapsed="1" x14ac:dyDescent="0.4">
      <c r="B3" s="27"/>
      <c r="C3" s="27"/>
      <c r="D3" s="34" t="s">
        <v>80</v>
      </c>
      <c r="E3" s="34" t="s">
        <v>73</v>
      </c>
      <c r="F3" s="83" t="s">
        <v>164</v>
      </c>
      <c r="G3" s="34" t="s">
        <v>165</v>
      </c>
    </row>
    <row r="4" spans="2:7" ht="22.5" hidden="1" outlineLevel="1" x14ac:dyDescent="0.25">
      <c r="B4" s="30"/>
      <c r="C4" s="30"/>
      <c r="D4" s="17"/>
      <c r="E4" s="36" t="s">
        <v>76</v>
      </c>
      <c r="F4" s="78" t="s">
        <v>76</v>
      </c>
      <c r="G4" s="36" t="s">
        <v>76</v>
      </c>
    </row>
    <row r="5" spans="2:7" x14ac:dyDescent="0.25">
      <c r="B5" s="31" t="s">
        <v>79</v>
      </c>
      <c r="C5" s="31"/>
      <c r="D5" s="29"/>
      <c r="E5" s="29"/>
      <c r="F5" s="79"/>
      <c r="G5" s="29"/>
    </row>
    <row r="6" spans="2:7" outlineLevel="1" x14ac:dyDescent="0.25">
      <c r="B6" s="30"/>
      <c r="C6" s="30" t="s">
        <v>160</v>
      </c>
      <c r="D6" s="65">
        <v>150</v>
      </c>
      <c r="E6" s="67">
        <v>150</v>
      </c>
      <c r="F6" s="80">
        <v>180</v>
      </c>
      <c r="G6" s="67">
        <v>120</v>
      </c>
    </row>
    <row r="7" spans="2:7" outlineLevel="1" x14ac:dyDescent="0.25">
      <c r="B7" s="30"/>
      <c r="C7" s="30" t="s">
        <v>161</v>
      </c>
      <c r="D7" s="65">
        <v>90</v>
      </c>
      <c r="E7" s="67">
        <v>90</v>
      </c>
      <c r="F7" s="80">
        <v>90</v>
      </c>
      <c r="G7" s="67">
        <v>85</v>
      </c>
    </row>
    <row r="8" spans="2:7" outlineLevel="1" x14ac:dyDescent="0.25">
      <c r="B8" s="30"/>
      <c r="C8" s="30" t="s">
        <v>162</v>
      </c>
      <c r="D8" s="66">
        <v>5000</v>
      </c>
      <c r="E8" s="68">
        <v>5000</v>
      </c>
      <c r="F8" s="81">
        <v>3500</v>
      </c>
      <c r="G8" s="68">
        <v>8000</v>
      </c>
    </row>
    <row r="9" spans="2:7" ht="15.75" thickBot="1" x14ac:dyDescent="0.3">
      <c r="B9" s="31" t="s">
        <v>81</v>
      </c>
      <c r="C9" s="31"/>
      <c r="D9" s="29"/>
      <c r="E9" s="29"/>
      <c r="F9" s="79"/>
      <c r="G9" s="75"/>
    </row>
    <row r="10" spans="2:7" ht="15.75" outlineLevel="1" thickBot="1" x14ac:dyDescent="0.3">
      <c r="B10" s="32"/>
      <c r="C10" s="32" t="s">
        <v>163</v>
      </c>
      <c r="D10" s="26">
        <v>200000</v>
      </c>
      <c r="E10" s="26">
        <v>200000</v>
      </c>
      <c r="F10" s="82">
        <v>215000</v>
      </c>
      <c r="G10" s="84">
        <v>180000</v>
      </c>
    </row>
    <row r="11" spans="2:7" x14ac:dyDescent="0.25">
      <c r="B11" t="s">
        <v>82</v>
      </c>
    </row>
    <row r="12" spans="2:7" x14ac:dyDescent="0.25">
      <c r="B12" t="s">
        <v>83</v>
      </c>
    </row>
    <row r="13" spans="2:7" x14ac:dyDescent="0.25">
      <c r="B13" t="s">
        <v>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0E94-9688-4C9A-8318-66F984908D9C}">
  <dimension ref="A1:B12"/>
  <sheetViews>
    <sheetView workbookViewId="0">
      <selection activeCell="B23" sqref="B23"/>
    </sheetView>
  </sheetViews>
  <sheetFormatPr defaultRowHeight="15" x14ac:dyDescent="0.25"/>
  <cols>
    <col min="1" max="1" width="25.85546875" customWidth="1"/>
    <col min="2" max="2" width="20.85546875" customWidth="1"/>
  </cols>
  <sheetData>
    <row r="1" spans="1:2" ht="18.75" x14ac:dyDescent="0.3">
      <c r="A1" s="42" t="s">
        <v>89</v>
      </c>
    </row>
    <row r="3" spans="1:2" ht="15.75" x14ac:dyDescent="0.25">
      <c r="A3" s="40" t="s">
        <v>90</v>
      </c>
      <c r="B3" s="40" t="s">
        <v>91</v>
      </c>
    </row>
    <row r="4" spans="1:2" x14ac:dyDescent="0.25">
      <c r="A4" t="s">
        <v>92</v>
      </c>
      <c r="B4" s="43">
        <v>150</v>
      </c>
    </row>
    <row r="5" spans="1:2" x14ac:dyDescent="0.25">
      <c r="A5" t="s">
        <v>93</v>
      </c>
      <c r="B5" s="43">
        <v>90</v>
      </c>
    </row>
    <row r="6" spans="1:2" x14ac:dyDescent="0.25">
      <c r="A6" t="s">
        <v>94</v>
      </c>
      <c r="B6" s="44">
        <v>5000</v>
      </c>
    </row>
    <row r="8" spans="1:2" ht="15.75" x14ac:dyDescent="0.25">
      <c r="A8" s="40" t="s">
        <v>95</v>
      </c>
      <c r="B8" s="40" t="s">
        <v>31</v>
      </c>
    </row>
    <row r="9" spans="1:2" x14ac:dyDescent="0.25">
      <c r="A9" t="s">
        <v>96</v>
      </c>
      <c r="B9" s="45">
        <f>SellingPrice*ExpVol</f>
        <v>750000</v>
      </c>
    </row>
    <row r="10" spans="1:2" x14ac:dyDescent="0.25">
      <c r="A10" t="s">
        <v>97</v>
      </c>
      <c r="B10" s="45">
        <f>UnitCost*ExpVol</f>
        <v>450000</v>
      </c>
    </row>
    <row r="11" spans="1:2" x14ac:dyDescent="0.25">
      <c r="A11" t="s">
        <v>98</v>
      </c>
      <c r="B11" s="6">
        <v>100000</v>
      </c>
    </row>
    <row r="12" spans="1:2" x14ac:dyDescent="0.25">
      <c r="A12" t="s">
        <v>99</v>
      </c>
      <c r="B12" s="64">
        <f>B9-B10-B11</f>
        <v>200000</v>
      </c>
    </row>
  </sheetData>
  <scenarios current="0" sqref="B12">
    <scenario name="Base" locked="1" count="3" user="haj" comment="Created by haj on 2/19/2026">
      <inputCells r="B4" val="150" numFmtId="165"/>
      <inputCells r="B5" val="90" numFmtId="165"/>
      <inputCells r="B6" val="5000" numFmtId="3"/>
    </scenario>
    <scenario name="High Price" locked="1" count="3" user="haj" comment="Created by haj on 2/19/2026">
      <inputCells r="B4" val="180" numFmtId="165"/>
      <inputCells r="B5" val="90" numFmtId="165"/>
      <inputCells r="B6" val="3500" numFmtId="3"/>
    </scenario>
    <scenario name="Discount Strategy" locked="1" count="3" user="haj" comment="Created by haj on 2/19/2026">
      <inputCells r="B4" val="120" numFmtId="165"/>
      <inputCells r="B5" val="85" numFmtId="165"/>
      <inputCells r="B6" val="8000" numFmtId="3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Req 1-Pivot</vt:lpstr>
      <vt:lpstr>Sales_Data</vt:lpstr>
      <vt:lpstr>Daily_Sales</vt:lpstr>
      <vt:lpstr>Req3-Q1-2</vt:lpstr>
      <vt:lpstr>Req3-Q3</vt:lpstr>
      <vt:lpstr>Solver_Model</vt:lpstr>
      <vt:lpstr>Req4-Q1-2</vt:lpstr>
      <vt:lpstr>Financial_Forecast</vt:lpstr>
      <vt:lpstr>Req 5-Q1-2</vt:lpstr>
      <vt:lpstr>Ad_Mix_Solver</vt:lpstr>
      <vt:lpstr>Req 6-Scenario Summary</vt:lpstr>
      <vt:lpstr>Zag_Launch_Scenarios</vt:lpstr>
      <vt:lpstr>COGS</vt:lpstr>
      <vt:lpstr>ExpVol</vt:lpstr>
      <vt:lpstr>NetIncome</vt:lpstr>
      <vt:lpstr>NP</vt:lpstr>
      <vt:lpstr>SalesGrowth</vt:lpstr>
      <vt:lpstr>SellingPrice</vt:lpstr>
      <vt:lpstr>UnitCost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</dc:creator>
  <cp:lastModifiedBy>Joo Ha</cp:lastModifiedBy>
  <dcterms:created xsi:type="dcterms:W3CDTF">2026-02-20T00:24:24Z</dcterms:created>
  <dcterms:modified xsi:type="dcterms:W3CDTF">2026-02-20T01:20:18Z</dcterms:modified>
</cp:coreProperties>
</file>