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study-guide\study-guide-lab-style-1\instructor\"/>
    </mc:Choice>
  </mc:AlternateContent>
  <xr:revisionPtr revIDLastSave="0" documentId="13_ncr:1_{20403C83-38F7-46EA-AC37-15CD001B5100}" xr6:coauthVersionLast="47" xr6:coauthVersionMax="47" xr10:uidLastSave="{00000000-0000-0000-0000-000000000000}"/>
  <bookViews>
    <workbookView xWindow="-120" yWindow="-120" windowWidth="22920" windowHeight="13140" xr2:uid="{00000000-000D-0000-FFFF-FFFF00000000}"/>
  </bookViews>
  <sheets>
    <sheet name="Sheet1" sheetId="4" r:id="rId1"/>
    <sheet name="Solution_Data" sheetId="1" r:id="rId2"/>
    <sheet name="Reference_Tables" sheetId="2" r:id="rId3"/>
    <sheet name="Answer_Key" sheetId="3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K3" i="1" a="1"/>
  <c r="K3" i="1" s="1"/>
  <c r="K4" i="1" a="1"/>
  <c r="K4" i="1"/>
  <c r="K5" i="1" a="1"/>
  <c r="K5" i="1" s="1"/>
  <c r="K6" i="1" a="1"/>
  <c r="K6" i="1"/>
  <c r="K7" i="1" a="1"/>
  <c r="K7" i="1" s="1"/>
  <c r="K8" i="1" a="1"/>
  <c r="K8" i="1"/>
  <c r="K9" i="1" a="1"/>
  <c r="K9" i="1"/>
  <c r="K10" i="1" a="1"/>
  <c r="K10" i="1"/>
  <c r="K11" i="1" a="1"/>
  <c r="K11" i="1" s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 s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 s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 s="1"/>
  <c r="K32" i="1" a="1"/>
  <c r="K32" i="1"/>
  <c r="K33" i="1" a="1"/>
  <c r="K33" i="1" s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 s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 s="1"/>
  <c r="K48" i="1" a="1"/>
  <c r="K48" i="1"/>
  <c r="K49" i="1" a="1"/>
  <c r="K49" i="1"/>
  <c r="K50" i="1" a="1"/>
  <c r="K50" i="1"/>
  <c r="K51" i="1" a="1"/>
  <c r="K51" i="1"/>
  <c r="K2" i="1" a="1"/>
  <c r="K2" i="1" s="1"/>
  <c r="J3" i="1" a="1"/>
  <c r="J3" i="1" s="1"/>
  <c r="J4" i="1" a="1"/>
  <c r="J4" i="1"/>
  <c r="J5" i="1" a="1"/>
  <c r="J5" i="1"/>
  <c r="J6" i="1" a="1"/>
  <c r="J6" i="1"/>
  <c r="J7" i="1" a="1"/>
  <c r="J7" i="1" s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 s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 s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 s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 s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 s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 s="1"/>
  <c r="J50" i="1" a="1"/>
  <c r="J50" i="1"/>
  <c r="J51" i="1" a="1"/>
  <c r="J51" i="1"/>
  <c r="J2" i="1" a="1"/>
  <c r="J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I3" i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C4" i="3"/>
  <c r="C3" i="3"/>
  <c r="C2" i="3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<sst xmlns="http://schemas.openxmlformats.org/spreadsheetml/2006/main" count="211" uniqueCount="47">
  <si>
    <t>Emp_ID</t>
  </si>
  <si>
    <t>Department</t>
  </si>
  <si>
    <t>Office_Location</t>
  </si>
  <si>
    <t>Job_Level</t>
  </si>
  <si>
    <t>Years_Service</t>
  </si>
  <si>
    <t>Performance_Rating</t>
  </si>
  <si>
    <t>Base_Salary</t>
  </si>
  <si>
    <t>Bonus_Percent</t>
  </si>
  <si>
    <t>Severance_Weeks</t>
  </si>
  <si>
    <t>COLA_Amount</t>
  </si>
  <si>
    <t>Training_Budget</t>
  </si>
  <si>
    <t>Risk_Flag</t>
  </si>
  <si>
    <t>Sales</t>
  </si>
  <si>
    <t>Austin</t>
  </si>
  <si>
    <t>Associate</t>
  </si>
  <si>
    <t>Engineering</t>
  </si>
  <si>
    <t>Analyst</t>
  </si>
  <si>
    <t>Denver</t>
  </si>
  <si>
    <t>Manager</t>
  </si>
  <si>
    <t>Marketing</t>
  </si>
  <si>
    <t>Seattle</t>
  </si>
  <si>
    <t>HR</t>
  </si>
  <si>
    <t>Boston</t>
  </si>
  <si>
    <t>Director</t>
  </si>
  <si>
    <t>TABLE A: BONUS TIERS (Rating)</t>
  </si>
  <si>
    <t>Rating Threshold</t>
  </si>
  <si>
    <t>Bonus %</t>
  </si>
  <si>
    <t>TABLE B: SEVERANCE GUIDE (Years)</t>
  </si>
  <si>
    <t>Years Threshold</t>
  </si>
  <si>
    <t>Weeks Pay</t>
  </si>
  <si>
    <t>TABLE C: COLA MATRIX ($)</t>
  </si>
  <si>
    <t>Office/Level</t>
  </si>
  <si>
    <t>TABLE D: TRAINING BUDGET ($)</t>
  </si>
  <si>
    <t>Dept/Level</t>
  </si>
  <si>
    <t>Question</t>
  </si>
  <si>
    <t>Description</t>
  </si>
  <si>
    <t>Excel Formula Solution</t>
  </si>
  <si>
    <t>Q6</t>
  </si>
  <si>
    <t>Sum Base Salary (Eng, Seattle)</t>
  </si>
  <si>
    <t>Q7</t>
  </si>
  <si>
    <t>Count (Manager, Austin)</t>
  </si>
  <si>
    <t>Q8</t>
  </si>
  <si>
    <t>Avg Rating (Sales, &gt;5 Years)</t>
  </si>
  <si>
    <t>Sum of Base_Salary</t>
  </si>
  <si>
    <t>Row Labels</t>
  </si>
  <si>
    <t>Grand Total</t>
  </si>
  <si>
    <t>Count of 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</si>
</sst>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" borderId="1" xfId="0" applyFill="1" applyBorder="1"/>
    <xf numFmtId="0" fontId="0" fillId="3" borderId="0" xfId="0" applyFill="1"/>
    <xf numFmtId="10" fontId="0" fillId="3" borderId="1" xfId="0" applyNumberFormat="1" applyFill="1" applyBorder="1"/>
  </cellXfs>
  <cellStyles count="1">
    <cellStyle name="Normal" xfId="0" builtinId="0"/>
  </cellStyles>
  <dxfs count="9">
    <dxf>
      <fill>
        <patternFill patternType="solid"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FF00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j" refreshedDate="46056.87801064815" createdVersion="8" refreshedVersion="8" minRefreshableVersion="3" recordCount="50" xr:uid="{C08E9BBE-A78B-48D0-810F-F97F0B0EF579}">
  <cacheSource type="worksheet">
    <worksheetSource ref="A1:L51" sheet="Solution_Data"/>
  </cacheSource>
  <cacheFields count="12">
    <cacheField name="Emp_ID" numFmtId="0">
      <sharedItems containsSemiMixedTypes="0" containsString="0" containsNumber="1" containsInteger="1" minValue="1001" maxValue="1050"/>
    </cacheField>
    <cacheField name="Department" numFmtId="0">
      <sharedItems count="4">
        <s v="Sales"/>
        <s v="Engineering"/>
        <s v="Marketing"/>
        <s v="HR"/>
      </sharedItems>
    </cacheField>
    <cacheField name="Office_Location" numFmtId="0">
      <sharedItems/>
    </cacheField>
    <cacheField name="Job_Level" numFmtId="0">
      <sharedItems count="4">
        <s v="Associate"/>
        <s v="Analyst"/>
        <s v="Manager"/>
        <s v="Director"/>
      </sharedItems>
    </cacheField>
    <cacheField name="Years_Service" numFmtId="0">
      <sharedItems containsSemiMixedTypes="0" containsString="0" containsNumber="1" containsInteger="1" minValue="1" maxValue="19"/>
    </cacheField>
    <cacheField name="Performance_Rating" numFmtId="0">
      <sharedItems containsSemiMixedTypes="0" containsString="0" containsNumber="1" containsInteger="1" minValue="60" maxValue="100"/>
    </cacheField>
    <cacheField name="Base_Salary" numFmtId="0">
      <sharedItems containsSemiMixedTypes="0" containsString="0" containsNumber="1" containsInteger="1" minValue="50305" maxValue="142098"/>
    </cacheField>
    <cacheField name="Bonus_Percent" numFmtId="0">
      <sharedItems containsSemiMixedTypes="0" containsString="0" containsNumber="1" minValue="0" maxValue="0.15"/>
    </cacheField>
    <cacheField name="Severance_Weeks" numFmtId="0">
      <sharedItems containsSemiMixedTypes="0" containsString="0" containsNumber="1" containsInteger="1" minValue="0" maxValue="6"/>
    </cacheField>
    <cacheField name="COLA_Amount" numFmtId="0">
      <sharedItems containsSemiMixedTypes="0" containsString="0" containsNumber="1" containsInteger="1" minValue="1000" maxValue="9000"/>
    </cacheField>
    <cacheField name="Training_Budget" numFmtId="0">
      <sharedItems containsSemiMixedTypes="0" containsString="0" containsNumber="1" containsInteger="1" minValue="800" maxValue="6000"/>
    </cacheField>
    <cacheField name="Risk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s v="Austin"/>
    <x v="0"/>
    <n v="3"/>
    <n v="90"/>
    <n v="72663"/>
    <n v="0.1"/>
    <n v="2"/>
    <n v="1500"/>
    <n v="2000"/>
    <s v="Stable"/>
  </r>
  <r>
    <n v="1002"/>
    <x v="1"/>
    <s v="Austin"/>
    <x v="1"/>
    <n v="1"/>
    <n v="75"/>
    <n v="52785"/>
    <n v="0.05"/>
    <n v="0"/>
    <n v="1000"/>
    <n v="1500"/>
    <s v="Stable"/>
  </r>
  <r>
    <n v="1003"/>
    <x v="1"/>
    <s v="Denver"/>
    <x v="2"/>
    <n v="10"/>
    <n v="89"/>
    <n v="101104"/>
    <n v="0.1"/>
    <n v="6"/>
    <n v="3000"/>
    <n v="4000"/>
    <s v="Stable"/>
  </r>
  <r>
    <n v="1004"/>
    <x v="2"/>
    <s v="Denver"/>
    <x v="1"/>
    <n v="2"/>
    <n v="97"/>
    <n v="55218"/>
    <n v="0.15"/>
    <n v="2"/>
    <n v="1200"/>
    <n v="1200"/>
    <s v="High Risk"/>
  </r>
  <r>
    <n v="1005"/>
    <x v="0"/>
    <s v="Seattle"/>
    <x v="0"/>
    <n v="6"/>
    <n v="62"/>
    <n v="81484"/>
    <n v="0"/>
    <n v="6"/>
    <n v="3000"/>
    <n v="2000"/>
    <s v="Stable"/>
  </r>
  <r>
    <n v="1006"/>
    <x v="0"/>
    <s v="Seattle"/>
    <x v="0"/>
    <n v="7"/>
    <n v="68"/>
    <n v="77923"/>
    <n v="0"/>
    <n v="6"/>
    <n v="3000"/>
    <n v="2000"/>
    <s v="Stable"/>
  </r>
  <r>
    <n v="1007"/>
    <x v="2"/>
    <s v="Denver"/>
    <x v="1"/>
    <n v="2"/>
    <n v="75"/>
    <n v="57260"/>
    <n v="0.05"/>
    <n v="2"/>
    <n v="1200"/>
    <n v="1200"/>
    <s v="Stable"/>
  </r>
  <r>
    <n v="1008"/>
    <x v="3"/>
    <s v="Austin"/>
    <x v="1"/>
    <n v="2"/>
    <n v="62"/>
    <n v="64302"/>
    <n v="0"/>
    <n v="2"/>
    <n v="1000"/>
    <n v="800"/>
    <s v="Stable"/>
  </r>
  <r>
    <n v="1009"/>
    <x v="2"/>
    <s v="Denver"/>
    <x v="2"/>
    <n v="13"/>
    <n v="68"/>
    <n v="96294"/>
    <n v="0"/>
    <n v="6"/>
    <n v="3000"/>
    <n v="3000"/>
    <s v="Medium Risk"/>
  </r>
  <r>
    <n v="1010"/>
    <x v="3"/>
    <s v="Boston"/>
    <x v="1"/>
    <n v="1"/>
    <n v="84"/>
    <n v="50305"/>
    <n v="0.05"/>
    <n v="0"/>
    <n v="2200"/>
    <n v="800"/>
    <s v="Stable"/>
  </r>
  <r>
    <n v="1011"/>
    <x v="0"/>
    <s v="Boston"/>
    <x v="3"/>
    <n v="17"/>
    <n v="95"/>
    <n v="138328"/>
    <n v="0.15"/>
    <n v="6"/>
    <n v="9000"/>
    <n v="5000"/>
    <s v="Medium Risk"/>
  </r>
  <r>
    <n v="1012"/>
    <x v="0"/>
    <s v="Boston"/>
    <x v="0"/>
    <n v="7"/>
    <n v="61"/>
    <n v="83981"/>
    <n v="0"/>
    <n v="6"/>
    <n v="3200"/>
    <n v="2000"/>
    <s v="Stable"/>
  </r>
  <r>
    <n v="1013"/>
    <x v="2"/>
    <s v="Boston"/>
    <x v="0"/>
    <n v="6"/>
    <n v="66"/>
    <n v="74560"/>
    <n v="0"/>
    <n v="6"/>
    <n v="3200"/>
    <n v="2200"/>
    <s v="Stable"/>
  </r>
  <r>
    <n v="1014"/>
    <x v="2"/>
    <s v="Boston"/>
    <x v="2"/>
    <n v="11"/>
    <n v="82"/>
    <n v="103769"/>
    <n v="0.05"/>
    <n v="6"/>
    <n v="5500"/>
    <n v="3000"/>
    <s v="Medium Risk"/>
  </r>
  <r>
    <n v="1015"/>
    <x v="1"/>
    <s v="Boston"/>
    <x v="0"/>
    <n v="5"/>
    <n v="81"/>
    <n v="78574"/>
    <n v="0.05"/>
    <n v="6"/>
    <n v="3200"/>
    <n v="2500"/>
    <s v="Stable"/>
  </r>
  <r>
    <n v="1016"/>
    <x v="2"/>
    <s v="Boston"/>
    <x v="1"/>
    <n v="1"/>
    <n v="93"/>
    <n v="58086"/>
    <n v="0.1"/>
    <n v="0"/>
    <n v="2200"/>
    <n v="1200"/>
    <s v="High Risk"/>
  </r>
  <r>
    <n v="1017"/>
    <x v="1"/>
    <s v="Seattle"/>
    <x v="0"/>
    <n v="7"/>
    <n v="60"/>
    <n v="82792"/>
    <n v="0"/>
    <n v="6"/>
    <n v="3000"/>
    <n v="2500"/>
    <s v="Stable"/>
  </r>
  <r>
    <n v="1018"/>
    <x v="2"/>
    <s v="Denver"/>
    <x v="0"/>
    <n v="4"/>
    <n v="87"/>
    <n v="78404"/>
    <n v="0.1"/>
    <n v="2"/>
    <n v="1800"/>
    <n v="2200"/>
    <s v="Stable"/>
  </r>
  <r>
    <n v="1019"/>
    <x v="0"/>
    <s v="Denver"/>
    <x v="0"/>
    <n v="6"/>
    <n v="79"/>
    <n v="74576"/>
    <n v="0.05"/>
    <n v="6"/>
    <n v="1800"/>
    <n v="2000"/>
    <s v="Stable"/>
  </r>
  <r>
    <n v="1020"/>
    <x v="1"/>
    <s v="Boston"/>
    <x v="1"/>
    <n v="1"/>
    <n v="80"/>
    <n v="54377"/>
    <n v="0.05"/>
    <n v="0"/>
    <n v="2200"/>
    <n v="1500"/>
    <s v="Stable"/>
  </r>
  <r>
    <n v="1021"/>
    <x v="0"/>
    <s v="Seattle"/>
    <x v="1"/>
    <n v="3"/>
    <n v="79"/>
    <n v="55060"/>
    <n v="0.05"/>
    <n v="2"/>
    <n v="2000"/>
    <n v="1000"/>
    <s v="Stable"/>
  </r>
  <r>
    <n v="1022"/>
    <x v="1"/>
    <s v="Denver"/>
    <x v="0"/>
    <n v="5"/>
    <n v="64"/>
    <n v="74217"/>
    <n v="0"/>
    <n v="6"/>
    <n v="1800"/>
    <n v="2500"/>
    <s v="Stable"/>
  </r>
  <r>
    <n v="1023"/>
    <x v="3"/>
    <s v="Denver"/>
    <x v="1"/>
    <n v="3"/>
    <n v="100"/>
    <n v="52310"/>
    <n v="0.15"/>
    <n v="2"/>
    <n v="1200"/>
    <n v="800"/>
    <s v="High Risk"/>
  </r>
  <r>
    <n v="1024"/>
    <x v="0"/>
    <s v="Seattle"/>
    <x v="0"/>
    <n v="6"/>
    <n v="63"/>
    <n v="77903"/>
    <n v="0"/>
    <n v="6"/>
    <n v="3000"/>
    <n v="2000"/>
    <s v="Stable"/>
  </r>
  <r>
    <n v="1025"/>
    <x v="1"/>
    <s v="Boston"/>
    <x v="2"/>
    <n v="13"/>
    <n v="96"/>
    <n v="100486"/>
    <n v="0.15"/>
    <n v="6"/>
    <n v="5500"/>
    <n v="4000"/>
    <s v="Medium Risk"/>
  </r>
  <r>
    <n v="1026"/>
    <x v="0"/>
    <s v="Austin"/>
    <x v="2"/>
    <n v="10"/>
    <n v="79"/>
    <n v="102788"/>
    <n v="0.05"/>
    <n v="6"/>
    <n v="2500"/>
    <n v="3500"/>
    <s v="Stable"/>
  </r>
  <r>
    <n v="1027"/>
    <x v="1"/>
    <s v="Seattle"/>
    <x v="1"/>
    <n v="1"/>
    <n v="63"/>
    <n v="60147"/>
    <n v="0"/>
    <n v="0"/>
    <n v="2000"/>
    <n v="1500"/>
    <s v="Stable"/>
  </r>
  <r>
    <n v="1028"/>
    <x v="1"/>
    <s v="Denver"/>
    <x v="3"/>
    <n v="16"/>
    <n v="79"/>
    <n v="134153"/>
    <n v="0.05"/>
    <n v="6"/>
    <n v="5000"/>
    <n v="6000"/>
    <s v="Medium Risk"/>
  </r>
  <r>
    <n v="1029"/>
    <x v="3"/>
    <s v="Seattle"/>
    <x v="0"/>
    <n v="4"/>
    <n v="73"/>
    <n v="76867"/>
    <n v="0.05"/>
    <n v="2"/>
    <n v="3000"/>
    <n v="1500"/>
    <s v="Stable"/>
  </r>
  <r>
    <n v="1030"/>
    <x v="3"/>
    <s v="Austin"/>
    <x v="1"/>
    <n v="3"/>
    <n v="95"/>
    <n v="60899"/>
    <n v="0.15"/>
    <n v="2"/>
    <n v="1000"/>
    <n v="800"/>
    <s v="High Risk"/>
  </r>
  <r>
    <n v="1031"/>
    <x v="0"/>
    <s v="Seattle"/>
    <x v="0"/>
    <n v="3"/>
    <n v="96"/>
    <n v="79988"/>
    <n v="0.15"/>
    <n v="2"/>
    <n v="3000"/>
    <n v="2000"/>
    <s v="Stable"/>
  </r>
  <r>
    <n v="1032"/>
    <x v="2"/>
    <s v="Denver"/>
    <x v="3"/>
    <n v="15"/>
    <n v="73"/>
    <n v="139891"/>
    <n v="0.05"/>
    <n v="6"/>
    <n v="5000"/>
    <n v="4500"/>
    <s v="Medium Risk"/>
  </r>
  <r>
    <n v="1033"/>
    <x v="2"/>
    <s v="Denver"/>
    <x v="0"/>
    <n v="3"/>
    <n v="66"/>
    <n v="75801"/>
    <n v="0"/>
    <n v="2"/>
    <n v="1800"/>
    <n v="2200"/>
    <s v="Stable"/>
  </r>
  <r>
    <n v="1034"/>
    <x v="3"/>
    <s v="Seattle"/>
    <x v="1"/>
    <n v="2"/>
    <n v="76"/>
    <n v="60387"/>
    <n v="0.05"/>
    <n v="2"/>
    <n v="2000"/>
    <n v="800"/>
    <s v="Stable"/>
  </r>
  <r>
    <n v="1035"/>
    <x v="1"/>
    <s v="Denver"/>
    <x v="2"/>
    <n v="13"/>
    <n v="62"/>
    <n v="101101"/>
    <n v="0"/>
    <n v="6"/>
    <n v="3000"/>
    <n v="4000"/>
    <s v="Medium Risk"/>
  </r>
  <r>
    <n v="1036"/>
    <x v="3"/>
    <s v="Seattle"/>
    <x v="1"/>
    <n v="2"/>
    <n v="65"/>
    <n v="61655"/>
    <n v="0"/>
    <n v="2"/>
    <n v="2000"/>
    <n v="800"/>
    <s v="Stable"/>
  </r>
  <r>
    <n v="1037"/>
    <x v="0"/>
    <s v="Seattle"/>
    <x v="3"/>
    <n v="19"/>
    <n v="70"/>
    <n v="135428"/>
    <n v="0.05"/>
    <n v="6"/>
    <n v="8000"/>
    <n v="5000"/>
    <s v="Medium Risk"/>
  </r>
  <r>
    <n v="1038"/>
    <x v="0"/>
    <s v="Boston"/>
    <x v="3"/>
    <n v="18"/>
    <n v="73"/>
    <n v="137779"/>
    <n v="0.05"/>
    <n v="6"/>
    <n v="9000"/>
    <n v="5000"/>
    <s v="Medium Risk"/>
  </r>
  <r>
    <n v="1039"/>
    <x v="1"/>
    <s v="Boston"/>
    <x v="0"/>
    <n v="4"/>
    <n v="78"/>
    <n v="84514"/>
    <n v="0.05"/>
    <n v="2"/>
    <n v="3200"/>
    <n v="2500"/>
    <s v="Stable"/>
  </r>
  <r>
    <n v="1040"/>
    <x v="1"/>
    <s v="Boston"/>
    <x v="2"/>
    <n v="9"/>
    <n v="86"/>
    <n v="99652"/>
    <n v="0.1"/>
    <n v="6"/>
    <n v="5500"/>
    <n v="4000"/>
    <s v="Stable"/>
  </r>
  <r>
    <n v="1041"/>
    <x v="2"/>
    <s v="Austin"/>
    <x v="1"/>
    <n v="3"/>
    <n v="98"/>
    <n v="61625"/>
    <n v="0.15"/>
    <n v="2"/>
    <n v="1000"/>
    <n v="1200"/>
    <s v="High Risk"/>
  </r>
  <r>
    <n v="1042"/>
    <x v="1"/>
    <s v="Seattle"/>
    <x v="2"/>
    <n v="9"/>
    <n v="80"/>
    <n v="107805"/>
    <n v="0.05"/>
    <n v="6"/>
    <n v="5000"/>
    <n v="4000"/>
    <s v="Stable"/>
  </r>
  <r>
    <n v="1043"/>
    <x v="0"/>
    <s v="Austin"/>
    <x v="3"/>
    <n v="17"/>
    <n v="95"/>
    <n v="142098"/>
    <n v="0.15"/>
    <n v="6"/>
    <n v="4000"/>
    <n v="5000"/>
    <s v="Medium Risk"/>
  </r>
  <r>
    <n v="1044"/>
    <x v="1"/>
    <s v="Boston"/>
    <x v="0"/>
    <n v="4"/>
    <n v="64"/>
    <n v="74156"/>
    <n v="0"/>
    <n v="2"/>
    <n v="3200"/>
    <n v="2500"/>
    <s v="Stable"/>
  </r>
  <r>
    <n v="1045"/>
    <x v="0"/>
    <s v="Boston"/>
    <x v="0"/>
    <n v="3"/>
    <n v="87"/>
    <n v="75945"/>
    <n v="0.1"/>
    <n v="2"/>
    <n v="3200"/>
    <n v="2000"/>
    <s v="Stable"/>
  </r>
  <r>
    <n v="1046"/>
    <x v="2"/>
    <s v="Seattle"/>
    <x v="1"/>
    <n v="3"/>
    <n v="68"/>
    <n v="62081"/>
    <n v="0"/>
    <n v="2"/>
    <n v="2000"/>
    <n v="1200"/>
    <s v="Stable"/>
  </r>
  <r>
    <n v="1047"/>
    <x v="2"/>
    <s v="Austin"/>
    <x v="1"/>
    <n v="3"/>
    <n v="68"/>
    <n v="64202"/>
    <n v="0"/>
    <n v="2"/>
    <n v="1000"/>
    <n v="1200"/>
    <s v="Stable"/>
  </r>
  <r>
    <n v="1048"/>
    <x v="0"/>
    <s v="Seattle"/>
    <x v="0"/>
    <n v="7"/>
    <n v="66"/>
    <n v="81961"/>
    <n v="0"/>
    <n v="6"/>
    <n v="3000"/>
    <n v="2000"/>
    <s v="Stable"/>
  </r>
  <r>
    <n v="1049"/>
    <x v="0"/>
    <s v="Austin"/>
    <x v="2"/>
    <n v="11"/>
    <n v="92"/>
    <n v="109097"/>
    <n v="0.1"/>
    <n v="6"/>
    <n v="2500"/>
    <n v="3500"/>
    <s v="Medium Risk"/>
  </r>
  <r>
    <n v="1050"/>
    <x v="3"/>
    <s v="Austin"/>
    <x v="0"/>
    <n v="4"/>
    <n v="68"/>
    <n v="77866"/>
    <n v="0"/>
    <n v="2"/>
    <n v="1500"/>
    <n v="1500"/>
    <s v="St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E2F76-12B9-44A0-BFA9-EF7AAB8B40B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Base_Salary" fld="6" baseField="0" baseItem="0"/>
  </dataFields>
  <formats count="3">
    <format dxfId="5">
      <pivotArea collapsedLevelsAreSubtotals="1" fieldPosition="0">
        <references count="1">
          <reference field="1" count="1">
            <x v="2"/>
          </reference>
        </references>
      </pivotArea>
    </format>
    <format dxfId="4">
      <pivotArea collapsedLevelsAreSubtotals="1" fieldPosition="0">
        <references count="1">
          <reference field="1" count="1">
            <x v="2"/>
          </reference>
        </references>
      </pivotArea>
    </format>
    <format dxfId="3">
      <pivotArea collapsedLevelsAreSubtotals="1" fieldPosition="0">
        <references count="1">
          <reference field="1" count="1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FF540-DCB8-455B-8C94-91CA8C587B6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12">
    <pivotField dataField="1" showAll="0"/>
    <pivotField showAll="0">
      <items count="5">
        <item x="1"/>
        <item x="3"/>
        <item x="2"/>
        <item x="0"/>
        <item t="default"/>
      </items>
    </pivotField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_ID" fld="0" subtotal="count" showDataAs="percentOfTotal" baseField="0" baseItem="0" numFmtId="10"/>
  </dataFields>
  <formats count="3">
    <format dxfId="8">
      <pivotArea collapsedLevelsAreSubtotals="1" fieldPosition="0">
        <references count="1">
          <reference field="3" count="1">
            <x v="2"/>
          </reference>
        </references>
      </pivotArea>
    </format>
    <format dxfId="7">
      <pivotArea collapsedLevelsAreSubtotals="1" fieldPosition="0">
        <references count="1">
          <reference field="3" count="1">
            <x v="2"/>
          </reference>
        </references>
      </pivotArea>
    </format>
    <format dxfId="6">
      <pivotArea collapsedLevelsAreSubtotals="1" fieldPosition="0">
        <references count="1">
          <reference field="3" count="1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3FFB-08E0-43B7-994E-F4B66E98BF29}">
  <dimension ref="A3:E8"/>
  <sheetViews>
    <sheetView tabSelected="1" workbookViewId="0">
      <selection activeCell="E9" sqref="E9"/>
    </sheetView>
  </sheetViews>
  <sheetFormatPr defaultRowHeight="15.75" x14ac:dyDescent="0.25"/>
  <cols>
    <col min="1" max="1" width="12.125" bestFit="1" customWidth="1"/>
    <col min="2" max="2" width="16.875" bestFit="1" customWidth="1"/>
    <col min="4" max="4" width="12.125" bestFit="1" customWidth="1"/>
    <col min="5" max="5" width="14.625" bestFit="1" customWidth="1"/>
    <col min="6" max="6" width="13.25" bestFit="1" customWidth="1"/>
  </cols>
  <sheetData>
    <row r="3" spans="1:5" x14ac:dyDescent="0.25">
      <c r="A3" s="3" t="s">
        <v>44</v>
      </c>
      <c r="B3" t="s">
        <v>43</v>
      </c>
      <c r="D3" s="3" t="s">
        <v>44</v>
      </c>
      <c r="E3" t="s">
        <v>46</v>
      </c>
    </row>
    <row r="4" spans="1:5" x14ac:dyDescent="0.25">
      <c r="A4" s="4" t="s">
        <v>15</v>
      </c>
      <c r="B4">
        <v>1205863</v>
      </c>
      <c r="D4" s="4" t="s">
        <v>16</v>
      </c>
      <c r="E4" s="5">
        <v>0.32</v>
      </c>
    </row>
    <row r="5" spans="1:5" ht="16.5" thickBot="1" x14ac:dyDescent="0.3">
      <c r="A5" s="4" t="s">
        <v>21</v>
      </c>
      <c r="B5">
        <v>504591</v>
      </c>
      <c r="D5" s="4" t="s">
        <v>14</v>
      </c>
      <c r="E5" s="5">
        <v>0.38</v>
      </c>
    </row>
    <row r="6" spans="1:5" ht="16.5" thickBot="1" x14ac:dyDescent="0.3">
      <c r="A6" s="4" t="s">
        <v>19</v>
      </c>
      <c r="B6" s="6">
        <v>927191</v>
      </c>
      <c r="D6" s="4" t="s">
        <v>23</v>
      </c>
      <c r="E6" s="8">
        <v>0.12</v>
      </c>
    </row>
    <row r="7" spans="1:5" x14ac:dyDescent="0.25">
      <c r="A7" s="4" t="s">
        <v>12</v>
      </c>
      <c r="B7">
        <v>1527002</v>
      </c>
      <c r="D7" s="4" t="s">
        <v>18</v>
      </c>
      <c r="E7" s="5">
        <v>0.18</v>
      </c>
    </row>
    <row r="8" spans="1:5" x14ac:dyDescent="0.25">
      <c r="A8" s="4" t="s">
        <v>45</v>
      </c>
      <c r="B8">
        <v>4164647</v>
      </c>
      <c r="D8" s="4" t="s">
        <v>45</v>
      </c>
      <c r="E8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opLeftCell="A12" workbookViewId="0">
      <selection activeCell="Q42" sqref="Q42"/>
    </sheetView>
  </sheetViews>
  <sheetFormatPr defaultRowHeight="15.75" x14ac:dyDescent="0.25"/>
  <cols>
    <col min="8" max="8" width="13.875" bestFit="1" customWidth="1"/>
    <col min="9" max="9" width="16.375" bestFit="1" customWidth="1"/>
    <col min="10" max="10" width="13.5" bestFit="1" customWidth="1"/>
    <col min="11" max="11" width="15.125" bestFit="1" customWidth="1"/>
    <col min="12" max="12" width="11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1001</v>
      </c>
      <c r="B2" t="s">
        <v>12</v>
      </c>
      <c r="C2" t="s">
        <v>13</v>
      </c>
      <c r="D2" t="s">
        <v>14</v>
      </c>
      <c r="E2">
        <v>3</v>
      </c>
      <c r="F2">
        <v>90</v>
      </c>
      <c r="G2">
        <v>72663</v>
      </c>
      <c r="H2" s="1">
        <f>_xlfn.XLOOKUP(F2,Reference_Tables!$A$3:$A$6,Reference_Tables!$B$3:$B$6,,-1)</f>
        <v>0.1</v>
      </c>
      <c r="I2" s="1">
        <f>_xlfn.XLOOKUP(E2,Reference_Tables!$A$10:$A$13,Reference_Tables!$B$10:$B$13,,-1)</f>
        <v>2</v>
      </c>
      <c r="J2" s="1" cm="1">
        <f t="array" ref="J2">INDEX(Reference_Tables!$B$19:$E$22,_xlfn.XMATCH(C2,Reference_Tables!$A$19:$A$22),_xlfn.XMATCH(D2,Reference_Tables!$B$18:$E$18))</f>
        <v>1500</v>
      </c>
      <c r="K2" s="1" cm="1">
        <f t="array" ref="K2">INDEX(Reference_Tables!$B$27:$E$30,_xlfn.XMATCH(B2,Reference_Tables!$A$27:$A$30),_xlfn.XMATCH(D2,Reference_Tables!$B$26:$E$26))</f>
        <v>2000</v>
      </c>
      <c r="L2" s="1" t="str">
        <f t="shared" ref="L2:L33" si="0">IF(AND(F2&gt;90,G2&lt;65000),"High Risk",IF(E2&gt;10,"Medium Risk","Stable"))</f>
        <v>Stable</v>
      </c>
    </row>
    <row r="3" spans="1:12" x14ac:dyDescent="0.25">
      <c r="A3">
        <v>1002</v>
      </c>
      <c r="B3" t="s">
        <v>15</v>
      </c>
      <c r="C3" t="s">
        <v>13</v>
      </c>
      <c r="D3" t="s">
        <v>16</v>
      </c>
      <c r="E3">
        <v>1</v>
      </c>
      <c r="F3">
        <v>75</v>
      </c>
      <c r="G3">
        <v>52785</v>
      </c>
      <c r="H3" s="1">
        <f>_xlfn.XLOOKUP(F3,Reference_Tables!$A$3:$A$6,Reference_Tables!$B$3:$B$6,,-1)</f>
        <v>0.05</v>
      </c>
      <c r="I3" s="1">
        <f>_xlfn.XLOOKUP(E3,Reference_Tables!$A$10:$A$13,Reference_Tables!$B$10:$B$13,,-1)</f>
        <v>0</v>
      </c>
      <c r="J3" s="1" cm="1">
        <f t="array" ref="J3">INDEX(Reference_Tables!$B$19:$E$22,_xlfn.XMATCH(C3,Reference_Tables!$A$19:$A$22),_xlfn.XMATCH(D3,Reference_Tables!$B$18:$E$18))</f>
        <v>1000</v>
      </c>
      <c r="K3" s="1" cm="1">
        <f t="array" ref="K3">INDEX(Reference_Tables!$B$27:$E$30,_xlfn.XMATCH(B3,Reference_Tables!$A$27:$A$30),_xlfn.XMATCH(D3,Reference_Tables!$B$26:$E$26))</f>
        <v>1500</v>
      </c>
      <c r="L3" s="1" t="str">
        <f t="shared" si="0"/>
        <v>Stable</v>
      </c>
    </row>
    <row r="4" spans="1:12" x14ac:dyDescent="0.25">
      <c r="A4">
        <v>1003</v>
      </c>
      <c r="B4" t="s">
        <v>15</v>
      </c>
      <c r="C4" t="s">
        <v>17</v>
      </c>
      <c r="D4" t="s">
        <v>18</v>
      </c>
      <c r="E4">
        <v>10</v>
      </c>
      <c r="F4">
        <v>89</v>
      </c>
      <c r="G4">
        <v>101104</v>
      </c>
      <c r="H4" s="1">
        <f>_xlfn.XLOOKUP(F4,Reference_Tables!$A$3:$A$6,Reference_Tables!$B$3:$B$6,,-1)</f>
        <v>0.1</v>
      </c>
      <c r="I4" s="1">
        <f>_xlfn.XLOOKUP(E4,Reference_Tables!$A$10:$A$13,Reference_Tables!$B$10:$B$13,,-1)</f>
        <v>6</v>
      </c>
      <c r="J4" s="1" cm="1">
        <f t="array" ref="J4">INDEX(Reference_Tables!$B$19:$E$22,_xlfn.XMATCH(C4,Reference_Tables!$A$19:$A$22),_xlfn.XMATCH(D4,Reference_Tables!$B$18:$E$18))</f>
        <v>3000</v>
      </c>
      <c r="K4" s="1" cm="1">
        <f t="array" ref="K4">INDEX(Reference_Tables!$B$27:$E$30,_xlfn.XMATCH(B4,Reference_Tables!$A$27:$A$30),_xlfn.XMATCH(D4,Reference_Tables!$B$26:$E$26))</f>
        <v>4000</v>
      </c>
      <c r="L4" s="1" t="str">
        <f t="shared" si="0"/>
        <v>Stable</v>
      </c>
    </row>
    <row r="5" spans="1:12" ht="16.5" thickBot="1" x14ac:dyDescent="0.3">
      <c r="A5">
        <v>1004</v>
      </c>
      <c r="B5" t="s">
        <v>19</v>
      </c>
      <c r="C5" t="s">
        <v>17</v>
      </c>
      <c r="D5" t="s">
        <v>16</v>
      </c>
      <c r="E5">
        <v>2</v>
      </c>
      <c r="F5">
        <v>97</v>
      </c>
      <c r="G5">
        <v>55218</v>
      </c>
      <c r="H5" s="1">
        <f>_xlfn.XLOOKUP(F5,Reference_Tables!$A$3:$A$6,Reference_Tables!$B$3:$B$6,,-1)</f>
        <v>0.15</v>
      </c>
      <c r="I5" s="1">
        <f>_xlfn.XLOOKUP(E5,Reference_Tables!$A$10:$A$13,Reference_Tables!$B$10:$B$13,,-1)</f>
        <v>2</v>
      </c>
      <c r="J5" s="1" cm="1">
        <f t="array" ref="J5">INDEX(Reference_Tables!$B$19:$E$22,_xlfn.XMATCH(C5,Reference_Tables!$A$19:$A$22),_xlfn.XMATCH(D5,Reference_Tables!$B$18:$E$18))</f>
        <v>1200</v>
      </c>
      <c r="K5" s="1" cm="1">
        <f t="array" ref="K5">INDEX(Reference_Tables!$B$27:$E$30,_xlfn.XMATCH(B5,Reference_Tables!$A$27:$A$30),_xlfn.XMATCH(D5,Reference_Tables!$B$26:$E$26))</f>
        <v>1200</v>
      </c>
      <c r="L5" s="1" t="str">
        <f t="shared" si="0"/>
        <v>High Risk</v>
      </c>
    </row>
    <row r="6" spans="1:12" ht="16.5" thickBot="1" x14ac:dyDescent="0.3">
      <c r="A6">
        <v>1005</v>
      </c>
      <c r="B6" t="s">
        <v>12</v>
      </c>
      <c r="C6" t="s">
        <v>20</v>
      </c>
      <c r="D6" t="s">
        <v>14</v>
      </c>
      <c r="E6">
        <v>6</v>
      </c>
      <c r="F6">
        <v>62</v>
      </c>
      <c r="G6">
        <v>81484</v>
      </c>
      <c r="H6" s="6">
        <f>_xlfn.XLOOKUP(F6,Reference_Tables!$A$3:$A$6,Reference_Tables!$B$3:$B$6,,-1)</f>
        <v>0</v>
      </c>
      <c r="I6" s="1">
        <f>_xlfn.XLOOKUP(E6,Reference_Tables!$A$10:$A$13,Reference_Tables!$B$10:$B$13,,-1)</f>
        <v>6</v>
      </c>
      <c r="J6" s="1" cm="1">
        <f t="array" ref="J6">INDEX(Reference_Tables!$B$19:$E$22,_xlfn.XMATCH(C6,Reference_Tables!$A$19:$A$22),_xlfn.XMATCH(D6,Reference_Tables!$B$18:$E$18))</f>
        <v>3000</v>
      </c>
      <c r="K6" s="1" cm="1">
        <f t="array" ref="K6">INDEX(Reference_Tables!$B$27:$E$30,_xlfn.XMATCH(B6,Reference_Tables!$A$27:$A$30),_xlfn.XMATCH(D6,Reference_Tables!$B$26:$E$26))</f>
        <v>2000</v>
      </c>
      <c r="L6" s="1" t="str">
        <f t="shared" si="0"/>
        <v>Stable</v>
      </c>
    </row>
    <row r="7" spans="1:12" x14ac:dyDescent="0.25">
      <c r="A7">
        <v>1006</v>
      </c>
      <c r="B7" t="s">
        <v>12</v>
      </c>
      <c r="C7" t="s">
        <v>20</v>
      </c>
      <c r="D7" t="s">
        <v>14</v>
      </c>
      <c r="E7">
        <v>7</v>
      </c>
      <c r="F7">
        <v>68</v>
      </c>
      <c r="G7">
        <v>77923</v>
      </c>
      <c r="H7" s="1">
        <f>_xlfn.XLOOKUP(F7,Reference_Tables!$A$3:$A$6,Reference_Tables!$B$3:$B$6,,-1)</f>
        <v>0</v>
      </c>
      <c r="I7" s="1">
        <f>_xlfn.XLOOKUP(E7,Reference_Tables!$A$10:$A$13,Reference_Tables!$B$10:$B$13,,-1)</f>
        <v>6</v>
      </c>
      <c r="J7" s="1" cm="1">
        <f t="array" ref="J7">INDEX(Reference_Tables!$B$19:$E$22,_xlfn.XMATCH(C7,Reference_Tables!$A$19:$A$22),_xlfn.XMATCH(D7,Reference_Tables!$B$18:$E$18))</f>
        <v>3000</v>
      </c>
      <c r="K7" s="1" cm="1">
        <f t="array" ref="K7">INDEX(Reference_Tables!$B$27:$E$30,_xlfn.XMATCH(B7,Reference_Tables!$A$27:$A$30),_xlfn.XMATCH(D7,Reference_Tables!$B$26:$E$26))</f>
        <v>2000</v>
      </c>
      <c r="L7" s="1" t="str">
        <f t="shared" si="0"/>
        <v>Stable</v>
      </c>
    </row>
    <row r="8" spans="1:12" x14ac:dyDescent="0.25">
      <c r="A8">
        <v>1007</v>
      </c>
      <c r="B8" t="s">
        <v>19</v>
      </c>
      <c r="C8" t="s">
        <v>17</v>
      </c>
      <c r="D8" t="s">
        <v>16</v>
      </c>
      <c r="E8">
        <v>2</v>
      </c>
      <c r="F8">
        <v>75</v>
      </c>
      <c r="G8">
        <v>57260</v>
      </c>
      <c r="H8" s="1">
        <f>_xlfn.XLOOKUP(F8,Reference_Tables!$A$3:$A$6,Reference_Tables!$B$3:$B$6,,-1)</f>
        <v>0.05</v>
      </c>
      <c r="I8" s="1">
        <f>_xlfn.XLOOKUP(E8,Reference_Tables!$A$10:$A$13,Reference_Tables!$B$10:$B$13,,-1)</f>
        <v>2</v>
      </c>
      <c r="J8" s="1" cm="1">
        <f t="array" ref="J8">INDEX(Reference_Tables!$B$19:$E$22,_xlfn.XMATCH(C8,Reference_Tables!$A$19:$A$22),_xlfn.XMATCH(D8,Reference_Tables!$B$18:$E$18))</f>
        <v>1200</v>
      </c>
      <c r="K8" s="1" cm="1">
        <f t="array" ref="K8">INDEX(Reference_Tables!$B$27:$E$30,_xlfn.XMATCH(B8,Reference_Tables!$A$27:$A$30),_xlfn.XMATCH(D8,Reference_Tables!$B$26:$E$26))</f>
        <v>1200</v>
      </c>
      <c r="L8" s="1" t="str">
        <f t="shared" si="0"/>
        <v>Stable</v>
      </c>
    </row>
    <row r="9" spans="1:12" x14ac:dyDescent="0.25">
      <c r="A9">
        <v>1008</v>
      </c>
      <c r="B9" t="s">
        <v>21</v>
      </c>
      <c r="C9" t="s">
        <v>13</v>
      </c>
      <c r="D9" t="s">
        <v>16</v>
      </c>
      <c r="E9">
        <v>2</v>
      </c>
      <c r="F9">
        <v>62</v>
      </c>
      <c r="G9">
        <v>64302</v>
      </c>
      <c r="H9" s="1">
        <f>_xlfn.XLOOKUP(F9,Reference_Tables!$A$3:$A$6,Reference_Tables!$B$3:$B$6,,-1)</f>
        <v>0</v>
      </c>
      <c r="I9" s="1">
        <f>_xlfn.XLOOKUP(E9,Reference_Tables!$A$10:$A$13,Reference_Tables!$B$10:$B$13,,-1)</f>
        <v>2</v>
      </c>
      <c r="J9" s="1" cm="1">
        <f t="array" ref="J9">INDEX(Reference_Tables!$B$19:$E$22,_xlfn.XMATCH(C9,Reference_Tables!$A$19:$A$22),_xlfn.XMATCH(D9,Reference_Tables!$B$18:$E$18))</f>
        <v>1000</v>
      </c>
      <c r="K9" s="1" cm="1">
        <f t="array" ref="K9">INDEX(Reference_Tables!$B$27:$E$30,_xlfn.XMATCH(B9,Reference_Tables!$A$27:$A$30),_xlfn.XMATCH(D9,Reference_Tables!$B$26:$E$26))</f>
        <v>800</v>
      </c>
      <c r="L9" s="1" t="str">
        <f t="shared" si="0"/>
        <v>Stable</v>
      </c>
    </row>
    <row r="10" spans="1:12" x14ac:dyDescent="0.25">
      <c r="A10">
        <v>1009</v>
      </c>
      <c r="B10" t="s">
        <v>19</v>
      </c>
      <c r="C10" t="s">
        <v>17</v>
      </c>
      <c r="D10" t="s">
        <v>18</v>
      </c>
      <c r="E10">
        <v>13</v>
      </c>
      <c r="F10">
        <v>68</v>
      </c>
      <c r="G10">
        <v>96294</v>
      </c>
      <c r="H10" s="1">
        <f>_xlfn.XLOOKUP(F10,Reference_Tables!$A$3:$A$6,Reference_Tables!$B$3:$B$6,,-1)</f>
        <v>0</v>
      </c>
      <c r="I10" s="1">
        <f>_xlfn.XLOOKUP(E10,Reference_Tables!$A$10:$A$13,Reference_Tables!$B$10:$B$13,,-1)</f>
        <v>6</v>
      </c>
      <c r="J10" s="1" cm="1">
        <f t="array" ref="J10">INDEX(Reference_Tables!$B$19:$E$22,_xlfn.XMATCH(C10,Reference_Tables!$A$19:$A$22),_xlfn.XMATCH(D10,Reference_Tables!$B$18:$E$18))</f>
        <v>3000</v>
      </c>
      <c r="K10" s="1" cm="1">
        <f t="array" ref="K10">INDEX(Reference_Tables!$B$27:$E$30,_xlfn.XMATCH(B10,Reference_Tables!$A$27:$A$30),_xlfn.XMATCH(D10,Reference_Tables!$B$26:$E$26))</f>
        <v>3000</v>
      </c>
      <c r="L10" s="1" t="str">
        <f t="shared" si="0"/>
        <v>Medium Risk</v>
      </c>
    </row>
    <row r="11" spans="1:12" x14ac:dyDescent="0.25">
      <c r="A11">
        <v>1010</v>
      </c>
      <c r="B11" t="s">
        <v>21</v>
      </c>
      <c r="C11" t="s">
        <v>22</v>
      </c>
      <c r="D11" t="s">
        <v>16</v>
      </c>
      <c r="E11">
        <v>1</v>
      </c>
      <c r="F11">
        <v>84</v>
      </c>
      <c r="G11">
        <v>50305</v>
      </c>
      <c r="H11" s="1">
        <f>_xlfn.XLOOKUP(F11,Reference_Tables!$A$3:$A$6,Reference_Tables!$B$3:$B$6,,-1)</f>
        <v>0.05</v>
      </c>
      <c r="I11" s="1">
        <f>_xlfn.XLOOKUP(E11,Reference_Tables!$A$10:$A$13,Reference_Tables!$B$10:$B$13,,-1)</f>
        <v>0</v>
      </c>
      <c r="J11" s="1" cm="1">
        <f t="array" ref="J11">INDEX(Reference_Tables!$B$19:$E$22,_xlfn.XMATCH(C11,Reference_Tables!$A$19:$A$22),_xlfn.XMATCH(D11,Reference_Tables!$B$18:$E$18))</f>
        <v>2200</v>
      </c>
      <c r="K11" s="1" cm="1">
        <f t="array" ref="K11">INDEX(Reference_Tables!$B$27:$E$30,_xlfn.XMATCH(B11,Reference_Tables!$A$27:$A$30),_xlfn.XMATCH(D11,Reference_Tables!$B$26:$E$26))</f>
        <v>800</v>
      </c>
      <c r="L11" s="1" t="str">
        <f t="shared" si="0"/>
        <v>Stable</v>
      </c>
    </row>
    <row r="12" spans="1:12" ht="16.5" thickBot="1" x14ac:dyDescent="0.3">
      <c r="A12">
        <v>1011</v>
      </c>
      <c r="B12" t="s">
        <v>12</v>
      </c>
      <c r="C12" t="s">
        <v>22</v>
      </c>
      <c r="D12" t="s">
        <v>23</v>
      </c>
      <c r="E12">
        <v>17</v>
      </c>
      <c r="F12">
        <v>95</v>
      </c>
      <c r="G12">
        <v>138328</v>
      </c>
      <c r="H12" s="1">
        <f>_xlfn.XLOOKUP(F12,Reference_Tables!$A$3:$A$6,Reference_Tables!$B$3:$B$6,,-1)</f>
        <v>0.15</v>
      </c>
      <c r="I12" s="1">
        <f>_xlfn.XLOOKUP(E12,Reference_Tables!$A$10:$A$13,Reference_Tables!$B$10:$B$13,,-1)</f>
        <v>6</v>
      </c>
      <c r="J12" s="1" cm="1">
        <f t="array" ref="J12">INDEX(Reference_Tables!$B$19:$E$22,_xlfn.XMATCH(C12,Reference_Tables!$A$19:$A$22),_xlfn.XMATCH(D12,Reference_Tables!$B$18:$E$18))</f>
        <v>9000</v>
      </c>
      <c r="K12" s="1" cm="1">
        <f t="array" ref="K12">INDEX(Reference_Tables!$B$27:$E$30,_xlfn.XMATCH(B12,Reference_Tables!$A$27:$A$30),_xlfn.XMATCH(D12,Reference_Tables!$B$26:$E$26))</f>
        <v>5000</v>
      </c>
      <c r="L12" s="1" t="str">
        <f t="shared" si="0"/>
        <v>Medium Risk</v>
      </c>
    </row>
    <row r="13" spans="1:12" ht="16.5" thickBot="1" x14ac:dyDescent="0.3">
      <c r="A13">
        <v>1012</v>
      </c>
      <c r="B13" t="s">
        <v>12</v>
      </c>
      <c r="C13" t="s">
        <v>22</v>
      </c>
      <c r="D13" t="s">
        <v>14</v>
      </c>
      <c r="E13">
        <v>7</v>
      </c>
      <c r="F13">
        <v>61</v>
      </c>
      <c r="G13">
        <v>83981</v>
      </c>
      <c r="H13" s="1">
        <f>_xlfn.XLOOKUP(F13,Reference_Tables!$A$3:$A$6,Reference_Tables!$B$3:$B$6,,-1)</f>
        <v>0</v>
      </c>
      <c r="I13" s="6">
        <f>_xlfn.XLOOKUP(E13,Reference_Tables!$A$10:$A$13,Reference_Tables!$B$10:$B$13,,-1)</f>
        <v>6</v>
      </c>
      <c r="J13" s="1" cm="1">
        <f t="array" ref="J13">INDEX(Reference_Tables!$B$19:$E$22,_xlfn.XMATCH(C13,Reference_Tables!$A$19:$A$22),_xlfn.XMATCH(D13,Reference_Tables!$B$18:$E$18))</f>
        <v>3200</v>
      </c>
      <c r="K13" s="1" cm="1">
        <f t="array" ref="K13">INDEX(Reference_Tables!$B$27:$E$30,_xlfn.XMATCH(B13,Reference_Tables!$A$27:$A$30),_xlfn.XMATCH(D13,Reference_Tables!$B$26:$E$26))</f>
        <v>2000</v>
      </c>
      <c r="L13" s="1" t="str">
        <f t="shared" si="0"/>
        <v>Stable</v>
      </c>
    </row>
    <row r="14" spans="1:12" x14ac:dyDescent="0.25">
      <c r="A14">
        <v>1013</v>
      </c>
      <c r="B14" t="s">
        <v>19</v>
      </c>
      <c r="C14" t="s">
        <v>22</v>
      </c>
      <c r="D14" t="s">
        <v>14</v>
      </c>
      <c r="E14">
        <v>6</v>
      </c>
      <c r="F14">
        <v>66</v>
      </c>
      <c r="G14">
        <v>74560</v>
      </c>
      <c r="H14" s="1">
        <f>_xlfn.XLOOKUP(F14,Reference_Tables!$A$3:$A$6,Reference_Tables!$B$3:$B$6,,-1)</f>
        <v>0</v>
      </c>
      <c r="I14" s="1">
        <f>_xlfn.XLOOKUP(E14,Reference_Tables!$A$10:$A$13,Reference_Tables!$B$10:$B$13,,-1)</f>
        <v>6</v>
      </c>
      <c r="J14" s="1" cm="1">
        <f t="array" ref="J14">INDEX(Reference_Tables!$B$19:$E$22,_xlfn.XMATCH(C14,Reference_Tables!$A$19:$A$22),_xlfn.XMATCH(D14,Reference_Tables!$B$18:$E$18))</f>
        <v>3200</v>
      </c>
      <c r="K14" s="1" cm="1">
        <f t="array" ref="K14">INDEX(Reference_Tables!$B$27:$E$30,_xlfn.XMATCH(B14,Reference_Tables!$A$27:$A$30),_xlfn.XMATCH(D14,Reference_Tables!$B$26:$E$26))</f>
        <v>2200</v>
      </c>
      <c r="L14" s="1" t="str">
        <f t="shared" si="0"/>
        <v>Stable</v>
      </c>
    </row>
    <row r="15" spans="1:12" x14ac:dyDescent="0.25">
      <c r="A15">
        <v>1014</v>
      </c>
      <c r="B15" t="s">
        <v>19</v>
      </c>
      <c r="C15" t="s">
        <v>22</v>
      </c>
      <c r="D15" t="s">
        <v>18</v>
      </c>
      <c r="E15">
        <v>11</v>
      </c>
      <c r="F15">
        <v>82</v>
      </c>
      <c r="G15">
        <v>103769</v>
      </c>
      <c r="H15" s="1">
        <f>_xlfn.XLOOKUP(F15,Reference_Tables!$A$3:$A$6,Reference_Tables!$B$3:$B$6,,-1)</f>
        <v>0.05</v>
      </c>
      <c r="I15" s="1">
        <f>_xlfn.XLOOKUP(E15,Reference_Tables!$A$10:$A$13,Reference_Tables!$B$10:$B$13,,-1)</f>
        <v>6</v>
      </c>
      <c r="J15" s="1" cm="1">
        <f t="array" ref="J15">INDEX(Reference_Tables!$B$19:$E$22,_xlfn.XMATCH(C15,Reference_Tables!$A$19:$A$22),_xlfn.XMATCH(D15,Reference_Tables!$B$18:$E$18))</f>
        <v>5500</v>
      </c>
      <c r="K15" s="1" cm="1">
        <f t="array" ref="K15">INDEX(Reference_Tables!$B$27:$E$30,_xlfn.XMATCH(B15,Reference_Tables!$A$27:$A$30),_xlfn.XMATCH(D15,Reference_Tables!$B$26:$E$26))</f>
        <v>3000</v>
      </c>
      <c r="L15" s="1" t="str">
        <f t="shared" si="0"/>
        <v>Medium Risk</v>
      </c>
    </row>
    <row r="16" spans="1:12" x14ac:dyDescent="0.25">
      <c r="A16">
        <v>1015</v>
      </c>
      <c r="B16" t="s">
        <v>15</v>
      </c>
      <c r="C16" t="s">
        <v>22</v>
      </c>
      <c r="D16" t="s">
        <v>14</v>
      </c>
      <c r="E16">
        <v>5</v>
      </c>
      <c r="F16">
        <v>81</v>
      </c>
      <c r="G16">
        <v>78574</v>
      </c>
      <c r="H16" s="1">
        <f>_xlfn.XLOOKUP(F16,Reference_Tables!$A$3:$A$6,Reference_Tables!$B$3:$B$6,,-1)</f>
        <v>0.05</v>
      </c>
      <c r="I16" s="1">
        <f>_xlfn.XLOOKUP(E16,Reference_Tables!$A$10:$A$13,Reference_Tables!$B$10:$B$13,,-1)</f>
        <v>6</v>
      </c>
      <c r="J16" s="1" cm="1">
        <f t="array" ref="J16">INDEX(Reference_Tables!$B$19:$E$22,_xlfn.XMATCH(C16,Reference_Tables!$A$19:$A$22),_xlfn.XMATCH(D16,Reference_Tables!$B$18:$E$18))</f>
        <v>3200</v>
      </c>
      <c r="K16" s="1" cm="1">
        <f t="array" ref="K16">INDEX(Reference_Tables!$B$27:$E$30,_xlfn.XMATCH(B16,Reference_Tables!$A$27:$A$30),_xlfn.XMATCH(D16,Reference_Tables!$B$26:$E$26))</f>
        <v>2500</v>
      </c>
      <c r="L16" s="1" t="str">
        <f t="shared" si="0"/>
        <v>Stable</v>
      </c>
    </row>
    <row r="17" spans="1:12" x14ac:dyDescent="0.25">
      <c r="A17">
        <v>1016</v>
      </c>
      <c r="B17" t="s">
        <v>19</v>
      </c>
      <c r="C17" t="s">
        <v>22</v>
      </c>
      <c r="D17" t="s">
        <v>16</v>
      </c>
      <c r="E17">
        <v>1</v>
      </c>
      <c r="F17">
        <v>93</v>
      </c>
      <c r="G17">
        <v>58086</v>
      </c>
      <c r="H17" s="1">
        <f>_xlfn.XLOOKUP(F17,Reference_Tables!$A$3:$A$6,Reference_Tables!$B$3:$B$6,,-1)</f>
        <v>0.1</v>
      </c>
      <c r="I17" s="1">
        <f>_xlfn.XLOOKUP(E17,Reference_Tables!$A$10:$A$13,Reference_Tables!$B$10:$B$13,,-1)</f>
        <v>0</v>
      </c>
      <c r="J17" s="1" cm="1">
        <f t="array" ref="J17">INDEX(Reference_Tables!$B$19:$E$22,_xlfn.XMATCH(C17,Reference_Tables!$A$19:$A$22),_xlfn.XMATCH(D17,Reference_Tables!$B$18:$E$18))</f>
        <v>2200</v>
      </c>
      <c r="K17" s="1" cm="1">
        <f t="array" ref="K17">INDEX(Reference_Tables!$B$27:$E$30,_xlfn.XMATCH(B17,Reference_Tables!$A$27:$A$30),_xlfn.XMATCH(D17,Reference_Tables!$B$26:$E$26))</f>
        <v>1200</v>
      </c>
      <c r="L17" s="1" t="str">
        <f t="shared" si="0"/>
        <v>High Risk</v>
      </c>
    </row>
    <row r="18" spans="1:12" x14ac:dyDescent="0.25">
      <c r="A18">
        <v>1017</v>
      </c>
      <c r="B18" t="s">
        <v>15</v>
      </c>
      <c r="C18" t="s">
        <v>20</v>
      </c>
      <c r="D18" t="s">
        <v>14</v>
      </c>
      <c r="E18">
        <v>7</v>
      </c>
      <c r="F18">
        <v>60</v>
      </c>
      <c r="G18">
        <v>82792</v>
      </c>
      <c r="H18" s="1">
        <f>_xlfn.XLOOKUP(F18,Reference_Tables!$A$3:$A$6,Reference_Tables!$B$3:$B$6,,-1)</f>
        <v>0</v>
      </c>
      <c r="I18" s="1">
        <f>_xlfn.XLOOKUP(E18,Reference_Tables!$A$10:$A$13,Reference_Tables!$B$10:$B$13,,-1)</f>
        <v>6</v>
      </c>
      <c r="J18" s="1" cm="1">
        <f t="array" ref="J18">INDEX(Reference_Tables!$B$19:$E$22,_xlfn.XMATCH(C18,Reference_Tables!$A$19:$A$22),_xlfn.XMATCH(D18,Reference_Tables!$B$18:$E$18))</f>
        <v>3000</v>
      </c>
      <c r="K18" s="1" cm="1">
        <f t="array" ref="K18">INDEX(Reference_Tables!$B$27:$E$30,_xlfn.XMATCH(B18,Reference_Tables!$A$27:$A$30),_xlfn.XMATCH(D18,Reference_Tables!$B$26:$E$26))</f>
        <v>2500</v>
      </c>
      <c r="L18" s="1" t="str">
        <f t="shared" si="0"/>
        <v>Stable</v>
      </c>
    </row>
    <row r="19" spans="1:12" x14ac:dyDescent="0.25">
      <c r="A19">
        <v>1018</v>
      </c>
      <c r="B19" t="s">
        <v>19</v>
      </c>
      <c r="C19" t="s">
        <v>17</v>
      </c>
      <c r="D19" t="s">
        <v>14</v>
      </c>
      <c r="E19">
        <v>4</v>
      </c>
      <c r="F19">
        <v>87</v>
      </c>
      <c r="G19">
        <v>78404</v>
      </c>
      <c r="H19" s="1">
        <f>_xlfn.XLOOKUP(F19,Reference_Tables!$A$3:$A$6,Reference_Tables!$B$3:$B$6,,-1)</f>
        <v>0.1</v>
      </c>
      <c r="I19" s="1">
        <f>_xlfn.XLOOKUP(E19,Reference_Tables!$A$10:$A$13,Reference_Tables!$B$10:$B$13,,-1)</f>
        <v>2</v>
      </c>
      <c r="J19" s="1" cm="1">
        <f t="array" ref="J19">INDEX(Reference_Tables!$B$19:$E$22,_xlfn.XMATCH(C19,Reference_Tables!$A$19:$A$22),_xlfn.XMATCH(D19,Reference_Tables!$B$18:$E$18))</f>
        <v>1800</v>
      </c>
      <c r="K19" s="1" cm="1">
        <f t="array" ref="K19">INDEX(Reference_Tables!$B$27:$E$30,_xlfn.XMATCH(B19,Reference_Tables!$A$27:$A$30),_xlfn.XMATCH(D19,Reference_Tables!$B$26:$E$26))</f>
        <v>2200</v>
      </c>
      <c r="L19" s="1" t="str">
        <f t="shared" si="0"/>
        <v>Stable</v>
      </c>
    </row>
    <row r="20" spans="1:12" ht="16.5" thickBot="1" x14ac:dyDescent="0.3">
      <c r="A20">
        <v>1019</v>
      </c>
      <c r="B20" t="s">
        <v>12</v>
      </c>
      <c r="C20" t="s">
        <v>17</v>
      </c>
      <c r="D20" t="s">
        <v>14</v>
      </c>
      <c r="E20">
        <v>6</v>
      </c>
      <c r="F20">
        <v>79</v>
      </c>
      <c r="G20">
        <v>74576</v>
      </c>
      <c r="H20" s="1">
        <f>_xlfn.XLOOKUP(F20,Reference_Tables!$A$3:$A$6,Reference_Tables!$B$3:$B$6,,-1)</f>
        <v>0.05</v>
      </c>
      <c r="I20" s="1">
        <f>_xlfn.XLOOKUP(E20,Reference_Tables!$A$10:$A$13,Reference_Tables!$B$10:$B$13,,-1)</f>
        <v>6</v>
      </c>
      <c r="J20" s="1" cm="1">
        <f t="array" ref="J20">INDEX(Reference_Tables!$B$19:$E$22,_xlfn.XMATCH(C20,Reference_Tables!$A$19:$A$22),_xlfn.XMATCH(D20,Reference_Tables!$B$18:$E$18))</f>
        <v>1800</v>
      </c>
      <c r="K20" s="1" cm="1">
        <f t="array" ref="K20">INDEX(Reference_Tables!$B$27:$E$30,_xlfn.XMATCH(B20,Reference_Tables!$A$27:$A$30),_xlfn.XMATCH(D20,Reference_Tables!$B$26:$E$26))</f>
        <v>2000</v>
      </c>
      <c r="L20" s="1" t="str">
        <f t="shared" si="0"/>
        <v>Stable</v>
      </c>
    </row>
    <row r="21" spans="1:12" ht="16.5" thickBot="1" x14ac:dyDescent="0.3">
      <c r="A21">
        <v>1020</v>
      </c>
      <c r="B21" t="s">
        <v>15</v>
      </c>
      <c r="C21" t="s">
        <v>22</v>
      </c>
      <c r="D21" t="s">
        <v>16</v>
      </c>
      <c r="E21">
        <v>1</v>
      </c>
      <c r="F21">
        <v>80</v>
      </c>
      <c r="G21">
        <v>54377</v>
      </c>
      <c r="H21" s="1">
        <f>_xlfn.XLOOKUP(F21,Reference_Tables!$A$3:$A$6,Reference_Tables!$B$3:$B$6,,-1)</f>
        <v>0.05</v>
      </c>
      <c r="I21" s="1">
        <f>_xlfn.XLOOKUP(E21,Reference_Tables!$A$10:$A$13,Reference_Tables!$B$10:$B$13,,-1)</f>
        <v>0</v>
      </c>
      <c r="J21" s="6" cm="1">
        <f t="array" ref="J21">INDEX(Reference_Tables!$B$19:$E$22,_xlfn.XMATCH(C21,Reference_Tables!$A$19:$A$22),_xlfn.XMATCH(D21,Reference_Tables!$B$18:$E$18))</f>
        <v>2200</v>
      </c>
      <c r="K21" s="1" cm="1">
        <f t="array" ref="K21">INDEX(Reference_Tables!$B$27:$E$30,_xlfn.XMATCH(B21,Reference_Tables!$A$27:$A$30),_xlfn.XMATCH(D21,Reference_Tables!$B$26:$E$26))</f>
        <v>1500</v>
      </c>
      <c r="L21" s="1" t="str">
        <f t="shared" si="0"/>
        <v>Stable</v>
      </c>
    </row>
    <row r="22" spans="1:12" x14ac:dyDescent="0.25">
      <c r="A22">
        <v>1021</v>
      </c>
      <c r="B22" t="s">
        <v>12</v>
      </c>
      <c r="C22" t="s">
        <v>20</v>
      </c>
      <c r="D22" t="s">
        <v>16</v>
      </c>
      <c r="E22">
        <v>3</v>
      </c>
      <c r="F22">
        <v>79</v>
      </c>
      <c r="G22">
        <v>55060</v>
      </c>
      <c r="H22" s="1">
        <f>_xlfn.XLOOKUP(F22,Reference_Tables!$A$3:$A$6,Reference_Tables!$B$3:$B$6,,-1)</f>
        <v>0.05</v>
      </c>
      <c r="I22" s="1">
        <f>_xlfn.XLOOKUP(E22,Reference_Tables!$A$10:$A$13,Reference_Tables!$B$10:$B$13,,-1)</f>
        <v>2</v>
      </c>
      <c r="J22" s="1" cm="1">
        <f t="array" ref="J22">INDEX(Reference_Tables!$B$19:$E$22,_xlfn.XMATCH(C22,Reference_Tables!$A$19:$A$22),_xlfn.XMATCH(D22,Reference_Tables!$B$18:$E$18))</f>
        <v>2000</v>
      </c>
      <c r="K22" s="1" cm="1">
        <f t="array" ref="K22">INDEX(Reference_Tables!$B$27:$E$30,_xlfn.XMATCH(B22,Reference_Tables!$A$27:$A$30),_xlfn.XMATCH(D22,Reference_Tables!$B$26:$E$26))</f>
        <v>1000</v>
      </c>
      <c r="L22" s="1" t="str">
        <f t="shared" si="0"/>
        <v>Stable</v>
      </c>
    </row>
    <row r="23" spans="1:12" x14ac:dyDescent="0.25">
      <c r="A23">
        <v>1022</v>
      </c>
      <c r="B23" t="s">
        <v>15</v>
      </c>
      <c r="C23" t="s">
        <v>17</v>
      </c>
      <c r="D23" t="s">
        <v>14</v>
      </c>
      <c r="E23">
        <v>5</v>
      </c>
      <c r="F23">
        <v>64</v>
      </c>
      <c r="G23">
        <v>74217</v>
      </c>
      <c r="H23" s="1">
        <f>_xlfn.XLOOKUP(F23,Reference_Tables!$A$3:$A$6,Reference_Tables!$B$3:$B$6,,-1)</f>
        <v>0</v>
      </c>
      <c r="I23" s="1">
        <f>_xlfn.XLOOKUP(E23,Reference_Tables!$A$10:$A$13,Reference_Tables!$B$10:$B$13,,-1)</f>
        <v>6</v>
      </c>
      <c r="J23" s="1" cm="1">
        <f t="array" ref="J23">INDEX(Reference_Tables!$B$19:$E$22,_xlfn.XMATCH(C23,Reference_Tables!$A$19:$A$22),_xlfn.XMATCH(D23,Reference_Tables!$B$18:$E$18))</f>
        <v>1800</v>
      </c>
      <c r="K23" s="1" cm="1">
        <f t="array" ref="K23">INDEX(Reference_Tables!$B$27:$E$30,_xlfn.XMATCH(B23,Reference_Tables!$A$27:$A$30),_xlfn.XMATCH(D23,Reference_Tables!$B$26:$E$26))</f>
        <v>2500</v>
      </c>
      <c r="L23" s="1" t="str">
        <f t="shared" si="0"/>
        <v>Stable</v>
      </c>
    </row>
    <row r="24" spans="1:12" x14ac:dyDescent="0.25">
      <c r="A24">
        <v>1023</v>
      </c>
      <c r="B24" t="s">
        <v>21</v>
      </c>
      <c r="C24" t="s">
        <v>17</v>
      </c>
      <c r="D24" t="s">
        <v>16</v>
      </c>
      <c r="E24">
        <v>3</v>
      </c>
      <c r="F24">
        <v>100</v>
      </c>
      <c r="G24">
        <v>52310</v>
      </c>
      <c r="H24" s="1">
        <f>_xlfn.XLOOKUP(F24,Reference_Tables!$A$3:$A$6,Reference_Tables!$B$3:$B$6,,-1)</f>
        <v>0.15</v>
      </c>
      <c r="I24" s="1">
        <f>_xlfn.XLOOKUP(E24,Reference_Tables!$A$10:$A$13,Reference_Tables!$B$10:$B$13,,-1)</f>
        <v>2</v>
      </c>
      <c r="J24" s="1" cm="1">
        <f t="array" ref="J24">INDEX(Reference_Tables!$B$19:$E$22,_xlfn.XMATCH(C24,Reference_Tables!$A$19:$A$22),_xlfn.XMATCH(D24,Reference_Tables!$B$18:$E$18))</f>
        <v>1200</v>
      </c>
      <c r="K24" s="1" cm="1">
        <f t="array" ref="K24">INDEX(Reference_Tables!$B$27:$E$30,_xlfn.XMATCH(B24,Reference_Tables!$A$27:$A$30),_xlfn.XMATCH(D24,Reference_Tables!$B$26:$E$26))</f>
        <v>800</v>
      </c>
      <c r="L24" s="1" t="str">
        <f t="shared" si="0"/>
        <v>High Risk</v>
      </c>
    </row>
    <row r="25" spans="1:12" x14ac:dyDescent="0.25">
      <c r="A25">
        <v>1024</v>
      </c>
      <c r="B25" t="s">
        <v>12</v>
      </c>
      <c r="C25" t="s">
        <v>20</v>
      </c>
      <c r="D25" t="s">
        <v>14</v>
      </c>
      <c r="E25">
        <v>6</v>
      </c>
      <c r="F25">
        <v>63</v>
      </c>
      <c r="G25">
        <v>77903</v>
      </c>
      <c r="H25" s="1">
        <f>_xlfn.XLOOKUP(F25,Reference_Tables!$A$3:$A$6,Reference_Tables!$B$3:$B$6,,-1)</f>
        <v>0</v>
      </c>
      <c r="I25" s="1">
        <f>_xlfn.XLOOKUP(E25,Reference_Tables!$A$10:$A$13,Reference_Tables!$B$10:$B$13,,-1)</f>
        <v>6</v>
      </c>
      <c r="J25" s="1" cm="1">
        <f t="array" ref="J25">INDEX(Reference_Tables!$B$19:$E$22,_xlfn.XMATCH(C25,Reference_Tables!$A$19:$A$22),_xlfn.XMATCH(D25,Reference_Tables!$B$18:$E$18))</f>
        <v>3000</v>
      </c>
      <c r="K25" s="1" cm="1">
        <f t="array" ref="K25">INDEX(Reference_Tables!$B$27:$E$30,_xlfn.XMATCH(B25,Reference_Tables!$A$27:$A$30),_xlfn.XMATCH(D25,Reference_Tables!$B$26:$E$26))</f>
        <v>2000</v>
      </c>
      <c r="L25" s="1" t="str">
        <f t="shared" si="0"/>
        <v>Stable</v>
      </c>
    </row>
    <row r="26" spans="1:12" x14ac:dyDescent="0.25">
      <c r="A26">
        <v>1025</v>
      </c>
      <c r="B26" t="s">
        <v>15</v>
      </c>
      <c r="C26" t="s">
        <v>22</v>
      </c>
      <c r="D26" t="s">
        <v>18</v>
      </c>
      <c r="E26">
        <v>13</v>
      </c>
      <c r="F26">
        <v>96</v>
      </c>
      <c r="G26">
        <v>100486</v>
      </c>
      <c r="H26" s="1">
        <f>_xlfn.XLOOKUP(F26,Reference_Tables!$A$3:$A$6,Reference_Tables!$B$3:$B$6,,-1)</f>
        <v>0.15</v>
      </c>
      <c r="I26" s="1">
        <f>_xlfn.XLOOKUP(E26,Reference_Tables!$A$10:$A$13,Reference_Tables!$B$10:$B$13,,-1)</f>
        <v>6</v>
      </c>
      <c r="J26" s="1" cm="1">
        <f t="array" ref="J26">INDEX(Reference_Tables!$B$19:$E$22,_xlfn.XMATCH(C26,Reference_Tables!$A$19:$A$22),_xlfn.XMATCH(D26,Reference_Tables!$B$18:$E$18))</f>
        <v>5500</v>
      </c>
      <c r="K26" s="1" cm="1">
        <f t="array" ref="K26">INDEX(Reference_Tables!$B$27:$E$30,_xlfn.XMATCH(B26,Reference_Tables!$A$27:$A$30),_xlfn.XMATCH(D26,Reference_Tables!$B$26:$E$26))</f>
        <v>4000</v>
      </c>
      <c r="L26" s="1" t="str">
        <f t="shared" si="0"/>
        <v>Medium Risk</v>
      </c>
    </row>
    <row r="27" spans="1:12" x14ac:dyDescent="0.25">
      <c r="A27">
        <v>1026</v>
      </c>
      <c r="B27" t="s">
        <v>12</v>
      </c>
      <c r="C27" t="s">
        <v>13</v>
      </c>
      <c r="D27" t="s">
        <v>18</v>
      </c>
      <c r="E27">
        <v>10</v>
      </c>
      <c r="F27">
        <v>79</v>
      </c>
      <c r="G27">
        <v>102788</v>
      </c>
      <c r="H27" s="1">
        <f>_xlfn.XLOOKUP(F27,Reference_Tables!$A$3:$A$6,Reference_Tables!$B$3:$B$6,,-1)</f>
        <v>0.05</v>
      </c>
      <c r="I27" s="1">
        <f>_xlfn.XLOOKUP(E27,Reference_Tables!$A$10:$A$13,Reference_Tables!$B$10:$B$13,,-1)</f>
        <v>6</v>
      </c>
      <c r="J27" s="1" cm="1">
        <f t="array" ref="J27">INDEX(Reference_Tables!$B$19:$E$22,_xlfn.XMATCH(C27,Reference_Tables!$A$19:$A$22),_xlfn.XMATCH(D27,Reference_Tables!$B$18:$E$18))</f>
        <v>2500</v>
      </c>
      <c r="K27" s="1" cm="1">
        <f t="array" ref="K27">INDEX(Reference_Tables!$B$27:$E$30,_xlfn.XMATCH(B27,Reference_Tables!$A$27:$A$30),_xlfn.XMATCH(D27,Reference_Tables!$B$26:$E$26))</f>
        <v>3500</v>
      </c>
      <c r="L27" s="1" t="str">
        <f t="shared" si="0"/>
        <v>Stable</v>
      </c>
    </row>
    <row r="28" spans="1:12" x14ac:dyDescent="0.25">
      <c r="A28">
        <v>1027</v>
      </c>
      <c r="B28" t="s">
        <v>15</v>
      </c>
      <c r="C28" t="s">
        <v>20</v>
      </c>
      <c r="D28" t="s">
        <v>16</v>
      </c>
      <c r="E28">
        <v>1</v>
      </c>
      <c r="F28">
        <v>63</v>
      </c>
      <c r="G28">
        <v>60147</v>
      </c>
      <c r="H28" s="1">
        <f>_xlfn.XLOOKUP(F28,Reference_Tables!$A$3:$A$6,Reference_Tables!$B$3:$B$6,,-1)</f>
        <v>0</v>
      </c>
      <c r="I28" s="1">
        <f>_xlfn.XLOOKUP(E28,Reference_Tables!$A$10:$A$13,Reference_Tables!$B$10:$B$13,,-1)</f>
        <v>0</v>
      </c>
      <c r="J28" s="1" cm="1">
        <f t="array" ref="J28">INDEX(Reference_Tables!$B$19:$E$22,_xlfn.XMATCH(C28,Reference_Tables!$A$19:$A$22),_xlfn.XMATCH(D28,Reference_Tables!$B$18:$E$18))</f>
        <v>2000</v>
      </c>
      <c r="K28" s="1" cm="1">
        <f t="array" ref="K28">INDEX(Reference_Tables!$B$27:$E$30,_xlfn.XMATCH(B28,Reference_Tables!$A$27:$A$30),_xlfn.XMATCH(D28,Reference_Tables!$B$26:$E$26))</f>
        <v>1500</v>
      </c>
      <c r="L28" s="1" t="str">
        <f t="shared" si="0"/>
        <v>Stable</v>
      </c>
    </row>
    <row r="29" spans="1:12" x14ac:dyDescent="0.25">
      <c r="A29">
        <v>1028</v>
      </c>
      <c r="B29" t="s">
        <v>15</v>
      </c>
      <c r="C29" t="s">
        <v>17</v>
      </c>
      <c r="D29" t="s">
        <v>23</v>
      </c>
      <c r="E29">
        <v>16</v>
      </c>
      <c r="F29">
        <v>79</v>
      </c>
      <c r="G29">
        <v>134153</v>
      </c>
      <c r="H29" s="1">
        <f>_xlfn.XLOOKUP(F29,Reference_Tables!$A$3:$A$6,Reference_Tables!$B$3:$B$6,,-1)</f>
        <v>0.05</v>
      </c>
      <c r="I29" s="1">
        <f>_xlfn.XLOOKUP(E29,Reference_Tables!$A$10:$A$13,Reference_Tables!$B$10:$B$13,,-1)</f>
        <v>6</v>
      </c>
      <c r="J29" s="1" cm="1">
        <f t="array" ref="J29">INDEX(Reference_Tables!$B$19:$E$22,_xlfn.XMATCH(C29,Reference_Tables!$A$19:$A$22),_xlfn.XMATCH(D29,Reference_Tables!$B$18:$E$18))</f>
        <v>5000</v>
      </c>
      <c r="K29" s="1" cm="1">
        <f t="array" ref="K29">INDEX(Reference_Tables!$B$27:$E$30,_xlfn.XMATCH(B29,Reference_Tables!$A$27:$A$30),_xlfn.XMATCH(D29,Reference_Tables!$B$26:$E$26))</f>
        <v>6000</v>
      </c>
      <c r="L29" s="1" t="str">
        <f t="shared" si="0"/>
        <v>Medium Risk</v>
      </c>
    </row>
    <row r="30" spans="1:12" x14ac:dyDescent="0.25">
      <c r="A30">
        <v>1029</v>
      </c>
      <c r="B30" t="s">
        <v>21</v>
      </c>
      <c r="C30" t="s">
        <v>20</v>
      </c>
      <c r="D30" t="s">
        <v>14</v>
      </c>
      <c r="E30">
        <v>4</v>
      </c>
      <c r="F30">
        <v>73</v>
      </c>
      <c r="G30">
        <v>76867</v>
      </c>
      <c r="H30" s="1">
        <f>_xlfn.XLOOKUP(F30,Reference_Tables!$A$3:$A$6,Reference_Tables!$B$3:$B$6,,-1)</f>
        <v>0.05</v>
      </c>
      <c r="I30" s="1">
        <f>_xlfn.XLOOKUP(E30,Reference_Tables!$A$10:$A$13,Reference_Tables!$B$10:$B$13,,-1)</f>
        <v>2</v>
      </c>
      <c r="J30" s="1" cm="1">
        <f t="array" ref="J30">INDEX(Reference_Tables!$B$19:$E$22,_xlfn.XMATCH(C30,Reference_Tables!$A$19:$A$22),_xlfn.XMATCH(D30,Reference_Tables!$B$18:$E$18))</f>
        <v>3000</v>
      </c>
      <c r="K30" s="1" cm="1">
        <f t="array" ref="K30">INDEX(Reference_Tables!$B$27:$E$30,_xlfn.XMATCH(B30,Reference_Tables!$A$27:$A$30),_xlfn.XMATCH(D30,Reference_Tables!$B$26:$E$26))</f>
        <v>1500</v>
      </c>
      <c r="L30" s="1" t="str">
        <f t="shared" si="0"/>
        <v>Stable</v>
      </c>
    </row>
    <row r="31" spans="1:12" x14ac:dyDescent="0.25">
      <c r="A31">
        <v>1030</v>
      </c>
      <c r="B31" t="s">
        <v>21</v>
      </c>
      <c r="C31" t="s">
        <v>13</v>
      </c>
      <c r="D31" t="s">
        <v>16</v>
      </c>
      <c r="E31">
        <v>3</v>
      </c>
      <c r="F31">
        <v>95</v>
      </c>
      <c r="G31">
        <v>60899</v>
      </c>
      <c r="H31" s="1">
        <f>_xlfn.XLOOKUP(F31,Reference_Tables!$A$3:$A$6,Reference_Tables!$B$3:$B$6,,-1)</f>
        <v>0.15</v>
      </c>
      <c r="I31" s="1">
        <f>_xlfn.XLOOKUP(E31,Reference_Tables!$A$10:$A$13,Reference_Tables!$B$10:$B$13,,-1)</f>
        <v>2</v>
      </c>
      <c r="J31" s="1" cm="1">
        <f t="array" ref="J31">INDEX(Reference_Tables!$B$19:$E$22,_xlfn.XMATCH(C31,Reference_Tables!$A$19:$A$22),_xlfn.XMATCH(D31,Reference_Tables!$B$18:$E$18))</f>
        <v>1000</v>
      </c>
      <c r="K31" s="1" cm="1">
        <f t="array" ref="K31">INDEX(Reference_Tables!$B$27:$E$30,_xlfn.XMATCH(B31,Reference_Tables!$A$27:$A$30),_xlfn.XMATCH(D31,Reference_Tables!$B$26:$E$26))</f>
        <v>800</v>
      </c>
      <c r="L31" s="1" t="str">
        <f t="shared" si="0"/>
        <v>High Risk</v>
      </c>
    </row>
    <row r="32" spans="1:12" x14ac:dyDescent="0.25">
      <c r="A32">
        <v>1031</v>
      </c>
      <c r="B32" t="s">
        <v>12</v>
      </c>
      <c r="C32" t="s">
        <v>20</v>
      </c>
      <c r="D32" t="s">
        <v>14</v>
      </c>
      <c r="E32">
        <v>3</v>
      </c>
      <c r="F32">
        <v>96</v>
      </c>
      <c r="G32">
        <v>79988</v>
      </c>
      <c r="H32" s="1">
        <f>_xlfn.XLOOKUP(F32,Reference_Tables!$A$3:$A$6,Reference_Tables!$B$3:$B$6,,-1)</f>
        <v>0.15</v>
      </c>
      <c r="I32" s="1">
        <f>_xlfn.XLOOKUP(E32,Reference_Tables!$A$10:$A$13,Reference_Tables!$B$10:$B$13,,-1)</f>
        <v>2</v>
      </c>
      <c r="J32" s="1" cm="1">
        <f t="array" ref="J32">INDEX(Reference_Tables!$B$19:$E$22,_xlfn.XMATCH(C32,Reference_Tables!$A$19:$A$22),_xlfn.XMATCH(D32,Reference_Tables!$B$18:$E$18))</f>
        <v>3000</v>
      </c>
      <c r="K32" s="1" cm="1">
        <f t="array" ref="K32">INDEX(Reference_Tables!$B$27:$E$30,_xlfn.XMATCH(B32,Reference_Tables!$A$27:$A$30),_xlfn.XMATCH(D32,Reference_Tables!$B$26:$E$26))</f>
        <v>2000</v>
      </c>
      <c r="L32" s="1" t="str">
        <f t="shared" si="0"/>
        <v>Stable</v>
      </c>
    </row>
    <row r="33" spans="1:12" x14ac:dyDescent="0.25">
      <c r="A33">
        <v>1032</v>
      </c>
      <c r="B33" t="s">
        <v>19</v>
      </c>
      <c r="C33" t="s">
        <v>17</v>
      </c>
      <c r="D33" t="s">
        <v>23</v>
      </c>
      <c r="E33">
        <v>15</v>
      </c>
      <c r="F33">
        <v>73</v>
      </c>
      <c r="G33">
        <v>139891</v>
      </c>
      <c r="H33" s="1">
        <f>_xlfn.XLOOKUP(F33,Reference_Tables!$A$3:$A$6,Reference_Tables!$B$3:$B$6,,-1)</f>
        <v>0.05</v>
      </c>
      <c r="I33" s="1">
        <f>_xlfn.XLOOKUP(E33,Reference_Tables!$A$10:$A$13,Reference_Tables!$B$10:$B$13,,-1)</f>
        <v>6</v>
      </c>
      <c r="J33" s="1" cm="1">
        <f t="array" ref="J33">INDEX(Reference_Tables!$B$19:$E$22,_xlfn.XMATCH(C33,Reference_Tables!$A$19:$A$22),_xlfn.XMATCH(D33,Reference_Tables!$B$18:$E$18))</f>
        <v>5000</v>
      </c>
      <c r="K33" s="1" cm="1">
        <f t="array" ref="K33">INDEX(Reference_Tables!$B$27:$E$30,_xlfn.XMATCH(B33,Reference_Tables!$A$27:$A$30),_xlfn.XMATCH(D33,Reference_Tables!$B$26:$E$26))</f>
        <v>4500</v>
      </c>
      <c r="L33" s="1" t="str">
        <f t="shared" si="0"/>
        <v>Medium Risk</v>
      </c>
    </row>
    <row r="34" spans="1:12" x14ac:dyDescent="0.25">
      <c r="A34">
        <v>1033</v>
      </c>
      <c r="B34" t="s">
        <v>19</v>
      </c>
      <c r="C34" t="s">
        <v>17</v>
      </c>
      <c r="D34" t="s">
        <v>14</v>
      </c>
      <c r="E34">
        <v>3</v>
      </c>
      <c r="F34">
        <v>66</v>
      </c>
      <c r="G34">
        <v>75801</v>
      </c>
      <c r="H34" s="1">
        <f>_xlfn.XLOOKUP(F34,Reference_Tables!$A$3:$A$6,Reference_Tables!$B$3:$B$6,,-1)</f>
        <v>0</v>
      </c>
      <c r="I34" s="1">
        <f>_xlfn.XLOOKUP(E34,Reference_Tables!$A$10:$A$13,Reference_Tables!$B$10:$B$13,,-1)</f>
        <v>2</v>
      </c>
      <c r="J34" s="1" cm="1">
        <f t="array" ref="J34">INDEX(Reference_Tables!$B$19:$E$22,_xlfn.XMATCH(C34,Reference_Tables!$A$19:$A$22),_xlfn.XMATCH(D34,Reference_Tables!$B$18:$E$18))</f>
        <v>1800</v>
      </c>
      <c r="K34" s="1" cm="1">
        <f t="array" ref="K34">INDEX(Reference_Tables!$B$27:$E$30,_xlfn.XMATCH(B34,Reference_Tables!$A$27:$A$30),_xlfn.XMATCH(D34,Reference_Tables!$B$26:$E$26))</f>
        <v>2200</v>
      </c>
      <c r="L34" s="1" t="str">
        <f t="shared" ref="L34:L51" si="1">IF(AND(F34&gt;90,G34&lt;65000),"High Risk",IF(E34&gt;10,"Medium Risk","Stable"))</f>
        <v>Stable</v>
      </c>
    </row>
    <row r="35" spans="1:12" ht="16.5" thickBot="1" x14ac:dyDescent="0.3">
      <c r="A35">
        <v>1034</v>
      </c>
      <c r="B35" t="s">
        <v>21</v>
      </c>
      <c r="C35" t="s">
        <v>20</v>
      </c>
      <c r="D35" t="s">
        <v>16</v>
      </c>
      <c r="E35">
        <v>2</v>
      </c>
      <c r="F35">
        <v>76</v>
      </c>
      <c r="G35">
        <v>60387</v>
      </c>
      <c r="H35" s="1">
        <f>_xlfn.XLOOKUP(F35,Reference_Tables!$A$3:$A$6,Reference_Tables!$B$3:$B$6,,-1)</f>
        <v>0.05</v>
      </c>
      <c r="I35" s="1">
        <f>_xlfn.XLOOKUP(E35,Reference_Tables!$A$10:$A$13,Reference_Tables!$B$10:$B$13,,-1)</f>
        <v>2</v>
      </c>
      <c r="J35" s="1" cm="1">
        <f t="array" ref="J35">INDEX(Reference_Tables!$B$19:$E$22,_xlfn.XMATCH(C35,Reference_Tables!$A$19:$A$22),_xlfn.XMATCH(D35,Reference_Tables!$B$18:$E$18))</f>
        <v>2000</v>
      </c>
      <c r="K35" s="1" cm="1">
        <f t="array" ref="K35">INDEX(Reference_Tables!$B$27:$E$30,_xlfn.XMATCH(B35,Reference_Tables!$A$27:$A$30),_xlfn.XMATCH(D35,Reference_Tables!$B$26:$E$26))</f>
        <v>800</v>
      </c>
      <c r="L35" s="1" t="str">
        <f t="shared" si="1"/>
        <v>Stable</v>
      </c>
    </row>
    <row r="36" spans="1:12" ht="16.5" thickBot="1" x14ac:dyDescent="0.3">
      <c r="A36">
        <v>1035</v>
      </c>
      <c r="B36" t="s">
        <v>15</v>
      </c>
      <c r="C36" t="s">
        <v>17</v>
      </c>
      <c r="D36" t="s">
        <v>18</v>
      </c>
      <c r="E36">
        <v>13</v>
      </c>
      <c r="F36">
        <v>62</v>
      </c>
      <c r="G36">
        <v>101101</v>
      </c>
      <c r="H36" s="1">
        <f>_xlfn.XLOOKUP(F36,Reference_Tables!$A$3:$A$6,Reference_Tables!$B$3:$B$6,,-1)</f>
        <v>0</v>
      </c>
      <c r="I36" s="1">
        <f>_xlfn.XLOOKUP(E36,Reference_Tables!$A$10:$A$13,Reference_Tables!$B$10:$B$13,,-1)</f>
        <v>6</v>
      </c>
      <c r="J36" s="1" cm="1">
        <f t="array" ref="J36">INDEX(Reference_Tables!$B$19:$E$22,_xlfn.XMATCH(C36,Reference_Tables!$A$19:$A$22),_xlfn.XMATCH(D36,Reference_Tables!$B$18:$E$18))</f>
        <v>3000</v>
      </c>
      <c r="K36" s="6" cm="1">
        <f t="array" ref="K36">INDEX(Reference_Tables!$B$27:$E$30,_xlfn.XMATCH(B36,Reference_Tables!$A$27:$A$30),_xlfn.XMATCH(D36,Reference_Tables!$B$26:$E$26))</f>
        <v>4000</v>
      </c>
      <c r="L36" s="1" t="str">
        <f t="shared" si="1"/>
        <v>Medium Risk</v>
      </c>
    </row>
    <row r="37" spans="1:12" x14ac:dyDescent="0.25">
      <c r="A37">
        <v>1036</v>
      </c>
      <c r="B37" t="s">
        <v>21</v>
      </c>
      <c r="C37" t="s">
        <v>20</v>
      </c>
      <c r="D37" t="s">
        <v>16</v>
      </c>
      <c r="E37">
        <v>2</v>
      </c>
      <c r="F37">
        <v>65</v>
      </c>
      <c r="G37">
        <v>61655</v>
      </c>
      <c r="H37" s="1">
        <f>_xlfn.XLOOKUP(F37,Reference_Tables!$A$3:$A$6,Reference_Tables!$B$3:$B$6,,-1)</f>
        <v>0</v>
      </c>
      <c r="I37" s="1">
        <f>_xlfn.XLOOKUP(E37,Reference_Tables!$A$10:$A$13,Reference_Tables!$B$10:$B$13,,-1)</f>
        <v>2</v>
      </c>
      <c r="J37" s="1" cm="1">
        <f t="array" ref="J37">INDEX(Reference_Tables!$B$19:$E$22,_xlfn.XMATCH(C37,Reference_Tables!$A$19:$A$22),_xlfn.XMATCH(D37,Reference_Tables!$B$18:$E$18))</f>
        <v>2000</v>
      </c>
      <c r="K37" s="1" cm="1">
        <f t="array" ref="K37">INDEX(Reference_Tables!$B$27:$E$30,_xlfn.XMATCH(B37,Reference_Tables!$A$27:$A$30),_xlfn.XMATCH(D37,Reference_Tables!$B$26:$E$26))</f>
        <v>800</v>
      </c>
      <c r="L37" s="1" t="str">
        <f t="shared" si="1"/>
        <v>Stable</v>
      </c>
    </row>
    <row r="38" spans="1:12" x14ac:dyDescent="0.25">
      <c r="A38">
        <v>1037</v>
      </c>
      <c r="B38" t="s">
        <v>12</v>
      </c>
      <c r="C38" t="s">
        <v>20</v>
      </c>
      <c r="D38" t="s">
        <v>23</v>
      </c>
      <c r="E38">
        <v>19</v>
      </c>
      <c r="F38">
        <v>70</v>
      </c>
      <c r="G38">
        <v>135428</v>
      </c>
      <c r="H38" s="1">
        <f>_xlfn.XLOOKUP(F38,Reference_Tables!$A$3:$A$6,Reference_Tables!$B$3:$B$6,,-1)</f>
        <v>0.05</v>
      </c>
      <c r="I38" s="1">
        <f>_xlfn.XLOOKUP(E38,Reference_Tables!$A$10:$A$13,Reference_Tables!$B$10:$B$13,,-1)</f>
        <v>6</v>
      </c>
      <c r="J38" s="1" cm="1">
        <f t="array" ref="J38">INDEX(Reference_Tables!$B$19:$E$22,_xlfn.XMATCH(C38,Reference_Tables!$A$19:$A$22),_xlfn.XMATCH(D38,Reference_Tables!$B$18:$E$18))</f>
        <v>8000</v>
      </c>
      <c r="K38" s="1" cm="1">
        <f t="array" ref="K38">INDEX(Reference_Tables!$B$27:$E$30,_xlfn.XMATCH(B38,Reference_Tables!$A$27:$A$30),_xlfn.XMATCH(D38,Reference_Tables!$B$26:$E$26))</f>
        <v>5000</v>
      </c>
      <c r="L38" s="1" t="str">
        <f t="shared" si="1"/>
        <v>Medium Risk</v>
      </c>
    </row>
    <row r="39" spans="1:12" x14ac:dyDescent="0.25">
      <c r="A39">
        <v>1038</v>
      </c>
      <c r="B39" t="s">
        <v>12</v>
      </c>
      <c r="C39" t="s">
        <v>22</v>
      </c>
      <c r="D39" t="s">
        <v>23</v>
      </c>
      <c r="E39">
        <v>18</v>
      </c>
      <c r="F39">
        <v>73</v>
      </c>
      <c r="G39">
        <v>137779</v>
      </c>
      <c r="H39" s="1">
        <f>_xlfn.XLOOKUP(F39,Reference_Tables!$A$3:$A$6,Reference_Tables!$B$3:$B$6,,-1)</f>
        <v>0.05</v>
      </c>
      <c r="I39" s="1">
        <f>_xlfn.XLOOKUP(E39,Reference_Tables!$A$10:$A$13,Reference_Tables!$B$10:$B$13,,-1)</f>
        <v>6</v>
      </c>
      <c r="J39" s="1" cm="1">
        <f t="array" ref="J39">INDEX(Reference_Tables!$B$19:$E$22,_xlfn.XMATCH(C39,Reference_Tables!$A$19:$A$22),_xlfn.XMATCH(D39,Reference_Tables!$B$18:$E$18))</f>
        <v>9000</v>
      </c>
      <c r="K39" s="1" cm="1">
        <f t="array" ref="K39">INDEX(Reference_Tables!$B$27:$E$30,_xlfn.XMATCH(B39,Reference_Tables!$A$27:$A$30),_xlfn.XMATCH(D39,Reference_Tables!$B$26:$E$26))</f>
        <v>5000</v>
      </c>
      <c r="L39" s="1" t="str">
        <f t="shared" si="1"/>
        <v>Medium Risk</v>
      </c>
    </row>
    <row r="40" spans="1:12" x14ac:dyDescent="0.25">
      <c r="A40">
        <v>1039</v>
      </c>
      <c r="B40" t="s">
        <v>15</v>
      </c>
      <c r="C40" t="s">
        <v>22</v>
      </c>
      <c r="D40" t="s">
        <v>14</v>
      </c>
      <c r="E40">
        <v>4</v>
      </c>
      <c r="F40">
        <v>78</v>
      </c>
      <c r="G40">
        <v>84514</v>
      </c>
      <c r="H40" s="1">
        <f>_xlfn.XLOOKUP(F40,Reference_Tables!$A$3:$A$6,Reference_Tables!$B$3:$B$6,,-1)</f>
        <v>0.05</v>
      </c>
      <c r="I40" s="1">
        <f>_xlfn.XLOOKUP(E40,Reference_Tables!$A$10:$A$13,Reference_Tables!$B$10:$B$13,,-1)</f>
        <v>2</v>
      </c>
      <c r="J40" s="1" cm="1">
        <f t="array" ref="J40">INDEX(Reference_Tables!$B$19:$E$22,_xlfn.XMATCH(C40,Reference_Tables!$A$19:$A$22),_xlfn.XMATCH(D40,Reference_Tables!$B$18:$E$18))</f>
        <v>3200</v>
      </c>
      <c r="K40" s="1" cm="1">
        <f t="array" ref="K40">INDEX(Reference_Tables!$B$27:$E$30,_xlfn.XMATCH(B40,Reference_Tables!$A$27:$A$30),_xlfn.XMATCH(D40,Reference_Tables!$B$26:$E$26))</f>
        <v>2500</v>
      </c>
      <c r="L40" s="1" t="str">
        <f t="shared" si="1"/>
        <v>Stable</v>
      </c>
    </row>
    <row r="41" spans="1:12" x14ac:dyDescent="0.25">
      <c r="A41">
        <v>1040</v>
      </c>
      <c r="B41" t="s">
        <v>15</v>
      </c>
      <c r="C41" t="s">
        <v>22</v>
      </c>
      <c r="D41" t="s">
        <v>18</v>
      </c>
      <c r="E41">
        <v>9</v>
      </c>
      <c r="F41">
        <v>86</v>
      </c>
      <c r="G41">
        <v>99652</v>
      </c>
      <c r="H41" s="1">
        <f>_xlfn.XLOOKUP(F41,Reference_Tables!$A$3:$A$6,Reference_Tables!$B$3:$B$6,,-1)</f>
        <v>0.1</v>
      </c>
      <c r="I41" s="1">
        <f>_xlfn.XLOOKUP(E41,Reference_Tables!$A$10:$A$13,Reference_Tables!$B$10:$B$13,,-1)</f>
        <v>6</v>
      </c>
      <c r="J41" s="1" cm="1">
        <f t="array" ref="J41">INDEX(Reference_Tables!$B$19:$E$22,_xlfn.XMATCH(C41,Reference_Tables!$A$19:$A$22),_xlfn.XMATCH(D41,Reference_Tables!$B$18:$E$18))</f>
        <v>5500</v>
      </c>
      <c r="K41" s="1" cm="1">
        <f t="array" ref="K41">INDEX(Reference_Tables!$B$27:$E$30,_xlfn.XMATCH(B41,Reference_Tables!$A$27:$A$30),_xlfn.XMATCH(D41,Reference_Tables!$B$26:$E$26))</f>
        <v>4000</v>
      </c>
      <c r="L41" s="1" t="str">
        <f t="shared" si="1"/>
        <v>Stable</v>
      </c>
    </row>
    <row r="42" spans="1:12" x14ac:dyDescent="0.25">
      <c r="A42">
        <v>1041</v>
      </c>
      <c r="B42" t="s">
        <v>19</v>
      </c>
      <c r="C42" t="s">
        <v>13</v>
      </c>
      <c r="D42" t="s">
        <v>16</v>
      </c>
      <c r="E42">
        <v>3</v>
      </c>
      <c r="F42">
        <v>98</v>
      </c>
      <c r="G42">
        <v>61625</v>
      </c>
      <c r="H42" s="1">
        <f>_xlfn.XLOOKUP(F42,Reference_Tables!$A$3:$A$6,Reference_Tables!$B$3:$B$6,,-1)</f>
        <v>0.15</v>
      </c>
      <c r="I42" s="1">
        <f>_xlfn.XLOOKUP(E42,Reference_Tables!$A$10:$A$13,Reference_Tables!$B$10:$B$13,,-1)</f>
        <v>2</v>
      </c>
      <c r="J42" s="1" cm="1">
        <f t="array" ref="J42">INDEX(Reference_Tables!$B$19:$E$22,_xlfn.XMATCH(C42,Reference_Tables!$A$19:$A$22),_xlfn.XMATCH(D42,Reference_Tables!$B$18:$E$18))</f>
        <v>1000</v>
      </c>
      <c r="K42" s="1" cm="1">
        <f t="array" ref="K42">INDEX(Reference_Tables!$B$27:$E$30,_xlfn.XMATCH(B42,Reference_Tables!$A$27:$A$30),_xlfn.XMATCH(D42,Reference_Tables!$B$26:$E$26))</f>
        <v>1200</v>
      </c>
      <c r="L42" s="1" t="str">
        <f t="shared" si="1"/>
        <v>High Risk</v>
      </c>
    </row>
    <row r="43" spans="1:12" x14ac:dyDescent="0.25">
      <c r="A43">
        <v>1042</v>
      </c>
      <c r="B43" t="s">
        <v>15</v>
      </c>
      <c r="C43" t="s">
        <v>20</v>
      </c>
      <c r="D43" t="s">
        <v>18</v>
      </c>
      <c r="E43">
        <v>9</v>
      </c>
      <c r="F43">
        <v>80</v>
      </c>
      <c r="G43">
        <v>107805</v>
      </c>
      <c r="H43" s="1">
        <f>_xlfn.XLOOKUP(F43,Reference_Tables!$A$3:$A$6,Reference_Tables!$B$3:$B$6,,-1)</f>
        <v>0.05</v>
      </c>
      <c r="I43" s="1">
        <f>_xlfn.XLOOKUP(E43,Reference_Tables!$A$10:$A$13,Reference_Tables!$B$10:$B$13,,-1)</f>
        <v>6</v>
      </c>
      <c r="J43" s="1" cm="1">
        <f t="array" ref="J43">INDEX(Reference_Tables!$B$19:$E$22,_xlfn.XMATCH(C43,Reference_Tables!$A$19:$A$22),_xlfn.XMATCH(D43,Reference_Tables!$B$18:$E$18))</f>
        <v>5000</v>
      </c>
      <c r="K43" s="1" cm="1">
        <f t="array" ref="K43">INDEX(Reference_Tables!$B$27:$E$30,_xlfn.XMATCH(B43,Reference_Tables!$A$27:$A$30),_xlfn.XMATCH(D43,Reference_Tables!$B$26:$E$26))</f>
        <v>4000</v>
      </c>
      <c r="L43" s="1" t="str">
        <f t="shared" si="1"/>
        <v>Stable</v>
      </c>
    </row>
    <row r="44" spans="1:12" x14ac:dyDescent="0.25">
      <c r="A44">
        <v>1043</v>
      </c>
      <c r="B44" t="s">
        <v>12</v>
      </c>
      <c r="C44" t="s">
        <v>13</v>
      </c>
      <c r="D44" t="s">
        <v>23</v>
      </c>
      <c r="E44">
        <v>17</v>
      </c>
      <c r="F44">
        <v>95</v>
      </c>
      <c r="G44">
        <v>142098</v>
      </c>
      <c r="H44" s="1">
        <f>_xlfn.XLOOKUP(F44,Reference_Tables!$A$3:$A$6,Reference_Tables!$B$3:$B$6,,-1)</f>
        <v>0.15</v>
      </c>
      <c r="I44" s="1">
        <f>_xlfn.XLOOKUP(E44,Reference_Tables!$A$10:$A$13,Reference_Tables!$B$10:$B$13,,-1)</f>
        <v>6</v>
      </c>
      <c r="J44" s="1" cm="1">
        <f t="array" ref="J44">INDEX(Reference_Tables!$B$19:$E$22,_xlfn.XMATCH(C44,Reference_Tables!$A$19:$A$22),_xlfn.XMATCH(D44,Reference_Tables!$B$18:$E$18))</f>
        <v>4000</v>
      </c>
      <c r="K44" s="1" cm="1">
        <f t="array" ref="K44">INDEX(Reference_Tables!$B$27:$E$30,_xlfn.XMATCH(B44,Reference_Tables!$A$27:$A$30),_xlfn.XMATCH(D44,Reference_Tables!$B$26:$E$26))</f>
        <v>5000</v>
      </c>
      <c r="L44" s="1" t="str">
        <f t="shared" si="1"/>
        <v>Medium Risk</v>
      </c>
    </row>
    <row r="45" spans="1:12" x14ac:dyDescent="0.25">
      <c r="A45">
        <v>1044</v>
      </c>
      <c r="B45" t="s">
        <v>15</v>
      </c>
      <c r="C45" t="s">
        <v>22</v>
      </c>
      <c r="D45" t="s">
        <v>14</v>
      </c>
      <c r="E45">
        <v>4</v>
      </c>
      <c r="F45">
        <v>64</v>
      </c>
      <c r="G45">
        <v>74156</v>
      </c>
      <c r="H45" s="1">
        <f>_xlfn.XLOOKUP(F45,Reference_Tables!$A$3:$A$6,Reference_Tables!$B$3:$B$6,,-1)</f>
        <v>0</v>
      </c>
      <c r="I45" s="1">
        <f>_xlfn.XLOOKUP(E45,Reference_Tables!$A$10:$A$13,Reference_Tables!$B$10:$B$13,,-1)</f>
        <v>2</v>
      </c>
      <c r="J45" s="1" cm="1">
        <f t="array" ref="J45">INDEX(Reference_Tables!$B$19:$E$22,_xlfn.XMATCH(C45,Reference_Tables!$A$19:$A$22),_xlfn.XMATCH(D45,Reference_Tables!$B$18:$E$18))</f>
        <v>3200</v>
      </c>
      <c r="K45" s="1" cm="1">
        <f t="array" ref="K45">INDEX(Reference_Tables!$B$27:$E$30,_xlfn.XMATCH(B45,Reference_Tables!$A$27:$A$30),_xlfn.XMATCH(D45,Reference_Tables!$B$26:$E$26))</f>
        <v>2500</v>
      </c>
      <c r="L45" s="1" t="str">
        <f t="shared" si="1"/>
        <v>Stable</v>
      </c>
    </row>
    <row r="46" spans="1:12" x14ac:dyDescent="0.25">
      <c r="A46">
        <v>1045</v>
      </c>
      <c r="B46" t="s">
        <v>12</v>
      </c>
      <c r="C46" t="s">
        <v>22</v>
      </c>
      <c r="D46" t="s">
        <v>14</v>
      </c>
      <c r="E46">
        <v>3</v>
      </c>
      <c r="F46">
        <v>87</v>
      </c>
      <c r="G46">
        <v>75945</v>
      </c>
      <c r="H46" s="1">
        <f>_xlfn.XLOOKUP(F46,Reference_Tables!$A$3:$A$6,Reference_Tables!$B$3:$B$6,,-1)</f>
        <v>0.1</v>
      </c>
      <c r="I46" s="1">
        <f>_xlfn.XLOOKUP(E46,Reference_Tables!$A$10:$A$13,Reference_Tables!$B$10:$B$13,,-1)</f>
        <v>2</v>
      </c>
      <c r="J46" s="1" cm="1">
        <f t="array" ref="J46">INDEX(Reference_Tables!$B$19:$E$22,_xlfn.XMATCH(C46,Reference_Tables!$A$19:$A$22),_xlfn.XMATCH(D46,Reference_Tables!$B$18:$E$18))</f>
        <v>3200</v>
      </c>
      <c r="K46" s="1" cm="1">
        <f t="array" ref="K46">INDEX(Reference_Tables!$B$27:$E$30,_xlfn.XMATCH(B46,Reference_Tables!$A$27:$A$30),_xlfn.XMATCH(D46,Reference_Tables!$B$26:$E$26))</f>
        <v>2000</v>
      </c>
      <c r="L46" s="1" t="str">
        <f t="shared" si="1"/>
        <v>Stable</v>
      </c>
    </row>
    <row r="47" spans="1:12" x14ac:dyDescent="0.25">
      <c r="A47">
        <v>1046</v>
      </c>
      <c r="B47" t="s">
        <v>19</v>
      </c>
      <c r="C47" t="s">
        <v>20</v>
      </c>
      <c r="D47" t="s">
        <v>16</v>
      </c>
      <c r="E47">
        <v>3</v>
      </c>
      <c r="F47">
        <v>68</v>
      </c>
      <c r="G47">
        <v>62081</v>
      </c>
      <c r="H47" s="1">
        <f>_xlfn.XLOOKUP(F47,Reference_Tables!$A$3:$A$6,Reference_Tables!$B$3:$B$6,,-1)</f>
        <v>0</v>
      </c>
      <c r="I47" s="1">
        <f>_xlfn.XLOOKUP(E47,Reference_Tables!$A$10:$A$13,Reference_Tables!$B$10:$B$13,,-1)</f>
        <v>2</v>
      </c>
      <c r="J47" s="1" cm="1">
        <f t="array" ref="J47">INDEX(Reference_Tables!$B$19:$E$22,_xlfn.XMATCH(C47,Reference_Tables!$A$19:$A$22),_xlfn.XMATCH(D47,Reference_Tables!$B$18:$E$18))</f>
        <v>2000</v>
      </c>
      <c r="K47" s="1" cm="1">
        <f t="array" ref="K47">INDEX(Reference_Tables!$B$27:$E$30,_xlfn.XMATCH(B47,Reference_Tables!$A$27:$A$30),_xlfn.XMATCH(D47,Reference_Tables!$B$26:$E$26))</f>
        <v>1200</v>
      </c>
      <c r="L47" s="1" t="str">
        <f t="shared" si="1"/>
        <v>Stable</v>
      </c>
    </row>
    <row r="48" spans="1:12" x14ac:dyDescent="0.25">
      <c r="A48">
        <v>1047</v>
      </c>
      <c r="B48" t="s">
        <v>19</v>
      </c>
      <c r="C48" t="s">
        <v>13</v>
      </c>
      <c r="D48" t="s">
        <v>16</v>
      </c>
      <c r="E48">
        <v>3</v>
      </c>
      <c r="F48">
        <v>68</v>
      </c>
      <c r="G48">
        <v>64202</v>
      </c>
      <c r="H48" s="1">
        <f>_xlfn.XLOOKUP(F48,Reference_Tables!$A$3:$A$6,Reference_Tables!$B$3:$B$6,,-1)</f>
        <v>0</v>
      </c>
      <c r="I48" s="1">
        <f>_xlfn.XLOOKUP(E48,Reference_Tables!$A$10:$A$13,Reference_Tables!$B$10:$B$13,,-1)</f>
        <v>2</v>
      </c>
      <c r="J48" s="1" cm="1">
        <f t="array" ref="J48">INDEX(Reference_Tables!$B$19:$E$22,_xlfn.XMATCH(C48,Reference_Tables!$A$19:$A$22),_xlfn.XMATCH(D48,Reference_Tables!$B$18:$E$18))</f>
        <v>1000</v>
      </c>
      <c r="K48" s="1" cm="1">
        <f t="array" ref="K48">INDEX(Reference_Tables!$B$27:$E$30,_xlfn.XMATCH(B48,Reference_Tables!$A$27:$A$30),_xlfn.XMATCH(D48,Reference_Tables!$B$26:$E$26))</f>
        <v>1200</v>
      </c>
      <c r="L48" s="1" t="str">
        <f t="shared" si="1"/>
        <v>Stable</v>
      </c>
    </row>
    <row r="49" spans="1:12" x14ac:dyDescent="0.25">
      <c r="A49">
        <v>1048</v>
      </c>
      <c r="B49" t="s">
        <v>12</v>
      </c>
      <c r="C49" t="s">
        <v>20</v>
      </c>
      <c r="D49" t="s">
        <v>14</v>
      </c>
      <c r="E49">
        <v>7</v>
      </c>
      <c r="F49">
        <v>66</v>
      </c>
      <c r="G49">
        <v>81961</v>
      </c>
      <c r="H49" s="1">
        <f>_xlfn.XLOOKUP(F49,Reference_Tables!$A$3:$A$6,Reference_Tables!$B$3:$B$6,,-1)</f>
        <v>0</v>
      </c>
      <c r="I49" s="1">
        <f>_xlfn.XLOOKUP(E49,Reference_Tables!$A$10:$A$13,Reference_Tables!$B$10:$B$13,,-1)</f>
        <v>6</v>
      </c>
      <c r="J49" s="1" cm="1">
        <f t="array" ref="J49">INDEX(Reference_Tables!$B$19:$E$22,_xlfn.XMATCH(C49,Reference_Tables!$A$19:$A$22),_xlfn.XMATCH(D49,Reference_Tables!$B$18:$E$18))</f>
        <v>3000</v>
      </c>
      <c r="K49" s="1" cm="1">
        <f t="array" ref="K49">INDEX(Reference_Tables!$B$27:$E$30,_xlfn.XMATCH(B49,Reference_Tables!$A$27:$A$30),_xlfn.XMATCH(D49,Reference_Tables!$B$26:$E$26))</f>
        <v>2000</v>
      </c>
      <c r="L49" s="1" t="str">
        <f t="shared" si="1"/>
        <v>Stable</v>
      </c>
    </row>
    <row r="50" spans="1:12" x14ac:dyDescent="0.25">
      <c r="A50">
        <v>1049</v>
      </c>
      <c r="B50" t="s">
        <v>12</v>
      </c>
      <c r="C50" t="s">
        <v>13</v>
      </c>
      <c r="D50" t="s">
        <v>18</v>
      </c>
      <c r="E50">
        <v>11</v>
      </c>
      <c r="F50">
        <v>92</v>
      </c>
      <c r="G50">
        <v>109097</v>
      </c>
      <c r="H50" s="1">
        <f>_xlfn.XLOOKUP(F50,Reference_Tables!$A$3:$A$6,Reference_Tables!$B$3:$B$6,,-1)</f>
        <v>0.1</v>
      </c>
      <c r="I50" s="1">
        <f>_xlfn.XLOOKUP(E50,Reference_Tables!$A$10:$A$13,Reference_Tables!$B$10:$B$13,,-1)</f>
        <v>6</v>
      </c>
      <c r="J50" s="1" cm="1">
        <f t="array" ref="J50">INDEX(Reference_Tables!$B$19:$E$22,_xlfn.XMATCH(C50,Reference_Tables!$A$19:$A$22),_xlfn.XMATCH(D50,Reference_Tables!$B$18:$E$18))</f>
        <v>2500</v>
      </c>
      <c r="K50" s="1" cm="1">
        <f t="array" ref="K50">INDEX(Reference_Tables!$B$27:$E$30,_xlfn.XMATCH(B50,Reference_Tables!$A$27:$A$30),_xlfn.XMATCH(D50,Reference_Tables!$B$26:$E$26))</f>
        <v>3500</v>
      </c>
      <c r="L50" s="1" t="str">
        <f t="shared" si="1"/>
        <v>Medium Risk</v>
      </c>
    </row>
    <row r="51" spans="1:12" x14ac:dyDescent="0.25">
      <c r="A51">
        <v>1050</v>
      </c>
      <c r="B51" t="s">
        <v>21</v>
      </c>
      <c r="C51" t="s">
        <v>13</v>
      </c>
      <c r="D51" t="s">
        <v>14</v>
      </c>
      <c r="E51">
        <v>4</v>
      </c>
      <c r="F51">
        <v>68</v>
      </c>
      <c r="G51">
        <v>77866</v>
      </c>
      <c r="H51" s="1">
        <f>_xlfn.XLOOKUP(F51,Reference_Tables!$A$3:$A$6,Reference_Tables!$B$3:$B$6,,-1)</f>
        <v>0</v>
      </c>
      <c r="I51" s="1">
        <f>_xlfn.XLOOKUP(E51,Reference_Tables!$A$10:$A$13,Reference_Tables!$B$10:$B$13,,-1)</f>
        <v>2</v>
      </c>
      <c r="J51" s="1" cm="1">
        <f t="array" ref="J51">INDEX(Reference_Tables!$B$19:$E$22,_xlfn.XMATCH(C51,Reference_Tables!$A$19:$A$22),_xlfn.XMATCH(D51,Reference_Tables!$B$18:$E$18))</f>
        <v>1500</v>
      </c>
      <c r="K51" s="1" cm="1">
        <f t="array" ref="K51">INDEX(Reference_Tables!$B$27:$E$30,_xlfn.XMATCH(B51,Reference_Tables!$A$27:$A$30),_xlfn.XMATCH(D51,Reference_Tables!$B$26:$E$26))</f>
        <v>1500</v>
      </c>
      <c r="L51" s="1" t="str">
        <f t="shared" si="1"/>
        <v>Stable</v>
      </c>
    </row>
  </sheetData>
  <pageMargins left="0.7" right="0.7" top="0.75" bottom="0.75" header="0.3" footer="0.3"/>
  <ignoredErrors>
    <ignoredError sqref="A1:L1 A3:G51 A2:G2 L2 L4:L51 L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/>
  </sheetViews>
  <sheetFormatPr defaultRowHeight="15.75" x14ac:dyDescent="0.25"/>
  <sheetData>
    <row r="1" spans="1:2" x14ac:dyDescent="0.25">
      <c r="A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>
        <v>0</v>
      </c>
      <c r="B3">
        <v>0</v>
      </c>
    </row>
    <row r="4" spans="1:2" x14ac:dyDescent="0.25">
      <c r="A4">
        <v>70</v>
      </c>
      <c r="B4">
        <v>0.05</v>
      </c>
    </row>
    <row r="5" spans="1:2" x14ac:dyDescent="0.25">
      <c r="A5">
        <v>85</v>
      </c>
      <c r="B5">
        <v>0.1</v>
      </c>
    </row>
    <row r="6" spans="1:2" x14ac:dyDescent="0.25">
      <c r="A6">
        <v>95</v>
      </c>
      <c r="B6">
        <v>0.15</v>
      </c>
    </row>
    <row r="9" spans="1:2" x14ac:dyDescent="0.25">
      <c r="A9" t="s">
        <v>27</v>
      </c>
    </row>
    <row r="10" spans="1:2" x14ac:dyDescent="0.25">
      <c r="A10" t="s">
        <v>28</v>
      </c>
      <c r="B10" t="s">
        <v>29</v>
      </c>
    </row>
    <row r="11" spans="1:2" x14ac:dyDescent="0.25">
      <c r="A11">
        <v>0</v>
      </c>
      <c r="B11">
        <v>0</v>
      </c>
    </row>
    <row r="12" spans="1:2" x14ac:dyDescent="0.25">
      <c r="A12">
        <v>2</v>
      </c>
      <c r="B12">
        <v>2</v>
      </c>
    </row>
    <row r="13" spans="1:2" x14ac:dyDescent="0.25">
      <c r="A13">
        <v>5</v>
      </c>
      <c r="B13">
        <v>6</v>
      </c>
    </row>
    <row r="14" spans="1:2" x14ac:dyDescent="0.25">
      <c r="A14">
        <v>10</v>
      </c>
      <c r="B14">
        <v>12</v>
      </c>
    </row>
    <row r="17" spans="1:5" x14ac:dyDescent="0.25">
      <c r="A17" t="s">
        <v>30</v>
      </c>
    </row>
    <row r="18" spans="1:5" x14ac:dyDescent="0.25">
      <c r="A18" t="s">
        <v>31</v>
      </c>
      <c r="B18" t="s">
        <v>16</v>
      </c>
      <c r="C18" t="s">
        <v>14</v>
      </c>
      <c r="D18" t="s">
        <v>18</v>
      </c>
      <c r="E18" t="s">
        <v>23</v>
      </c>
    </row>
    <row r="19" spans="1:5" x14ac:dyDescent="0.25">
      <c r="A19" t="s">
        <v>20</v>
      </c>
      <c r="B19">
        <v>2000</v>
      </c>
      <c r="C19">
        <v>3000</v>
      </c>
      <c r="D19">
        <v>5000</v>
      </c>
      <c r="E19">
        <v>8000</v>
      </c>
    </row>
    <row r="20" spans="1:5" x14ac:dyDescent="0.25">
      <c r="A20" t="s">
        <v>13</v>
      </c>
      <c r="B20">
        <v>1000</v>
      </c>
      <c r="C20">
        <v>1500</v>
      </c>
      <c r="D20">
        <v>2500</v>
      </c>
      <c r="E20">
        <v>4000</v>
      </c>
    </row>
    <row r="21" spans="1:5" x14ac:dyDescent="0.25">
      <c r="A21" t="s">
        <v>17</v>
      </c>
      <c r="B21">
        <v>1200</v>
      </c>
      <c r="C21">
        <v>1800</v>
      </c>
      <c r="D21">
        <v>3000</v>
      </c>
      <c r="E21">
        <v>5000</v>
      </c>
    </row>
    <row r="22" spans="1:5" x14ac:dyDescent="0.25">
      <c r="A22" t="s">
        <v>22</v>
      </c>
      <c r="B22">
        <v>2200</v>
      </c>
      <c r="C22">
        <v>3200</v>
      </c>
      <c r="D22">
        <v>5500</v>
      </c>
      <c r="E22">
        <v>9000</v>
      </c>
    </row>
    <row r="25" spans="1:5" x14ac:dyDescent="0.25">
      <c r="A25" t="s">
        <v>32</v>
      </c>
    </row>
    <row r="26" spans="1:5" x14ac:dyDescent="0.25">
      <c r="A26" t="s">
        <v>33</v>
      </c>
      <c r="B26" t="s">
        <v>16</v>
      </c>
      <c r="C26" t="s">
        <v>14</v>
      </c>
      <c r="D26" t="s">
        <v>18</v>
      </c>
      <c r="E26" t="s">
        <v>23</v>
      </c>
    </row>
    <row r="27" spans="1:5" x14ac:dyDescent="0.25">
      <c r="A27" t="s">
        <v>15</v>
      </c>
      <c r="B27">
        <v>1500</v>
      </c>
      <c r="C27">
        <v>2500</v>
      </c>
      <c r="D27">
        <v>4000</v>
      </c>
      <c r="E27">
        <v>6000</v>
      </c>
    </row>
    <row r="28" spans="1:5" x14ac:dyDescent="0.25">
      <c r="A28" t="s">
        <v>12</v>
      </c>
      <c r="B28">
        <v>1000</v>
      </c>
      <c r="C28">
        <v>2000</v>
      </c>
      <c r="D28">
        <v>3500</v>
      </c>
      <c r="E28">
        <v>5000</v>
      </c>
    </row>
    <row r="29" spans="1:5" x14ac:dyDescent="0.25">
      <c r="A29" t="s">
        <v>19</v>
      </c>
      <c r="B29">
        <v>1200</v>
      </c>
      <c r="C29">
        <v>2200</v>
      </c>
      <c r="D29">
        <v>3000</v>
      </c>
      <c r="E29">
        <v>4500</v>
      </c>
    </row>
    <row r="30" spans="1:5" x14ac:dyDescent="0.25">
      <c r="A30" t="s">
        <v>21</v>
      </c>
      <c r="B30">
        <v>800</v>
      </c>
      <c r="C30">
        <v>1500</v>
      </c>
      <c r="D30">
        <v>2500</v>
      </c>
      <c r="E30">
        <v>4000</v>
      </c>
    </row>
  </sheetData>
  <pageMargins left="0.7" right="0.7" top="0.75" bottom="0.75" header="0.3" footer="0.3"/>
  <ignoredErrors>
    <ignoredError sqref="A1:E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20" sqref="C20"/>
    </sheetView>
  </sheetViews>
  <sheetFormatPr defaultRowHeight="15.75" x14ac:dyDescent="0.25"/>
  <cols>
    <col min="1" max="1" width="5.875" customWidth="1"/>
    <col min="2" max="2" width="35.875" customWidth="1"/>
    <col min="3" max="3" width="60.875" customWidth="1"/>
  </cols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 t="s">
        <v>37</v>
      </c>
      <c r="B2" t="s">
        <v>38</v>
      </c>
      <c r="C2" s="7">
        <f>SUMIFS(Solution_Data!G:G, Solution_Data!B:B, "Engineering", Solution_Data!C:C, "Seattle")</f>
        <v>250744</v>
      </c>
    </row>
    <row r="3" spans="1:3" x14ac:dyDescent="0.25">
      <c r="A3" t="s">
        <v>39</v>
      </c>
      <c r="B3" t="s">
        <v>40</v>
      </c>
      <c r="C3" s="7">
        <f>COUNTIFS(Solution_Data!D:D, "Manager", Solution_Data!C:C, "Austin")</f>
        <v>2</v>
      </c>
    </row>
    <row r="4" spans="1:3" x14ac:dyDescent="0.25">
      <c r="A4" t="s">
        <v>41</v>
      </c>
      <c r="B4" t="s">
        <v>42</v>
      </c>
      <c r="C4" s="7">
        <f>AVERAGEIFS(Solution_Data!F:F, Solution_Data!B:B, "Sales", Solution_Data!E:E, "&gt;5")</f>
        <v>75.25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Solution_Data</vt:lpstr>
      <vt:lpstr>Reference_Tables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</dc:creator>
  <cp:lastModifiedBy>Joo Ha</cp:lastModifiedBy>
  <dcterms:created xsi:type="dcterms:W3CDTF">2026-02-04T05:06:34Z</dcterms:created>
  <dcterms:modified xsi:type="dcterms:W3CDTF">2026-02-10T00:20:50Z</dcterms:modified>
</cp:coreProperties>
</file>