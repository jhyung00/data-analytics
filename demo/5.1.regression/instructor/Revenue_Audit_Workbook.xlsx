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Library\CloudStorage\OneDrive-GonzagaUniversity\Gonzaga-Accounting Data Analytics\DEMO\Excel &amp; Power BI\Module 2\Predictive and Prescriptive\Revenue-Audit-Regression-minicase\"/>
    </mc:Choice>
  </mc:AlternateContent>
  <xr:revisionPtr revIDLastSave="0" documentId="13_ncr:1_{D1D731CF-365A-4ABE-8D31-4DDD0254EB9A}" xr6:coauthVersionLast="47" xr6:coauthVersionMax="47" xr10:uidLastSave="{00000000-0000-0000-0000-000000000000}"/>
  <bookViews>
    <workbookView xWindow="11715" yWindow="4125" windowWidth="32190" windowHeight="15540" activeTab="2" xr2:uid="{00000000-000D-0000-FFFF-FFFF00000000}"/>
  </bookViews>
  <sheets>
    <sheet name="Answer" sheetId="4" r:id="rId1"/>
    <sheet name="README" sheetId="1" r:id="rId2"/>
    <sheet name="Student_Workshee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4" l="1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38" i="4"/>
  <c r="G7" i="4"/>
  <c r="K7" i="4" s="1"/>
  <c r="L7" i="4" s="1"/>
  <c r="M7" i="4" s="1"/>
  <c r="G8" i="4"/>
  <c r="K8" i="4" s="1"/>
  <c r="L8" i="4" s="1"/>
  <c r="M8" i="4" s="1"/>
  <c r="G9" i="4"/>
  <c r="G10" i="4"/>
  <c r="K10" i="4" s="1"/>
  <c r="L10" i="4" s="1"/>
  <c r="M10" i="4" s="1"/>
  <c r="G11" i="4"/>
  <c r="G12" i="4"/>
  <c r="K12" i="4" s="1"/>
  <c r="L12" i="4" s="1"/>
  <c r="M12" i="4" s="1"/>
  <c r="G13" i="4"/>
  <c r="K13" i="4" s="1"/>
  <c r="L13" i="4" s="1"/>
  <c r="M13" i="4" s="1"/>
  <c r="G14" i="4"/>
  <c r="K14" i="4" s="1"/>
  <c r="L14" i="4" s="1"/>
  <c r="M14" i="4" s="1"/>
  <c r="G15" i="4"/>
  <c r="G16" i="4"/>
  <c r="K16" i="4" s="1"/>
  <c r="L16" i="4" s="1"/>
  <c r="M16" i="4" s="1"/>
  <c r="G6" i="4"/>
  <c r="K3" i="4"/>
  <c r="L3" i="4" s="1"/>
  <c r="M3" i="4" s="1"/>
  <c r="K4" i="4"/>
  <c r="L4" i="4" s="1"/>
  <c r="M4" i="4" s="1"/>
  <c r="K5" i="4"/>
  <c r="L5" i="4" s="1"/>
  <c r="M5" i="4" s="1"/>
  <c r="K9" i="4"/>
  <c r="L9" i="4" s="1"/>
  <c r="M9" i="4" s="1"/>
  <c r="K11" i="4"/>
  <c r="L11" i="4" s="1"/>
  <c r="M11" i="4" s="1"/>
  <c r="K15" i="4"/>
  <c r="L15" i="4" s="1"/>
  <c r="M15" i="4" s="1"/>
  <c r="K17" i="4"/>
  <c r="L17" i="4" s="1"/>
  <c r="M17" i="4" s="1"/>
  <c r="K18" i="4"/>
  <c r="L18" i="4" s="1"/>
  <c r="M18" i="4" s="1"/>
  <c r="K19" i="4"/>
  <c r="L19" i="4" s="1"/>
  <c r="M19" i="4" s="1"/>
  <c r="K20" i="4"/>
  <c r="L20" i="4" s="1"/>
  <c r="M20" i="4" s="1"/>
  <c r="K21" i="4"/>
  <c r="L21" i="4" s="1"/>
  <c r="M21" i="4" s="1"/>
  <c r="K22" i="4"/>
  <c r="L22" i="4" s="1"/>
  <c r="M22" i="4" s="1"/>
  <c r="K23" i="4"/>
  <c r="L23" i="4" s="1"/>
  <c r="M23" i="4" s="1"/>
  <c r="K24" i="4"/>
  <c r="L24" i="4" s="1"/>
  <c r="M24" i="4" s="1"/>
  <c r="K25" i="4"/>
  <c r="L25" i="4" s="1"/>
  <c r="M25" i="4" s="1"/>
  <c r="K26" i="4"/>
  <c r="L26" i="4" s="1"/>
  <c r="M26" i="4" s="1"/>
  <c r="K27" i="4"/>
  <c r="L27" i="4" s="1"/>
  <c r="M27" i="4" s="1"/>
  <c r="K28" i="4"/>
  <c r="L28" i="4" s="1"/>
  <c r="M28" i="4" s="1"/>
  <c r="K29" i="4"/>
  <c r="L29" i="4" s="1"/>
  <c r="M29" i="4" s="1"/>
  <c r="K30" i="4"/>
  <c r="L30" i="4" s="1"/>
  <c r="M30" i="4" s="1"/>
  <c r="K31" i="4"/>
  <c r="L31" i="4" s="1"/>
  <c r="M31" i="4" s="1"/>
  <c r="K32" i="4"/>
  <c r="L32" i="4" s="1"/>
  <c r="M32" i="4" s="1"/>
  <c r="K33" i="4"/>
  <c r="L33" i="4" s="1"/>
  <c r="M33" i="4" s="1"/>
  <c r="K34" i="4"/>
  <c r="L34" i="4" s="1"/>
  <c r="M34" i="4" s="1"/>
  <c r="K35" i="4"/>
  <c r="L35" i="4" s="1"/>
  <c r="M35" i="4" s="1"/>
  <c r="K36" i="4"/>
  <c r="L36" i="4" s="1"/>
  <c r="M36" i="4" s="1"/>
  <c r="K37" i="4"/>
  <c r="L37" i="4" s="1"/>
  <c r="M37" i="4" s="1"/>
  <c r="K38" i="4"/>
  <c r="K39" i="4"/>
  <c r="L39" i="4" s="1"/>
  <c r="M39" i="4" s="1"/>
  <c r="K40" i="4"/>
  <c r="L40" i="4" s="1"/>
  <c r="M40" i="4" s="1"/>
  <c r="K41" i="4"/>
  <c r="K42" i="4"/>
  <c r="K43" i="4"/>
  <c r="L43" i="4" s="1"/>
  <c r="M43" i="4" s="1"/>
  <c r="K44" i="4"/>
  <c r="L44" i="4" s="1"/>
  <c r="M44" i="4" s="1"/>
  <c r="K45" i="4"/>
  <c r="K46" i="4"/>
  <c r="K47" i="4"/>
  <c r="L47" i="4" s="1"/>
  <c r="M47" i="4" s="1"/>
  <c r="K48" i="4"/>
  <c r="L48" i="4" s="1"/>
  <c r="M48" i="4" s="1"/>
  <c r="K49" i="4"/>
  <c r="K50" i="4"/>
  <c r="K51" i="4"/>
  <c r="L51" i="4" s="1"/>
  <c r="M51" i="4" s="1"/>
  <c r="K52" i="4"/>
  <c r="L52" i="4" s="1"/>
  <c r="M52" i="4" s="1"/>
  <c r="K53" i="4"/>
  <c r="K54" i="4"/>
  <c r="K55" i="4"/>
  <c r="L55" i="4" s="1"/>
  <c r="M55" i="4" s="1"/>
  <c r="K56" i="4"/>
  <c r="L56" i="4" s="1"/>
  <c r="M56" i="4" s="1"/>
  <c r="K57" i="4"/>
  <c r="K58" i="4"/>
  <c r="K59" i="4"/>
  <c r="L59" i="4" s="1"/>
  <c r="M59" i="4" s="1"/>
  <c r="K60" i="4"/>
  <c r="L60" i="4" s="1"/>
  <c r="M60" i="4" s="1"/>
  <c r="K61" i="4"/>
  <c r="K2" i="4"/>
  <c r="L2" i="4" s="1"/>
  <c r="M2" i="4" s="1"/>
  <c r="L46" i="4" l="1"/>
  <c r="M46" i="4" s="1"/>
  <c r="L58" i="4"/>
  <c r="M58" i="4" s="1"/>
  <c r="L50" i="4"/>
  <c r="M50" i="4" s="1"/>
  <c r="L42" i="4"/>
  <c r="M42" i="4" s="1"/>
  <c r="L61" i="4"/>
  <c r="M61" i="4" s="1"/>
  <c r="L53" i="4"/>
  <c r="M53" i="4" s="1"/>
  <c r="L41" i="4"/>
  <c r="M41" i="4" s="1"/>
  <c r="L54" i="4"/>
  <c r="M54" i="4" s="1"/>
  <c r="L57" i="4"/>
  <c r="M57" i="4" s="1"/>
  <c r="L49" i="4"/>
  <c r="M49" i="4" s="1"/>
  <c r="L45" i="4"/>
  <c r="M45" i="4" s="1"/>
  <c r="L38" i="4"/>
  <c r="M38" i="4" s="1"/>
  <c r="K6" i="4"/>
  <c r="L6" i="4" s="1"/>
  <c r="M6" i="4" s="1"/>
</calcChain>
</file>

<file path=xl/sharedStrings.xml><?xml version="1.0" encoding="utf-8"?>
<sst xmlns="http://schemas.openxmlformats.org/spreadsheetml/2006/main" count="268" uniqueCount="124">
  <si>
    <t>Column Name</t>
  </si>
  <si>
    <t>Description</t>
  </si>
  <si>
    <t>Month</t>
  </si>
  <si>
    <t>MonthStr</t>
  </si>
  <si>
    <t>Subscribers_Original</t>
  </si>
  <si>
    <t>Subscribers_Normalized</t>
  </si>
  <si>
    <t>Revenue_Normalized</t>
  </si>
  <si>
    <t>Revenue_Original</t>
  </si>
  <si>
    <t>Residual</t>
  </si>
  <si>
    <t>AvgPlanTier</t>
  </si>
  <si>
    <t>MarketingSpend</t>
  </si>
  <si>
    <t>ChurnRate</t>
  </si>
  <si>
    <t>Full datetime (Month)</t>
  </si>
  <si>
    <t>Formatted Month (YYYY-MM)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</si>
  <si>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</si>
  <si>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</si>
  <si>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</si>
  <si>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</si>
  <si>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</si>
  <si>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</si>
  <si>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</si>
  <si>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</si>
  <si>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</si>
  <si>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</si>
  <si>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</si>
  <si>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</si>
  <si>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</si>
  <si>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</si>
  <si>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</si>
  <si>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</si>
  <si>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</si>
  <si>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</si>
  <si>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</si>
  <si>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</si>
  <si>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</si>
  <si>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</si>
  <si>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</si>
  <si>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</si>
  <si>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</si>
  <si>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</si>
  <si>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</si>
  <si>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</si>
  <si>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</si>
  <si>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</si>
  <si>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</si>
  <si>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</si>
  <si>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</si>
  <si>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</si>
  <si>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</si>
  <si>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</si>
  <si>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</si>
  <si>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</si>
  <si>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</si>
  <si>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</si>
  <si>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</si>
  <si>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</si>
  <si>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</si>
  <si>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</si>
  <si>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</si>
  <si>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</si>
  <si>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</si>
  <si>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</si>
  <si>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</si>
  <si>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</si>
  <si>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</si>
  <si>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</si>
  <si>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</si>
  <si>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</si>
  <si>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</si>
  <si>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</si>
  <si>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</si>
  <si>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</si>
  <si>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</si>
  <si>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</si>
  <si>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</si>
  <si>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</si>
  <si>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</si>
  <si>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</si>
  <si>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</si>
  <si>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</si>
  <si>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</si>
  <si>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</si>
  <si>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</si>
  <si>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</si>
  <si>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</si>
  <si>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</si>
  <si>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</si>
  <si>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</si>
  <si>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</si>
  <si>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</si>
  <si>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</si>
  <si>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</si>
  <si>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</si>
  <si>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</si>
  <si>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</si>
  <si>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</si>
  <si>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</si>
  <si>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</si>
  <si>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</si>
  <si>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Revenue_Original</t>
  </si>
  <si>
    <t>Residuals</t>
  </si>
  <si>
    <t>Predicted Revenue_Normalized</t>
  </si>
  <si>
    <t>Predicted Revenue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</si>
  <si>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</si>
  <si>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</si>
  <si>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</si>
  <si>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</si>
  <si>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</si>
  <si>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</si>
  <si>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</si>
  <si>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</si>
  <si>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</si>
  <si>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</si>
  <si>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</si>
  <si>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</si>
  <si>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Z-score</t>
  </si>
  <si>
    <t>Month Number</t>
  </si>
  <si>
    <t>Month number</t>
  </si>
  <si>
    <t>Original revenue before any data normalization</t>
  </si>
  <si>
    <t>Original subscriber count before any data normalization</t>
  </si>
  <si>
    <t>Month index</t>
  </si>
  <si>
    <t>Estimated monthly expenditure on marketing campaigns.</t>
  </si>
  <si>
    <t>Percentage of subscribers who cancel their subscriptions during a given month.</t>
  </si>
  <si>
    <t>The average subscription plan tier across the active subscriber base.( tier level is defined as follows: 1 = Basic, 2 = Standard, 3 = Premium)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</si>
</sst>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Subscribers_Original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Answer!$D$2:$D$61</c:f>
              <c:numCache>
                <c:formatCode>General</c:formatCode>
                <c:ptCount val="60"/>
                <c:pt idx="0">
                  <c:v>19975</c:v>
                </c:pt>
                <c:pt idx="1">
                  <c:v>20184</c:v>
                </c:pt>
                <c:pt idx="2">
                  <c:v>19922</c:v>
                </c:pt>
                <c:pt idx="3">
                  <c:v>20295</c:v>
                </c:pt>
                <c:pt idx="4">
                  <c:v>22117</c:v>
                </c:pt>
                <c:pt idx="5">
                  <c:v>22145</c:v>
                </c:pt>
                <c:pt idx="6">
                  <c:v>22305</c:v>
                </c:pt>
                <c:pt idx="7">
                  <c:v>22287</c:v>
                </c:pt>
                <c:pt idx="8">
                  <c:v>22330</c:v>
                </c:pt>
                <c:pt idx="9">
                  <c:v>22518</c:v>
                </c:pt>
                <c:pt idx="10">
                  <c:v>22390</c:v>
                </c:pt>
                <c:pt idx="11">
                  <c:v>22710</c:v>
                </c:pt>
                <c:pt idx="12">
                  <c:v>22606</c:v>
                </c:pt>
                <c:pt idx="13">
                  <c:v>22822</c:v>
                </c:pt>
                <c:pt idx="14">
                  <c:v>22785</c:v>
                </c:pt>
                <c:pt idx="15">
                  <c:v>20713</c:v>
                </c:pt>
                <c:pt idx="16">
                  <c:v>20929</c:v>
                </c:pt>
                <c:pt idx="17">
                  <c:v>20750</c:v>
                </c:pt>
                <c:pt idx="18">
                  <c:v>20849</c:v>
                </c:pt>
                <c:pt idx="19">
                  <c:v>21039</c:v>
                </c:pt>
                <c:pt idx="20">
                  <c:v>21224</c:v>
                </c:pt>
                <c:pt idx="21">
                  <c:v>21138</c:v>
                </c:pt>
                <c:pt idx="22">
                  <c:v>21064</c:v>
                </c:pt>
                <c:pt idx="23">
                  <c:v>21201</c:v>
                </c:pt>
                <c:pt idx="24">
                  <c:v>21302</c:v>
                </c:pt>
                <c:pt idx="25">
                  <c:v>21395</c:v>
                </c:pt>
                <c:pt idx="26">
                  <c:v>21226</c:v>
                </c:pt>
                <c:pt idx="27">
                  <c:v>21213</c:v>
                </c:pt>
                <c:pt idx="28">
                  <c:v>21262</c:v>
                </c:pt>
                <c:pt idx="29">
                  <c:v>21360</c:v>
                </c:pt>
                <c:pt idx="30">
                  <c:v>21661</c:v>
                </c:pt>
                <c:pt idx="31">
                  <c:v>21734</c:v>
                </c:pt>
                <c:pt idx="32">
                  <c:v>21683</c:v>
                </c:pt>
                <c:pt idx="33">
                  <c:v>21619</c:v>
                </c:pt>
                <c:pt idx="34">
                  <c:v>21774</c:v>
                </c:pt>
                <c:pt idx="35">
                  <c:v>21864</c:v>
                </c:pt>
                <c:pt idx="36">
                  <c:v>21714</c:v>
                </c:pt>
                <c:pt idx="37">
                  <c:v>21844</c:v>
                </c:pt>
                <c:pt idx="38">
                  <c:v>22039</c:v>
                </c:pt>
                <c:pt idx="39">
                  <c:v>21996</c:v>
                </c:pt>
                <c:pt idx="40">
                  <c:v>21969</c:v>
                </c:pt>
                <c:pt idx="41">
                  <c:v>22104</c:v>
                </c:pt>
                <c:pt idx="42">
                  <c:v>22107</c:v>
                </c:pt>
                <c:pt idx="43">
                  <c:v>22074</c:v>
                </c:pt>
                <c:pt idx="44">
                  <c:v>22371</c:v>
                </c:pt>
                <c:pt idx="45">
                  <c:v>22310</c:v>
                </c:pt>
                <c:pt idx="46">
                  <c:v>22473</c:v>
                </c:pt>
                <c:pt idx="47">
                  <c:v>22343</c:v>
                </c:pt>
                <c:pt idx="48">
                  <c:v>22634</c:v>
                </c:pt>
                <c:pt idx="49">
                  <c:v>22334</c:v>
                </c:pt>
                <c:pt idx="50">
                  <c:v>22596</c:v>
                </c:pt>
                <c:pt idx="51">
                  <c:v>22457</c:v>
                </c:pt>
                <c:pt idx="52">
                  <c:v>22551</c:v>
                </c:pt>
                <c:pt idx="53">
                  <c:v>22670</c:v>
                </c:pt>
                <c:pt idx="54">
                  <c:v>22802</c:v>
                </c:pt>
                <c:pt idx="55">
                  <c:v>22657</c:v>
                </c:pt>
                <c:pt idx="56">
                  <c:v>22945</c:v>
                </c:pt>
                <c:pt idx="57">
                  <c:v>22804</c:v>
                </c:pt>
                <c:pt idx="58">
                  <c:v>22844</c:v>
                </c:pt>
                <c:pt idx="59">
                  <c:v>22898</c:v>
                </c:pt>
              </c:numCache>
            </c:numRef>
          </c:xVal>
          <c:yVal>
            <c:numRef>
              <c:f>Answer!$X$26:$X$85</c:f>
              <c:numCache>
                <c:formatCode>General</c:formatCode>
                <c:ptCount val="60"/>
                <c:pt idx="0">
                  <c:v>-14070.125776459929</c:v>
                </c:pt>
                <c:pt idx="1">
                  <c:v>7216.1331970639876</c:v>
                </c:pt>
                <c:pt idx="2">
                  <c:v>-11813.314252616488</c:v>
                </c:pt>
                <c:pt idx="3">
                  <c:v>13052.748602603097</c:v>
                </c:pt>
                <c:pt idx="4">
                  <c:v>6957.2503009330831</c:v>
                </c:pt>
                <c:pt idx="5">
                  <c:v>684.43215608148603</c:v>
                </c:pt>
                <c:pt idx="6">
                  <c:v>20412.55261816358</c:v>
                </c:pt>
                <c:pt idx="7">
                  <c:v>21697.442961052351</c:v>
                </c:pt>
                <c:pt idx="8">
                  <c:v>16968.377041961241</c:v>
                </c:pt>
                <c:pt idx="9">
                  <c:v>31806.494846653834</c:v>
                </c:pt>
                <c:pt idx="10">
                  <c:v>12508.386414052104</c:v>
                </c:pt>
                <c:pt idx="11">
                  <c:v>35099.034125433944</c:v>
                </c:pt>
                <c:pt idx="12">
                  <c:v>27189.441093429574</c:v>
                </c:pt>
                <c:pt idx="13">
                  <c:v>33616.105021420924</c:v>
                </c:pt>
                <c:pt idx="14">
                  <c:v>24998.213116493542</c:v>
                </c:pt>
                <c:pt idx="15">
                  <c:v>32879.022728303273</c:v>
                </c:pt>
                <c:pt idx="16">
                  <c:v>30352.210229388496</c:v>
                </c:pt>
                <c:pt idx="17">
                  <c:v>10799.833842702094</c:v>
                </c:pt>
                <c:pt idx="18">
                  <c:v>17340.768815351068</c:v>
                </c:pt>
                <c:pt idx="19">
                  <c:v>14031.467453821504</c:v>
                </c:pt>
                <c:pt idx="20">
                  <c:v>29942.984972701874</c:v>
                </c:pt>
                <c:pt idx="21">
                  <c:v>2206.6211647843011</c:v>
                </c:pt>
                <c:pt idx="22">
                  <c:v>1413.46664472681</c:v>
                </c:pt>
                <c:pt idx="23">
                  <c:v>-3679.5836920178845</c:v>
                </c:pt>
                <c:pt idx="24">
                  <c:v>4185.7715885196812</c:v>
                </c:pt>
                <c:pt idx="25">
                  <c:v>11520.077334928443</c:v>
                </c:pt>
                <c:pt idx="26">
                  <c:v>-19533.762430433359</c:v>
                </c:pt>
                <c:pt idx="27">
                  <c:v>-27342.912436895363</c:v>
                </c:pt>
                <c:pt idx="28">
                  <c:v>-2501.8681521204417</c:v>
                </c:pt>
                <c:pt idx="29">
                  <c:v>-7391.940016694949</c:v>
                </c:pt>
                <c:pt idx="30">
                  <c:v>-6268.743286717392</c:v>
                </c:pt>
                <c:pt idx="31">
                  <c:v>3847.5090654665255</c:v>
                </c:pt>
                <c:pt idx="32">
                  <c:v>-5805.3524561572704</c:v>
                </c:pt>
                <c:pt idx="33">
                  <c:v>-13064.360806654033</c:v>
                </c:pt>
                <c:pt idx="34">
                  <c:v>5363.6438842943753</c:v>
                </c:pt>
                <c:pt idx="35">
                  <c:v>8827.5140929981135</c:v>
                </c:pt>
                <c:pt idx="36">
                  <c:v>-44596.8374470782</c:v>
                </c:pt>
                <c:pt idx="37">
                  <c:v>-45977.548988540599</c:v>
                </c:pt>
                <c:pt idx="38">
                  <c:v>-27859.497335734428</c:v>
                </c:pt>
                <c:pt idx="39">
                  <c:v>-30492.252073504496</c:v>
                </c:pt>
                <c:pt idx="40">
                  <c:v>-31692.617446043529</c:v>
                </c:pt>
                <c:pt idx="41">
                  <c:v>-9461.1705033081817</c:v>
                </c:pt>
                <c:pt idx="42">
                  <c:v>-23092.107715399063</c:v>
                </c:pt>
                <c:pt idx="43">
                  <c:v>-19387.504529412428</c:v>
                </c:pt>
                <c:pt idx="44">
                  <c:v>5428.9702815835481</c:v>
                </c:pt>
                <c:pt idx="45">
                  <c:v>-8351.2867069775239</c:v>
                </c:pt>
                <c:pt idx="46">
                  <c:v>734.81267154827947</c:v>
                </c:pt>
                <c:pt idx="47">
                  <c:v>-9485.010233034438</c:v>
                </c:pt>
                <c:pt idx="48">
                  <c:v>16628.735258337168</c:v>
                </c:pt>
                <c:pt idx="49">
                  <c:v>-6871.7344446125207</c:v>
                </c:pt>
                <c:pt idx="50">
                  <c:v>1843.4234751287731</c:v>
                </c:pt>
                <c:pt idx="51">
                  <c:v>-7340.2959323755931</c:v>
                </c:pt>
                <c:pt idx="52">
                  <c:v>-1429.4595973095275</c:v>
                </c:pt>
                <c:pt idx="53">
                  <c:v>-17500.685572976305</c:v>
                </c:pt>
                <c:pt idx="54">
                  <c:v>1921.6132215399994</c:v>
                </c:pt>
                <c:pt idx="55">
                  <c:v>-8855.4879070685129</c:v>
                </c:pt>
                <c:pt idx="56">
                  <c:v>-2519.4760756501346</c:v>
                </c:pt>
                <c:pt idx="57">
                  <c:v>-10554.983886652975</c:v>
                </c:pt>
                <c:pt idx="58">
                  <c:v>-16765.633502512355</c:v>
                </c:pt>
                <c:pt idx="59">
                  <c:v>-17769.505016505893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F1-42D0-92DE-E4D902AD9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800016"/>
        <c:axId val="1257793296"/>
      </c:scatterChart>
      <c:valAx>
        <c:axId val="1257800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Subscribers_Original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7793296"/>
        <c:crosses val="autoZero"/>
        <c:crossBetween val="midCat"/>
      </c:valAx>
      <c:valAx>
        <c:axId val="12577932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780001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Subscribers_Normalized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Answer!$G$2:$G$61</c:f>
              <c:numCache>
                <c:formatCode>General</c:formatCode>
                <c:ptCount val="60"/>
                <c:pt idx="0">
                  <c:v>19975</c:v>
                </c:pt>
                <c:pt idx="1">
                  <c:v>20184</c:v>
                </c:pt>
                <c:pt idx="2">
                  <c:v>19922</c:v>
                </c:pt>
                <c:pt idx="3">
                  <c:v>20295</c:v>
                </c:pt>
                <c:pt idx="4">
                  <c:v>20117</c:v>
                </c:pt>
                <c:pt idx="5">
                  <c:v>20145</c:v>
                </c:pt>
                <c:pt idx="6">
                  <c:v>20305</c:v>
                </c:pt>
                <c:pt idx="7">
                  <c:v>20287</c:v>
                </c:pt>
                <c:pt idx="8">
                  <c:v>20330</c:v>
                </c:pt>
                <c:pt idx="9">
                  <c:v>20518</c:v>
                </c:pt>
                <c:pt idx="10">
                  <c:v>20390</c:v>
                </c:pt>
                <c:pt idx="11">
                  <c:v>20710</c:v>
                </c:pt>
                <c:pt idx="12">
                  <c:v>20606</c:v>
                </c:pt>
                <c:pt idx="13">
                  <c:v>20822</c:v>
                </c:pt>
                <c:pt idx="14">
                  <c:v>20785</c:v>
                </c:pt>
                <c:pt idx="15">
                  <c:v>20713</c:v>
                </c:pt>
                <c:pt idx="16">
                  <c:v>20929</c:v>
                </c:pt>
                <c:pt idx="17">
                  <c:v>20750</c:v>
                </c:pt>
                <c:pt idx="18">
                  <c:v>20849</c:v>
                </c:pt>
                <c:pt idx="19">
                  <c:v>21039</c:v>
                </c:pt>
                <c:pt idx="20">
                  <c:v>21224</c:v>
                </c:pt>
                <c:pt idx="21">
                  <c:v>21138</c:v>
                </c:pt>
                <c:pt idx="22">
                  <c:v>21064</c:v>
                </c:pt>
                <c:pt idx="23">
                  <c:v>21201</c:v>
                </c:pt>
                <c:pt idx="24">
                  <c:v>21302</c:v>
                </c:pt>
                <c:pt idx="25">
                  <c:v>21395</c:v>
                </c:pt>
                <c:pt idx="26">
                  <c:v>21226</c:v>
                </c:pt>
                <c:pt idx="27">
                  <c:v>21213</c:v>
                </c:pt>
                <c:pt idx="28">
                  <c:v>21262</c:v>
                </c:pt>
                <c:pt idx="29">
                  <c:v>21360</c:v>
                </c:pt>
                <c:pt idx="30">
                  <c:v>21661</c:v>
                </c:pt>
                <c:pt idx="31">
                  <c:v>21734</c:v>
                </c:pt>
                <c:pt idx="32">
                  <c:v>21683</c:v>
                </c:pt>
                <c:pt idx="33">
                  <c:v>21619</c:v>
                </c:pt>
                <c:pt idx="34">
                  <c:v>21774</c:v>
                </c:pt>
                <c:pt idx="35">
                  <c:v>21864</c:v>
                </c:pt>
                <c:pt idx="36">
                  <c:v>21714</c:v>
                </c:pt>
                <c:pt idx="37">
                  <c:v>21844</c:v>
                </c:pt>
                <c:pt idx="38">
                  <c:v>22039</c:v>
                </c:pt>
                <c:pt idx="39">
                  <c:v>21996</c:v>
                </c:pt>
                <c:pt idx="40">
                  <c:v>21969</c:v>
                </c:pt>
                <c:pt idx="41">
                  <c:v>22104</c:v>
                </c:pt>
                <c:pt idx="42">
                  <c:v>22107</c:v>
                </c:pt>
                <c:pt idx="43">
                  <c:v>22074</c:v>
                </c:pt>
                <c:pt idx="44">
                  <c:v>22371</c:v>
                </c:pt>
                <c:pt idx="45">
                  <c:v>22310</c:v>
                </c:pt>
                <c:pt idx="46">
                  <c:v>22473</c:v>
                </c:pt>
                <c:pt idx="47">
                  <c:v>22343</c:v>
                </c:pt>
                <c:pt idx="48">
                  <c:v>22634</c:v>
                </c:pt>
                <c:pt idx="49">
                  <c:v>22334</c:v>
                </c:pt>
                <c:pt idx="50">
                  <c:v>22596</c:v>
                </c:pt>
                <c:pt idx="51">
                  <c:v>22457</c:v>
                </c:pt>
                <c:pt idx="52">
                  <c:v>22551</c:v>
                </c:pt>
                <c:pt idx="53">
                  <c:v>22670</c:v>
                </c:pt>
                <c:pt idx="54">
                  <c:v>22802</c:v>
                </c:pt>
                <c:pt idx="55">
                  <c:v>22657</c:v>
                </c:pt>
                <c:pt idx="56">
                  <c:v>22945</c:v>
                </c:pt>
                <c:pt idx="57">
                  <c:v>22804</c:v>
                </c:pt>
                <c:pt idx="58">
                  <c:v>22844</c:v>
                </c:pt>
                <c:pt idx="59">
                  <c:v>22898</c:v>
                </c:pt>
              </c:numCache>
            </c:numRef>
          </c:xVal>
          <c:yVal>
            <c:numRef>
              <c:f>Answer!$AJ$28:$AJ$87</c:f>
              <c:numCache>
                <c:formatCode>General</c:formatCode>
                <c:ptCount val="60"/>
                <c:pt idx="0">
                  <c:v>-13195.481865485664</c:v>
                </c:pt>
                <c:pt idx="1">
                  <c:v>4219.3695554264705</c:v>
                </c:pt>
                <c:pt idx="2">
                  <c:v>-9956.9258426545421</c:v>
                </c:pt>
                <c:pt idx="3">
                  <c:v>7999.8785574253416</c:v>
                </c:pt>
                <c:pt idx="4">
                  <c:v>13471.562376429036</c:v>
                </c:pt>
                <c:pt idx="5">
                  <c:v>6680.0867604141822</c:v>
                </c:pt>
                <c:pt idx="6">
                  <c:v>23444.450244420208</c:v>
                </c:pt>
                <c:pt idx="7">
                  <c:v>25062.763247342547</c:v>
                </c:pt>
                <c:pt idx="8">
                  <c:v>19537.187640393502</c:v>
                </c:pt>
                <c:pt idx="9">
                  <c:v>30892.89099584677</c:v>
                </c:pt>
                <c:pt idx="10">
                  <c:v>13965.788145705883</c:v>
                </c:pt>
                <c:pt idx="11">
                  <c:v>30628.921900935762</c:v>
                </c:pt>
                <c:pt idx="12">
                  <c:v>24645.770904680772</c:v>
                </c:pt>
                <c:pt idx="13">
                  <c:v>27071.362912269542</c:v>
                </c:pt>
                <c:pt idx="14">
                  <c:v>19138.839808522258</c:v>
                </c:pt>
                <c:pt idx="15">
                  <c:v>20083.337577902013</c:v>
                </c:pt>
                <c:pt idx="16">
                  <c:v>13555.453158584656</c:v>
                </c:pt>
                <c:pt idx="17">
                  <c:v>-2681.2201088792644</c:v>
                </c:pt>
                <c:pt idx="18">
                  <c:v>2025.8902335852035</c:v>
                </c:pt>
                <c:pt idx="19">
                  <c:v>-4802.8725394096109</c:v>
                </c:pt>
                <c:pt idx="20">
                  <c:v>7681.8009735703818</c:v>
                </c:pt>
                <c:pt idx="21">
                  <c:v>-18461.543458631262</c:v>
                </c:pt>
                <c:pt idx="22">
                  <c:v>-17883.960376328614</c:v>
                </c:pt>
                <c:pt idx="23">
                  <c:v>-25514.727625550935</c:v>
                </c:pt>
                <c:pt idx="24">
                  <c:v>-19520.243937423802</c:v>
                </c:pt>
                <c:pt idx="25">
                  <c:v>-13908.621934521711</c:v>
                </c:pt>
                <c:pt idx="26">
                  <c:v>-41831.993391790777</c:v>
                </c:pt>
                <c:pt idx="27">
                  <c:v>-49400.338143784145</c:v>
                </c:pt>
                <c:pt idx="28">
                  <c:v>-25466.944433544937</c:v>
                </c:pt>
                <c:pt idx="29">
                  <c:v>-32172.317447190988</c:v>
                </c:pt>
                <c:pt idx="30">
                  <c:v>-36624.688532218919</c:v>
                </c:pt>
                <c:pt idx="31">
                  <c:v>-27860.650301282178</c:v>
                </c:pt>
                <c:pt idx="32">
                  <c:v>-36568.814286144217</c:v>
                </c:pt>
                <c:pt idx="33">
                  <c:v>-42642.319845410588</c:v>
                </c:pt>
                <c:pt idx="34">
                  <c:v>-27085.454726973316</c:v>
                </c:pt>
                <c:pt idx="35">
                  <c:v>-25288.6978184373</c:v>
                </c:pt>
                <c:pt idx="36">
                  <c:v>-18219.563444349507</c:v>
                </c:pt>
                <c:pt idx="37">
                  <c:v>-22176.959806517756</c:v>
                </c:pt>
                <c:pt idx="38">
                  <c:v>-3886.1115917703719</c:v>
                </c:pt>
                <c:pt idx="39">
                  <c:v>-6284.4685999116045</c:v>
                </c:pt>
                <c:pt idx="40">
                  <c:v>-7247.1020636111498</c:v>
                </c:pt>
                <c:pt idx="41">
                  <c:v>17041.609350934217</c:v>
                </c:pt>
                <c:pt idx="42">
                  <c:v>631.39525383099681</c:v>
                </c:pt>
                <c:pt idx="43">
                  <c:v>5660.9029455506825</c:v>
                </c:pt>
                <c:pt idx="44">
                  <c:v>30184.817901924544</c:v>
                </c:pt>
                <c:pt idx="45">
                  <c:v>14727.994848399016</c:v>
                </c:pt>
                <c:pt idx="46">
                  <c:v>22746.787721681059</c:v>
                </c:pt>
                <c:pt idx="47">
                  <c:v>12783.542748595064</c:v>
                </c:pt>
                <c:pt idx="48">
                  <c:v>38970.361406607903</c:v>
                </c:pt>
                <c:pt idx="49">
                  <c:v>16078.742022483842</c:v>
                </c:pt>
                <c:pt idx="50">
                  <c:v>21900.453539617069</c:v>
                </c:pt>
                <c:pt idx="51">
                  <c:v>13339.801090807712</c:v>
                </c:pt>
                <c:pt idx="52">
                  <c:v>18769.335491603473</c:v>
                </c:pt>
                <c:pt idx="53">
                  <c:v>-2622.0169020980247</c:v>
                </c:pt>
                <c:pt idx="54">
                  <c:v>18348.806177178572</c:v>
                </c:pt>
                <c:pt idx="55">
                  <c:v>7982.2745482325554</c:v>
                </c:pt>
                <c:pt idx="56">
                  <c:v>10488.902256895613</c:v>
                </c:pt>
                <c:pt idx="57">
                  <c:v>3341.4966856176616</c:v>
                </c:pt>
                <c:pt idx="58">
                  <c:v>-4819.1420880024089</c:v>
                </c:pt>
                <c:pt idx="59">
                  <c:v>-6979.3978714894038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20-4FD4-AB5E-2C6DE1A4B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804336"/>
        <c:axId val="1257809616"/>
      </c:scatterChart>
      <c:valAx>
        <c:axId val="1257804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Subscribers_Normalized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7809616"/>
        <c:crosses val="autoZero"/>
        <c:crossBetween val="midCat"/>
      </c:valAx>
      <c:valAx>
        <c:axId val="1257809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780433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Subscribers_Normalized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Answer!$G$2:$G$61</c:f>
              <c:numCache>
                <c:formatCode>General</c:formatCode>
                <c:ptCount val="60"/>
                <c:pt idx="0">
                  <c:v>19975</c:v>
                </c:pt>
                <c:pt idx="1">
                  <c:v>20184</c:v>
                </c:pt>
                <c:pt idx="2">
                  <c:v>19922</c:v>
                </c:pt>
                <c:pt idx="3">
                  <c:v>20295</c:v>
                </c:pt>
                <c:pt idx="4">
                  <c:v>20117</c:v>
                </c:pt>
                <c:pt idx="5">
                  <c:v>20145</c:v>
                </c:pt>
                <c:pt idx="6">
                  <c:v>20305</c:v>
                </c:pt>
                <c:pt idx="7">
                  <c:v>20287</c:v>
                </c:pt>
                <c:pt idx="8">
                  <c:v>20330</c:v>
                </c:pt>
                <c:pt idx="9">
                  <c:v>20518</c:v>
                </c:pt>
                <c:pt idx="10">
                  <c:v>20390</c:v>
                </c:pt>
                <c:pt idx="11">
                  <c:v>20710</c:v>
                </c:pt>
                <c:pt idx="12">
                  <c:v>20606</c:v>
                </c:pt>
                <c:pt idx="13">
                  <c:v>20822</c:v>
                </c:pt>
                <c:pt idx="14">
                  <c:v>20785</c:v>
                </c:pt>
                <c:pt idx="15">
                  <c:v>20713</c:v>
                </c:pt>
                <c:pt idx="16">
                  <c:v>20929</c:v>
                </c:pt>
                <c:pt idx="17">
                  <c:v>20750</c:v>
                </c:pt>
                <c:pt idx="18">
                  <c:v>20849</c:v>
                </c:pt>
                <c:pt idx="19">
                  <c:v>21039</c:v>
                </c:pt>
                <c:pt idx="20">
                  <c:v>21224</c:v>
                </c:pt>
                <c:pt idx="21">
                  <c:v>21138</c:v>
                </c:pt>
                <c:pt idx="22">
                  <c:v>21064</c:v>
                </c:pt>
                <c:pt idx="23">
                  <c:v>21201</c:v>
                </c:pt>
                <c:pt idx="24">
                  <c:v>21302</c:v>
                </c:pt>
                <c:pt idx="25">
                  <c:v>21395</c:v>
                </c:pt>
                <c:pt idx="26">
                  <c:v>21226</c:v>
                </c:pt>
                <c:pt idx="27">
                  <c:v>21213</c:v>
                </c:pt>
                <c:pt idx="28">
                  <c:v>21262</c:v>
                </c:pt>
                <c:pt idx="29">
                  <c:v>21360</c:v>
                </c:pt>
                <c:pt idx="30">
                  <c:v>21661</c:v>
                </c:pt>
                <c:pt idx="31">
                  <c:v>21734</c:v>
                </c:pt>
                <c:pt idx="32">
                  <c:v>21683</c:v>
                </c:pt>
                <c:pt idx="33">
                  <c:v>21619</c:v>
                </c:pt>
                <c:pt idx="34">
                  <c:v>21774</c:v>
                </c:pt>
                <c:pt idx="35">
                  <c:v>21864</c:v>
                </c:pt>
                <c:pt idx="36">
                  <c:v>21714</c:v>
                </c:pt>
                <c:pt idx="37">
                  <c:v>21844</c:v>
                </c:pt>
                <c:pt idx="38">
                  <c:v>22039</c:v>
                </c:pt>
                <c:pt idx="39">
                  <c:v>21996</c:v>
                </c:pt>
                <c:pt idx="40">
                  <c:v>21969</c:v>
                </c:pt>
                <c:pt idx="41">
                  <c:v>22104</c:v>
                </c:pt>
                <c:pt idx="42">
                  <c:v>22107</c:v>
                </c:pt>
                <c:pt idx="43">
                  <c:v>22074</c:v>
                </c:pt>
                <c:pt idx="44">
                  <c:v>22371</c:v>
                </c:pt>
                <c:pt idx="45">
                  <c:v>22310</c:v>
                </c:pt>
                <c:pt idx="46">
                  <c:v>22473</c:v>
                </c:pt>
                <c:pt idx="47">
                  <c:v>22343</c:v>
                </c:pt>
                <c:pt idx="48">
                  <c:v>22634</c:v>
                </c:pt>
                <c:pt idx="49">
                  <c:v>22334</c:v>
                </c:pt>
                <c:pt idx="50">
                  <c:v>22596</c:v>
                </c:pt>
                <c:pt idx="51">
                  <c:v>22457</c:v>
                </c:pt>
                <c:pt idx="52">
                  <c:v>22551</c:v>
                </c:pt>
                <c:pt idx="53">
                  <c:v>22670</c:v>
                </c:pt>
                <c:pt idx="54">
                  <c:v>22802</c:v>
                </c:pt>
                <c:pt idx="55">
                  <c:v>22657</c:v>
                </c:pt>
                <c:pt idx="56">
                  <c:v>22945</c:v>
                </c:pt>
                <c:pt idx="57">
                  <c:v>22804</c:v>
                </c:pt>
                <c:pt idx="58">
                  <c:v>22844</c:v>
                </c:pt>
                <c:pt idx="59">
                  <c:v>22898</c:v>
                </c:pt>
              </c:numCache>
            </c:numRef>
          </c:xVal>
          <c:yVal>
            <c:numRef>
              <c:f>Answer!$AZ$31:$AZ$90</c:f>
              <c:numCache>
                <c:formatCode>General</c:formatCode>
                <c:ptCount val="60"/>
                <c:pt idx="0">
                  <c:v>-1039.7278363368823</c:v>
                </c:pt>
                <c:pt idx="1">
                  <c:v>7830.3467198589351</c:v>
                </c:pt>
                <c:pt idx="2">
                  <c:v>-8478.5031246428844</c:v>
                </c:pt>
                <c:pt idx="3">
                  <c:v>6799.2208172928658</c:v>
                </c:pt>
                <c:pt idx="4">
                  <c:v>-3736.9093708412838</c:v>
                </c:pt>
                <c:pt idx="5">
                  <c:v>-5325.2212841189466</c:v>
                </c:pt>
                <c:pt idx="6">
                  <c:v>-346.83353146986337</c:v>
                </c:pt>
                <c:pt idx="7">
                  <c:v>-2283.4063467682572</c:v>
                </c:pt>
                <c:pt idx="8">
                  <c:v>-3367.7107436807128</c:v>
                </c:pt>
                <c:pt idx="9">
                  <c:v>3638.782487847202</c:v>
                </c:pt>
                <c:pt idx="10">
                  <c:v>-5178.5121205938631</c:v>
                </c:pt>
                <c:pt idx="11">
                  <c:v>6804.2893991156016</c:v>
                </c:pt>
                <c:pt idx="12">
                  <c:v>320.88563398155384</c:v>
                </c:pt>
                <c:pt idx="13">
                  <c:v>8048.8614000681555</c:v>
                </c:pt>
                <c:pt idx="14">
                  <c:v>4016.191035233438</c:v>
                </c:pt>
                <c:pt idx="15">
                  <c:v>-2840.7358128360938</c:v>
                </c:pt>
                <c:pt idx="16">
                  <c:v>5327.0982845676481</c:v>
                </c:pt>
                <c:pt idx="17">
                  <c:v>-5270.3733692516107</c:v>
                </c:pt>
                <c:pt idx="18">
                  <c:v>-2963.3254546830431</c:v>
                </c:pt>
                <c:pt idx="19">
                  <c:v>3566.4301468683989</c:v>
                </c:pt>
                <c:pt idx="20">
                  <c:v>10327.741389353119</c:v>
                </c:pt>
                <c:pt idx="21">
                  <c:v>3205.7926137492177</c:v>
                </c:pt>
                <c:pt idx="22">
                  <c:v>-2358.114711939008</c:v>
                </c:pt>
                <c:pt idx="23">
                  <c:v>1535.6395527936402</c:v>
                </c:pt>
                <c:pt idx="24">
                  <c:v>3695.1561998939142</c:v>
                </c:pt>
                <c:pt idx="25">
                  <c:v>6330.9732589696068</c:v>
                </c:pt>
                <c:pt idx="26">
                  <c:v>-4593.5090037204209</c:v>
                </c:pt>
                <c:pt idx="27">
                  <c:v>-8267.4660388850607</c:v>
                </c:pt>
                <c:pt idx="28">
                  <c:v>-8019.6448006699211</c:v>
                </c:pt>
                <c:pt idx="29">
                  <c:v>-5733.811682347965</c:v>
                </c:pt>
                <c:pt idx="30">
                  <c:v>5875.4755432116217</c:v>
                </c:pt>
                <c:pt idx="31">
                  <c:v>8625.2227622587816</c:v>
                </c:pt>
                <c:pt idx="32">
                  <c:v>2484.5258619179367</c:v>
                </c:pt>
                <c:pt idx="33">
                  <c:v>-3950.0927009577863</c:v>
                </c:pt>
                <c:pt idx="34">
                  <c:v>1925.2724810488871</c:v>
                </c:pt>
                <c:pt idx="35">
                  <c:v>3916.3832075025421</c:v>
                </c:pt>
                <c:pt idx="36">
                  <c:v>-6039.0732226861292</c:v>
                </c:pt>
                <c:pt idx="37">
                  <c:v>-2127.1171566064004</c:v>
                </c:pt>
                <c:pt idx="38">
                  <c:v>5173.4100501621142</c:v>
                </c:pt>
                <c:pt idx="39">
                  <c:v>1202.3724601183203</c:v>
                </c:pt>
                <c:pt idx="40">
                  <c:v>-3417.2454230715521</c:v>
                </c:pt>
                <c:pt idx="41">
                  <c:v>1314.0344626848237</c:v>
                </c:pt>
                <c:pt idx="42">
                  <c:v>-1958.6304871506873</c:v>
                </c:pt>
                <c:pt idx="43">
                  <c:v>-5533.9110158075346</c:v>
                </c:pt>
                <c:pt idx="44">
                  <c:v>6915.027604219038</c:v>
                </c:pt>
                <c:pt idx="45">
                  <c:v>-90.641130252275616</c:v>
                </c:pt>
                <c:pt idx="46">
                  <c:v>6678.1175132057979</c:v>
                </c:pt>
                <c:pt idx="47">
                  <c:v>-2634.7061791142914</c:v>
                </c:pt>
                <c:pt idx="48">
                  <c:v>9327.0234359450405</c:v>
                </c:pt>
                <c:pt idx="49">
                  <c:v>-7467.0733028382529</c:v>
                </c:pt>
                <c:pt idx="50">
                  <c:v>2738.4616193006514</c:v>
                </c:pt>
                <c:pt idx="51">
                  <c:v>-6203.7738680022303</c:v>
                </c:pt>
                <c:pt idx="52">
                  <c:v>-4150.6746764080599</c:v>
                </c:pt>
                <c:pt idx="53">
                  <c:v>-1762.1846118958201</c:v>
                </c:pt>
                <c:pt idx="54">
                  <c:v>3477.0769129435066</c:v>
                </c:pt>
                <c:pt idx="55">
                  <c:v>-6128.409665643645</c:v>
                </c:pt>
                <c:pt idx="56">
                  <c:v>4436.5290814549662</c:v>
                </c:pt>
                <c:pt idx="57">
                  <c:v>-4116.7335213920451</c:v>
                </c:pt>
                <c:pt idx="58">
                  <c:v>-5822.0918068509782</c:v>
                </c:pt>
                <c:pt idx="59">
                  <c:v>-4330.1779341027723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A2-4D9A-B373-5CEF39F04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839856"/>
        <c:axId val="1257833136"/>
      </c:scatterChart>
      <c:valAx>
        <c:axId val="1257839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Subscribers_Normalized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7833136"/>
        <c:crosses val="autoZero"/>
        <c:crossBetween val="midCat"/>
      </c:valAx>
      <c:valAx>
        <c:axId val="12578331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783985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AvgPlanTier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Answer!$H$2:$H$61</c:f>
              <c:numCache>
                <c:formatCode>General</c:formatCode>
                <c:ptCount val="60"/>
                <c:pt idx="0">
                  <c:v>1.175942280140901</c:v>
                </c:pt>
                <c:pt idx="1">
                  <c:v>1.3184438211842611</c:v>
                </c:pt>
                <c:pt idx="2">
                  <c:v>1.3606372430629989</c:v>
                </c:pt>
                <c:pt idx="3">
                  <c:v>1.370003367891947</c:v>
                </c:pt>
                <c:pt idx="4">
                  <c:v>1.53244195427843</c:v>
                </c:pt>
                <c:pt idx="5">
                  <c:v>1.48172389715687</c:v>
                </c:pt>
                <c:pt idx="6">
                  <c:v>1.7036298884381169</c:v>
                </c:pt>
                <c:pt idx="7">
                  <c:v>1.6734129825852091</c:v>
                </c:pt>
                <c:pt idx="8">
                  <c:v>1.6766821437734489</c:v>
                </c:pt>
                <c:pt idx="9">
                  <c:v>1.657414480369849</c:v>
                </c:pt>
                <c:pt idx="10">
                  <c:v>1.6119415484557269</c:v>
                </c:pt>
                <c:pt idx="11">
                  <c:v>1.6596595138515919</c:v>
                </c:pt>
                <c:pt idx="12">
                  <c:v>1.7068897947865569</c:v>
                </c:pt>
                <c:pt idx="13">
                  <c:v>1.6755360975286819</c:v>
                </c:pt>
                <c:pt idx="14">
                  <c:v>1.5455194826855929</c:v>
                </c:pt>
                <c:pt idx="15">
                  <c:v>1.5311410361672591</c:v>
                </c:pt>
                <c:pt idx="16">
                  <c:v>1.449963830629617</c:v>
                </c:pt>
                <c:pt idx="17">
                  <c:v>1.401973127765425</c:v>
                </c:pt>
                <c:pt idx="18">
                  <c:v>1.308659239149472</c:v>
                </c:pt>
                <c:pt idx="19">
                  <c:v>1.3050683034258059</c:v>
                </c:pt>
                <c:pt idx="20">
                  <c:v>1.1277911328839949</c:v>
                </c:pt>
                <c:pt idx="21">
                  <c:v>1.057347648775935</c:v>
                </c:pt>
                <c:pt idx="22">
                  <c:v>1.0857079133237271</c:v>
                </c:pt>
                <c:pt idx="23">
                  <c:v>0.87692488090248144</c:v>
                </c:pt>
                <c:pt idx="24">
                  <c:v>0.85712236481696202</c:v>
                </c:pt>
                <c:pt idx="25">
                  <c:v>0.87803131890882125</c:v>
                </c:pt>
                <c:pt idx="26">
                  <c:v>0.79235402476465544</c:v>
                </c:pt>
                <c:pt idx="27">
                  <c:v>0.69329086796300854</c:v>
                </c:pt>
                <c:pt idx="28">
                  <c:v>0.79120341308561937</c:v>
                </c:pt>
                <c:pt idx="29">
                  <c:v>0.73174158847120518</c:v>
                </c:pt>
                <c:pt idx="30">
                  <c:v>0.66660154908149016</c:v>
                </c:pt>
                <c:pt idx="31">
                  <c:v>0.72692582903682734</c:v>
                </c:pt>
                <c:pt idx="32">
                  <c:v>0.70744280121254177</c:v>
                </c:pt>
                <c:pt idx="33">
                  <c:v>0.72652874558020164</c:v>
                </c:pt>
                <c:pt idx="34">
                  <c:v>0.80997241158603439</c:v>
                </c:pt>
                <c:pt idx="35">
                  <c:v>0.89816827657605036</c:v>
                </c:pt>
                <c:pt idx="36">
                  <c:v>1.0028181760313599</c:v>
                </c:pt>
                <c:pt idx="37">
                  <c:v>1.003048180620427</c:v>
                </c:pt>
                <c:pt idx="38">
                  <c:v>1.069397735301381</c:v>
                </c:pt>
                <c:pt idx="39">
                  <c:v>1.1768413916355851</c:v>
                </c:pt>
                <c:pt idx="40">
                  <c:v>1.285257430970083</c:v>
                </c:pt>
                <c:pt idx="41">
                  <c:v>1.425441523743278</c:v>
                </c:pt>
                <c:pt idx="42">
                  <c:v>1.4038484010202921</c:v>
                </c:pt>
                <c:pt idx="43">
                  <c:v>1.4695861498009</c:v>
                </c:pt>
                <c:pt idx="44">
                  <c:v>1.463135845372473</c:v>
                </c:pt>
                <c:pt idx="45">
                  <c:v>1.6183493556417301</c:v>
                </c:pt>
                <c:pt idx="46">
                  <c:v>1.6729455399776361</c:v>
                </c:pt>
                <c:pt idx="47">
                  <c:v>1.6699001815615311</c:v>
                </c:pt>
                <c:pt idx="48">
                  <c:v>1.6689433318425051</c:v>
                </c:pt>
                <c:pt idx="49">
                  <c:v>1.744251975724572</c:v>
                </c:pt>
                <c:pt idx="50">
                  <c:v>1.677230307196524</c:v>
                </c:pt>
                <c:pt idx="51">
                  <c:v>1.5933338235764281</c:v>
                </c:pt>
                <c:pt idx="52">
                  <c:v>1.688477505240594</c:v>
                </c:pt>
                <c:pt idx="53">
                  <c:v>1.605863688679507</c:v>
                </c:pt>
                <c:pt idx="54">
                  <c:v>1.566476015323075</c:v>
                </c:pt>
                <c:pt idx="55">
                  <c:v>1.5230523094446391</c:v>
                </c:pt>
                <c:pt idx="56">
                  <c:v>1.451283542652525</c:v>
                </c:pt>
                <c:pt idx="57">
                  <c:v>1.315567199467258</c:v>
                </c:pt>
                <c:pt idx="58">
                  <c:v>1.291789178982129</c:v>
                </c:pt>
                <c:pt idx="59">
                  <c:v>1.177564033578919</c:v>
                </c:pt>
              </c:numCache>
            </c:numRef>
          </c:xVal>
          <c:yVal>
            <c:numRef>
              <c:f>Answer!$AZ$31:$AZ$90</c:f>
              <c:numCache>
                <c:formatCode>General</c:formatCode>
                <c:ptCount val="60"/>
                <c:pt idx="0">
                  <c:v>-1039.7278363368823</c:v>
                </c:pt>
                <c:pt idx="1">
                  <c:v>7830.3467198589351</c:v>
                </c:pt>
                <c:pt idx="2">
                  <c:v>-8478.5031246428844</c:v>
                </c:pt>
                <c:pt idx="3">
                  <c:v>6799.2208172928658</c:v>
                </c:pt>
                <c:pt idx="4">
                  <c:v>-3736.9093708412838</c:v>
                </c:pt>
                <c:pt idx="5">
                  <c:v>-5325.2212841189466</c:v>
                </c:pt>
                <c:pt idx="6">
                  <c:v>-346.83353146986337</c:v>
                </c:pt>
                <c:pt idx="7">
                  <c:v>-2283.4063467682572</c:v>
                </c:pt>
                <c:pt idx="8">
                  <c:v>-3367.7107436807128</c:v>
                </c:pt>
                <c:pt idx="9">
                  <c:v>3638.782487847202</c:v>
                </c:pt>
                <c:pt idx="10">
                  <c:v>-5178.5121205938631</c:v>
                </c:pt>
                <c:pt idx="11">
                  <c:v>6804.2893991156016</c:v>
                </c:pt>
                <c:pt idx="12">
                  <c:v>320.88563398155384</c:v>
                </c:pt>
                <c:pt idx="13">
                  <c:v>8048.8614000681555</c:v>
                </c:pt>
                <c:pt idx="14">
                  <c:v>4016.191035233438</c:v>
                </c:pt>
                <c:pt idx="15">
                  <c:v>-2840.7358128360938</c:v>
                </c:pt>
                <c:pt idx="16">
                  <c:v>5327.0982845676481</c:v>
                </c:pt>
                <c:pt idx="17">
                  <c:v>-5270.3733692516107</c:v>
                </c:pt>
                <c:pt idx="18">
                  <c:v>-2963.3254546830431</c:v>
                </c:pt>
                <c:pt idx="19">
                  <c:v>3566.4301468683989</c:v>
                </c:pt>
                <c:pt idx="20">
                  <c:v>10327.741389353119</c:v>
                </c:pt>
                <c:pt idx="21">
                  <c:v>3205.7926137492177</c:v>
                </c:pt>
                <c:pt idx="22">
                  <c:v>-2358.114711939008</c:v>
                </c:pt>
                <c:pt idx="23">
                  <c:v>1535.6395527936402</c:v>
                </c:pt>
                <c:pt idx="24">
                  <c:v>3695.1561998939142</c:v>
                </c:pt>
                <c:pt idx="25">
                  <c:v>6330.9732589696068</c:v>
                </c:pt>
                <c:pt idx="26">
                  <c:v>-4593.5090037204209</c:v>
                </c:pt>
                <c:pt idx="27">
                  <c:v>-8267.4660388850607</c:v>
                </c:pt>
                <c:pt idx="28">
                  <c:v>-8019.6448006699211</c:v>
                </c:pt>
                <c:pt idx="29">
                  <c:v>-5733.811682347965</c:v>
                </c:pt>
                <c:pt idx="30">
                  <c:v>5875.4755432116217</c:v>
                </c:pt>
                <c:pt idx="31">
                  <c:v>8625.2227622587816</c:v>
                </c:pt>
                <c:pt idx="32">
                  <c:v>2484.5258619179367</c:v>
                </c:pt>
                <c:pt idx="33">
                  <c:v>-3950.0927009577863</c:v>
                </c:pt>
                <c:pt idx="34">
                  <c:v>1925.2724810488871</c:v>
                </c:pt>
                <c:pt idx="35">
                  <c:v>3916.3832075025421</c:v>
                </c:pt>
                <c:pt idx="36">
                  <c:v>-6039.0732226861292</c:v>
                </c:pt>
                <c:pt idx="37">
                  <c:v>-2127.1171566064004</c:v>
                </c:pt>
                <c:pt idx="38">
                  <c:v>5173.4100501621142</c:v>
                </c:pt>
                <c:pt idx="39">
                  <c:v>1202.3724601183203</c:v>
                </c:pt>
                <c:pt idx="40">
                  <c:v>-3417.2454230715521</c:v>
                </c:pt>
                <c:pt idx="41">
                  <c:v>1314.0344626848237</c:v>
                </c:pt>
                <c:pt idx="42">
                  <c:v>-1958.6304871506873</c:v>
                </c:pt>
                <c:pt idx="43">
                  <c:v>-5533.9110158075346</c:v>
                </c:pt>
                <c:pt idx="44">
                  <c:v>6915.027604219038</c:v>
                </c:pt>
                <c:pt idx="45">
                  <c:v>-90.641130252275616</c:v>
                </c:pt>
                <c:pt idx="46">
                  <c:v>6678.1175132057979</c:v>
                </c:pt>
                <c:pt idx="47">
                  <c:v>-2634.7061791142914</c:v>
                </c:pt>
                <c:pt idx="48">
                  <c:v>9327.0234359450405</c:v>
                </c:pt>
                <c:pt idx="49">
                  <c:v>-7467.0733028382529</c:v>
                </c:pt>
                <c:pt idx="50">
                  <c:v>2738.4616193006514</c:v>
                </c:pt>
                <c:pt idx="51">
                  <c:v>-6203.7738680022303</c:v>
                </c:pt>
                <c:pt idx="52">
                  <c:v>-4150.6746764080599</c:v>
                </c:pt>
                <c:pt idx="53">
                  <c:v>-1762.1846118958201</c:v>
                </c:pt>
                <c:pt idx="54">
                  <c:v>3477.0769129435066</c:v>
                </c:pt>
                <c:pt idx="55">
                  <c:v>-6128.409665643645</c:v>
                </c:pt>
                <c:pt idx="56">
                  <c:v>4436.5290814549662</c:v>
                </c:pt>
                <c:pt idx="57">
                  <c:v>-4116.7335213920451</c:v>
                </c:pt>
                <c:pt idx="58">
                  <c:v>-5822.0918068509782</c:v>
                </c:pt>
                <c:pt idx="59">
                  <c:v>-4330.1779341027723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09-4EE4-85CA-9AAF031BB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827856"/>
        <c:axId val="1257835056"/>
      </c:scatterChart>
      <c:valAx>
        <c:axId val="1257827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AvgPlanTier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7835056"/>
        <c:crosses val="autoZero"/>
        <c:crossBetween val="midCat"/>
      </c:valAx>
      <c:valAx>
        <c:axId val="12578350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782785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MarketingSpend  Residual Plot</a:t>
            </a:r>
          </a:p>
        </c:rich>
      </c:tx>
      <c:layout>
        <c:manualLayout>
          <c:xMode val="edge"/>
          <c:yMode val="edge"/>
          <c:x val="5.2532036436621979E-3"/>
          <c:y val="0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Answer!$I$2:$I$61</c:f>
              <c:numCache>
                <c:formatCode>General</c:formatCode>
                <c:ptCount val="60"/>
                <c:pt idx="0">
                  <c:v>-990.49966401630729</c:v>
                </c:pt>
                <c:pt idx="1">
                  <c:v>-318.64906309995638</c:v>
                </c:pt>
                <c:pt idx="2">
                  <c:v>-1079.335139873353</c:v>
                </c:pt>
                <c:pt idx="3">
                  <c:v>-324.3393127359011</c:v>
                </c:pt>
                <c:pt idx="4">
                  <c:v>858.29833361826752</c:v>
                </c:pt>
                <c:pt idx="5">
                  <c:v>329.97328107688872</c:v>
                </c:pt>
                <c:pt idx="6">
                  <c:v>143.15678208236969</c:v>
                </c:pt>
                <c:pt idx="7">
                  <c:v>1642.0866842839091</c:v>
                </c:pt>
                <c:pt idx="8">
                  <c:v>572.70449649682371</c:v>
                </c:pt>
                <c:pt idx="9">
                  <c:v>1997.2549066067311</c:v>
                </c:pt>
                <c:pt idx="10">
                  <c:v>757.82542181584222</c:v>
                </c:pt>
                <c:pt idx="11">
                  <c:v>1167.2324297252969</c:v>
                </c:pt>
                <c:pt idx="12">
                  <c:v>935.31835668321207</c:v>
                </c:pt>
                <c:pt idx="13">
                  <c:v>474.25728785854119</c:v>
                </c:pt>
                <c:pt idx="14">
                  <c:v>1270.994249994699</c:v>
                </c:pt>
                <c:pt idx="15">
                  <c:v>2549.6162556067861</c:v>
                </c:pt>
                <c:pt idx="16">
                  <c:v>993.19183964732156</c:v>
                </c:pt>
                <c:pt idx="17">
                  <c:v>440.26182687393703</c:v>
                </c:pt>
                <c:pt idx="18">
                  <c:v>2117.0624644668151</c:v>
                </c:pt>
                <c:pt idx="19">
                  <c:v>-250.70575479905099</c:v>
                </c:pt>
                <c:pt idx="20">
                  <c:v>3234.6313489543782</c:v>
                </c:pt>
                <c:pt idx="21">
                  <c:v>127.4744809305855</c:v>
                </c:pt>
                <c:pt idx="22">
                  <c:v>1073.655838939867</c:v>
                </c:pt>
                <c:pt idx="23">
                  <c:v>1352.0854872245709</c:v>
                </c:pt>
                <c:pt idx="24">
                  <c:v>2367.806456266936</c:v>
                </c:pt>
                <c:pt idx="25">
                  <c:v>3021.1441163341101</c:v>
                </c:pt>
                <c:pt idx="26">
                  <c:v>451.52891787116459</c:v>
                </c:pt>
                <c:pt idx="27">
                  <c:v>644.90641591270719</c:v>
                </c:pt>
                <c:pt idx="28">
                  <c:v>4275.4748633528743</c:v>
                </c:pt>
                <c:pt idx="29">
                  <c:v>3350.0419777839752</c:v>
                </c:pt>
                <c:pt idx="30">
                  <c:v>1222.528232585322</c:v>
                </c:pt>
                <c:pt idx="31">
                  <c:v>2345.5329804609801</c:v>
                </c:pt>
                <c:pt idx="32">
                  <c:v>1631.420156244596</c:v>
                </c:pt>
                <c:pt idx="33">
                  <c:v>1119.8346285992559</c:v>
                </c:pt>
                <c:pt idx="34">
                  <c:v>2502.3652735571209</c:v>
                </c:pt>
                <c:pt idx="35">
                  <c:v>1604.3040879282721</c:v>
                </c:pt>
                <c:pt idx="36">
                  <c:v>3412.256232636641</c:v>
                </c:pt>
                <c:pt idx="37">
                  <c:v>2101.287396085193</c:v>
                </c:pt>
                <c:pt idx="38">
                  <c:v>3797.989629563026</c:v>
                </c:pt>
                <c:pt idx="39">
                  <c:v>3018.6542018282789</c:v>
                </c:pt>
                <c:pt idx="40">
                  <c:v>2154.1898969618151</c:v>
                </c:pt>
                <c:pt idx="41">
                  <c:v>4701.4341449421518</c:v>
                </c:pt>
                <c:pt idx="42">
                  <c:v>2110.4167407671721</c:v>
                </c:pt>
                <c:pt idx="43">
                  <c:v>3140.3015279089718</c:v>
                </c:pt>
                <c:pt idx="44">
                  <c:v>6106.7762563667839</c:v>
                </c:pt>
                <c:pt idx="45">
                  <c:v>2086.3324491783801</c:v>
                </c:pt>
                <c:pt idx="46">
                  <c:v>2349.2915064456452</c:v>
                </c:pt>
                <c:pt idx="47">
                  <c:v>1933.0346045057479</c:v>
                </c:pt>
                <c:pt idx="48">
                  <c:v>5169.1190187473376</c:v>
                </c:pt>
                <c:pt idx="49">
                  <c:v>2818.2565745891879</c:v>
                </c:pt>
                <c:pt idx="50">
                  <c:v>3090.6077323037011</c:v>
                </c:pt>
                <c:pt idx="51">
                  <c:v>4052.750222256162</c:v>
                </c:pt>
                <c:pt idx="52">
                  <c:v>3719.7725919432901</c:v>
                </c:pt>
                <c:pt idx="53">
                  <c:v>-55.338211883130498</c:v>
                </c:pt>
                <c:pt idx="54">
                  <c:v>4043.6695899129122</c:v>
                </c:pt>
                <c:pt idx="55">
                  <c:v>4194.7936851222184</c:v>
                </c:pt>
                <c:pt idx="56">
                  <c:v>3533.430967509672</c:v>
                </c:pt>
                <c:pt idx="57">
                  <c:v>5462.9580912795718</c:v>
                </c:pt>
                <c:pt idx="58">
                  <c:v>4156.7975551278396</c:v>
                </c:pt>
                <c:pt idx="59">
                  <c:v>5302.4706848685837</c:v>
                </c:pt>
              </c:numCache>
            </c:numRef>
          </c:xVal>
          <c:yVal>
            <c:numRef>
              <c:f>Answer!$AZ$31:$AZ$90</c:f>
              <c:numCache>
                <c:formatCode>General</c:formatCode>
                <c:ptCount val="60"/>
                <c:pt idx="0">
                  <c:v>-1039.7278363368823</c:v>
                </c:pt>
                <c:pt idx="1">
                  <c:v>7830.3467198589351</c:v>
                </c:pt>
                <c:pt idx="2">
                  <c:v>-8478.5031246428844</c:v>
                </c:pt>
                <c:pt idx="3">
                  <c:v>6799.2208172928658</c:v>
                </c:pt>
                <c:pt idx="4">
                  <c:v>-3736.9093708412838</c:v>
                </c:pt>
                <c:pt idx="5">
                  <c:v>-5325.2212841189466</c:v>
                </c:pt>
                <c:pt idx="6">
                  <c:v>-346.83353146986337</c:v>
                </c:pt>
                <c:pt idx="7">
                  <c:v>-2283.4063467682572</c:v>
                </c:pt>
                <c:pt idx="8">
                  <c:v>-3367.7107436807128</c:v>
                </c:pt>
                <c:pt idx="9">
                  <c:v>3638.782487847202</c:v>
                </c:pt>
                <c:pt idx="10">
                  <c:v>-5178.5121205938631</c:v>
                </c:pt>
                <c:pt idx="11">
                  <c:v>6804.2893991156016</c:v>
                </c:pt>
                <c:pt idx="12">
                  <c:v>320.88563398155384</c:v>
                </c:pt>
                <c:pt idx="13">
                  <c:v>8048.8614000681555</c:v>
                </c:pt>
                <c:pt idx="14">
                  <c:v>4016.191035233438</c:v>
                </c:pt>
                <c:pt idx="15">
                  <c:v>-2840.7358128360938</c:v>
                </c:pt>
                <c:pt idx="16">
                  <c:v>5327.0982845676481</c:v>
                </c:pt>
                <c:pt idx="17">
                  <c:v>-5270.3733692516107</c:v>
                </c:pt>
                <c:pt idx="18">
                  <c:v>-2963.3254546830431</c:v>
                </c:pt>
                <c:pt idx="19">
                  <c:v>3566.4301468683989</c:v>
                </c:pt>
                <c:pt idx="20">
                  <c:v>10327.741389353119</c:v>
                </c:pt>
                <c:pt idx="21">
                  <c:v>3205.7926137492177</c:v>
                </c:pt>
                <c:pt idx="22">
                  <c:v>-2358.114711939008</c:v>
                </c:pt>
                <c:pt idx="23">
                  <c:v>1535.6395527936402</c:v>
                </c:pt>
                <c:pt idx="24">
                  <c:v>3695.1561998939142</c:v>
                </c:pt>
                <c:pt idx="25">
                  <c:v>6330.9732589696068</c:v>
                </c:pt>
                <c:pt idx="26">
                  <c:v>-4593.5090037204209</c:v>
                </c:pt>
                <c:pt idx="27">
                  <c:v>-8267.4660388850607</c:v>
                </c:pt>
                <c:pt idx="28">
                  <c:v>-8019.6448006699211</c:v>
                </c:pt>
                <c:pt idx="29">
                  <c:v>-5733.811682347965</c:v>
                </c:pt>
                <c:pt idx="30">
                  <c:v>5875.4755432116217</c:v>
                </c:pt>
                <c:pt idx="31">
                  <c:v>8625.2227622587816</c:v>
                </c:pt>
                <c:pt idx="32">
                  <c:v>2484.5258619179367</c:v>
                </c:pt>
                <c:pt idx="33">
                  <c:v>-3950.0927009577863</c:v>
                </c:pt>
                <c:pt idx="34">
                  <c:v>1925.2724810488871</c:v>
                </c:pt>
                <c:pt idx="35">
                  <c:v>3916.3832075025421</c:v>
                </c:pt>
                <c:pt idx="36">
                  <c:v>-6039.0732226861292</c:v>
                </c:pt>
                <c:pt idx="37">
                  <c:v>-2127.1171566064004</c:v>
                </c:pt>
                <c:pt idx="38">
                  <c:v>5173.4100501621142</c:v>
                </c:pt>
                <c:pt idx="39">
                  <c:v>1202.3724601183203</c:v>
                </c:pt>
                <c:pt idx="40">
                  <c:v>-3417.2454230715521</c:v>
                </c:pt>
                <c:pt idx="41">
                  <c:v>1314.0344626848237</c:v>
                </c:pt>
                <c:pt idx="42">
                  <c:v>-1958.6304871506873</c:v>
                </c:pt>
                <c:pt idx="43">
                  <c:v>-5533.9110158075346</c:v>
                </c:pt>
                <c:pt idx="44">
                  <c:v>6915.027604219038</c:v>
                </c:pt>
                <c:pt idx="45">
                  <c:v>-90.641130252275616</c:v>
                </c:pt>
                <c:pt idx="46">
                  <c:v>6678.1175132057979</c:v>
                </c:pt>
                <c:pt idx="47">
                  <c:v>-2634.7061791142914</c:v>
                </c:pt>
                <c:pt idx="48">
                  <c:v>9327.0234359450405</c:v>
                </c:pt>
                <c:pt idx="49">
                  <c:v>-7467.0733028382529</c:v>
                </c:pt>
                <c:pt idx="50">
                  <c:v>2738.4616193006514</c:v>
                </c:pt>
                <c:pt idx="51">
                  <c:v>-6203.7738680022303</c:v>
                </c:pt>
                <c:pt idx="52">
                  <c:v>-4150.6746764080599</c:v>
                </c:pt>
                <c:pt idx="53">
                  <c:v>-1762.1846118958201</c:v>
                </c:pt>
                <c:pt idx="54">
                  <c:v>3477.0769129435066</c:v>
                </c:pt>
                <c:pt idx="55">
                  <c:v>-6128.409665643645</c:v>
                </c:pt>
                <c:pt idx="56">
                  <c:v>4436.5290814549662</c:v>
                </c:pt>
                <c:pt idx="57">
                  <c:v>-4116.7335213920451</c:v>
                </c:pt>
                <c:pt idx="58">
                  <c:v>-5822.0918068509782</c:v>
                </c:pt>
                <c:pt idx="59">
                  <c:v>-4330.1779341027723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64-434F-82F4-8FAFE56D5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825456"/>
        <c:axId val="1257826896"/>
      </c:scatterChart>
      <c:valAx>
        <c:axId val="1257825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MarketingSpend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7826896"/>
        <c:crosses val="autoZero"/>
        <c:crossBetween val="midCat"/>
      </c:valAx>
      <c:valAx>
        <c:axId val="1257826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782545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ChurnRate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Answer!$J$2:$J$61</c:f>
              <c:numCache>
                <c:formatCode>General</c:formatCode>
                <c:ptCount val="60"/>
                <c:pt idx="0">
                  <c:v>8.0938894443857171E-2</c:v>
                </c:pt>
                <c:pt idx="1">
                  <c:v>8.3749891378802593E-2</c:v>
                </c:pt>
                <c:pt idx="2">
                  <c:v>8.2370782893257333E-2</c:v>
                </c:pt>
                <c:pt idx="3">
                  <c:v>7.5529905691625127E-2</c:v>
                </c:pt>
                <c:pt idx="4">
                  <c:v>7.8860940010402031E-2</c:v>
                </c:pt>
                <c:pt idx="5">
                  <c:v>7.7079140490047354E-2</c:v>
                </c:pt>
                <c:pt idx="6">
                  <c:v>7.4089233352302566E-2</c:v>
                </c:pt>
                <c:pt idx="7">
                  <c:v>7.9560357419157471E-2</c:v>
                </c:pt>
                <c:pt idx="8">
                  <c:v>7.7060111692477229E-2</c:v>
                </c:pt>
                <c:pt idx="9">
                  <c:v>7.5078742091685136E-2</c:v>
                </c:pt>
                <c:pt idx="10">
                  <c:v>7.7454307598756614E-2</c:v>
                </c:pt>
                <c:pt idx="11">
                  <c:v>6.8370493545531569E-2</c:v>
                </c:pt>
                <c:pt idx="12">
                  <c:v>7.4895574665374581E-2</c:v>
                </c:pt>
                <c:pt idx="13">
                  <c:v>7.2038233876492844E-2</c:v>
                </c:pt>
                <c:pt idx="14">
                  <c:v>7.284147509257094E-2</c:v>
                </c:pt>
                <c:pt idx="15">
                  <c:v>6.7626638060712341E-2</c:v>
                </c:pt>
                <c:pt idx="16">
                  <c:v>6.8200779327793809E-2</c:v>
                </c:pt>
                <c:pt idx="17">
                  <c:v>7.3874273064727131E-2</c:v>
                </c:pt>
                <c:pt idx="18">
                  <c:v>7.0879489154129796E-2</c:v>
                </c:pt>
                <c:pt idx="19">
                  <c:v>7.068319681504262E-2</c:v>
                </c:pt>
                <c:pt idx="20">
                  <c:v>6.5814934687948801E-2</c:v>
                </c:pt>
                <c:pt idx="21">
                  <c:v>6.852379688425296E-2</c:v>
                </c:pt>
                <c:pt idx="22">
                  <c:v>7.0829135539883528E-2</c:v>
                </c:pt>
                <c:pt idx="23">
                  <c:v>6.7787484463328787E-2</c:v>
                </c:pt>
                <c:pt idx="24">
                  <c:v>6.4247705601236105E-2</c:v>
                </c:pt>
                <c:pt idx="25">
                  <c:v>6.5397546534327236E-2</c:v>
                </c:pt>
                <c:pt idx="26">
                  <c:v>6.9464624742414161E-2</c:v>
                </c:pt>
                <c:pt idx="27">
                  <c:v>6.6691322384877752E-2</c:v>
                </c:pt>
                <c:pt idx="28">
                  <c:v>6.3554484185324125E-2</c:v>
                </c:pt>
                <c:pt idx="29">
                  <c:v>6.3613940562274693E-2</c:v>
                </c:pt>
                <c:pt idx="30">
                  <c:v>6.0601746617382837E-2</c:v>
                </c:pt>
                <c:pt idx="31">
                  <c:v>6.6716953866989046E-2</c:v>
                </c:pt>
                <c:pt idx="32">
                  <c:v>6.2603516598941034E-2</c:v>
                </c:pt>
                <c:pt idx="33">
                  <c:v>5.9835179007954611E-2</c:v>
                </c:pt>
                <c:pt idx="34">
                  <c:v>6.0563925537469893E-2</c:v>
                </c:pt>
                <c:pt idx="35">
                  <c:v>6.1339218049763701E-2</c:v>
                </c:pt>
                <c:pt idx="36">
                  <c:v>5.9583872708649628E-2</c:v>
                </c:pt>
                <c:pt idx="37">
                  <c:v>6.0457330769539991E-2</c:v>
                </c:pt>
                <c:pt idx="38">
                  <c:v>5.7631807160803787E-2</c:v>
                </c:pt>
                <c:pt idx="39">
                  <c:v>6.217482805726212E-2</c:v>
                </c:pt>
                <c:pt idx="40">
                  <c:v>5.9380222144211722E-2</c:v>
                </c:pt>
                <c:pt idx="41">
                  <c:v>5.8001937457192412E-2</c:v>
                </c:pt>
                <c:pt idx="42">
                  <c:v>5.664669911651795E-2</c:v>
                </c:pt>
                <c:pt idx="43">
                  <c:v>5.8228128901928362E-2</c:v>
                </c:pt>
                <c:pt idx="44">
                  <c:v>5.4048646708102249E-2</c:v>
                </c:pt>
                <c:pt idx="45">
                  <c:v>5.2070071256290013E-2</c:v>
                </c:pt>
                <c:pt idx="46">
                  <c:v>5.6499668366292818E-2</c:v>
                </c:pt>
                <c:pt idx="47">
                  <c:v>5.606735823770486E-2</c:v>
                </c:pt>
                <c:pt idx="48">
                  <c:v>5.0532510537764731E-2</c:v>
                </c:pt>
                <c:pt idx="49">
                  <c:v>5.780824197040476E-2</c:v>
                </c:pt>
                <c:pt idx="50">
                  <c:v>5.4802690250755869E-2</c:v>
                </c:pt>
                <c:pt idx="51">
                  <c:v>5.6526620944902913E-2</c:v>
                </c:pt>
                <c:pt idx="52">
                  <c:v>5.584525792076455E-2</c:v>
                </c:pt>
                <c:pt idx="53">
                  <c:v>5.4953757753703557E-2</c:v>
                </c:pt>
                <c:pt idx="54">
                  <c:v>5.4911483386344738E-2</c:v>
                </c:pt>
                <c:pt idx="55">
                  <c:v>5.6011708998283838E-2</c:v>
                </c:pt>
                <c:pt idx="56">
                  <c:v>4.9302711768806462E-2</c:v>
                </c:pt>
                <c:pt idx="57">
                  <c:v>5.2397721529908341E-2</c:v>
                </c:pt>
                <c:pt idx="58">
                  <c:v>4.7928159862084117E-2</c:v>
                </c:pt>
                <c:pt idx="59">
                  <c:v>5.2702489229737158E-2</c:v>
                </c:pt>
              </c:numCache>
            </c:numRef>
          </c:xVal>
          <c:yVal>
            <c:numRef>
              <c:f>Answer!$AZ$31:$AZ$90</c:f>
              <c:numCache>
                <c:formatCode>General</c:formatCode>
                <c:ptCount val="60"/>
                <c:pt idx="0">
                  <c:v>-1039.7278363368823</c:v>
                </c:pt>
                <c:pt idx="1">
                  <c:v>7830.3467198589351</c:v>
                </c:pt>
                <c:pt idx="2">
                  <c:v>-8478.5031246428844</c:v>
                </c:pt>
                <c:pt idx="3">
                  <c:v>6799.2208172928658</c:v>
                </c:pt>
                <c:pt idx="4">
                  <c:v>-3736.9093708412838</c:v>
                </c:pt>
                <c:pt idx="5">
                  <c:v>-5325.2212841189466</c:v>
                </c:pt>
                <c:pt idx="6">
                  <c:v>-346.83353146986337</c:v>
                </c:pt>
                <c:pt idx="7">
                  <c:v>-2283.4063467682572</c:v>
                </c:pt>
                <c:pt idx="8">
                  <c:v>-3367.7107436807128</c:v>
                </c:pt>
                <c:pt idx="9">
                  <c:v>3638.782487847202</c:v>
                </c:pt>
                <c:pt idx="10">
                  <c:v>-5178.5121205938631</c:v>
                </c:pt>
                <c:pt idx="11">
                  <c:v>6804.2893991156016</c:v>
                </c:pt>
                <c:pt idx="12">
                  <c:v>320.88563398155384</c:v>
                </c:pt>
                <c:pt idx="13">
                  <c:v>8048.8614000681555</c:v>
                </c:pt>
                <c:pt idx="14">
                  <c:v>4016.191035233438</c:v>
                </c:pt>
                <c:pt idx="15">
                  <c:v>-2840.7358128360938</c:v>
                </c:pt>
                <c:pt idx="16">
                  <c:v>5327.0982845676481</c:v>
                </c:pt>
                <c:pt idx="17">
                  <c:v>-5270.3733692516107</c:v>
                </c:pt>
                <c:pt idx="18">
                  <c:v>-2963.3254546830431</c:v>
                </c:pt>
                <c:pt idx="19">
                  <c:v>3566.4301468683989</c:v>
                </c:pt>
                <c:pt idx="20">
                  <c:v>10327.741389353119</c:v>
                </c:pt>
                <c:pt idx="21">
                  <c:v>3205.7926137492177</c:v>
                </c:pt>
                <c:pt idx="22">
                  <c:v>-2358.114711939008</c:v>
                </c:pt>
                <c:pt idx="23">
                  <c:v>1535.6395527936402</c:v>
                </c:pt>
                <c:pt idx="24">
                  <c:v>3695.1561998939142</c:v>
                </c:pt>
                <c:pt idx="25">
                  <c:v>6330.9732589696068</c:v>
                </c:pt>
                <c:pt idx="26">
                  <c:v>-4593.5090037204209</c:v>
                </c:pt>
                <c:pt idx="27">
                  <c:v>-8267.4660388850607</c:v>
                </c:pt>
                <c:pt idx="28">
                  <c:v>-8019.6448006699211</c:v>
                </c:pt>
                <c:pt idx="29">
                  <c:v>-5733.811682347965</c:v>
                </c:pt>
                <c:pt idx="30">
                  <c:v>5875.4755432116217</c:v>
                </c:pt>
                <c:pt idx="31">
                  <c:v>8625.2227622587816</c:v>
                </c:pt>
                <c:pt idx="32">
                  <c:v>2484.5258619179367</c:v>
                </c:pt>
                <c:pt idx="33">
                  <c:v>-3950.0927009577863</c:v>
                </c:pt>
                <c:pt idx="34">
                  <c:v>1925.2724810488871</c:v>
                </c:pt>
                <c:pt idx="35">
                  <c:v>3916.3832075025421</c:v>
                </c:pt>
                <c:pt idx="36">
                  <c:v>-6039.0732226861292</c:v>
                </c:pt>
                <c:pt idx="37">
                  <c:v>-2127.1171566064004</c:v>
                </c:pt>
                <c:pt idx="38">
                  <c:v>5173.4100501621142</c:v>
                </c:pt>
                <c:pt idx="39">
                  <c:v>1202.3724601183203</c:v>
                </c:pt>
                <c:pt idx="40">
                  <c:v>-3417.2454230715521</c:v>
                </c:pt>
                <c:pt idx="41">
                  <c:v>1314.0344626848237</c:v>
                </c:pt>
                <c:pt idx="42">
                  <c:v>-1958.6304871506873</c:v>
                </c:pt>
                <c:pt idx="43">
                  <c:v>-5533.9110158075346</c:v>
                </c:pt>
                <c:pt idx="44">
                  <c:v>6915.027604219038</c:v>
                </c:pt>
                <c:pt idx="45">
                  <c:v>-90.641130252275616</c:v>
                </c:pt>
                <c:pt idx="46">
                  <c:v>6678.1175132057979</c:v>
                </c:pt>
                <c:pt idx="47">
                  <c:v>-2634.7061791142914</c:v>
                </c:pt>
                <c:pt idx="48">
                  <c:v>9327.0234359450405</c:v>
                </c:pt>
                <c:pt idx="49">
                  <c:v>-7467.0733028382529</c:v>
                </c:pt>
                <c:pt idx="50">
                  <c:v>2738.4616193006514</c:v>
                </c:pt>
                <c:pt idx="51">
                  <c:v>-6203.7738680022303</c:v>
                </c:pt>
                <c:pt idx="52">
                  <c:v>-4150.6746764080599</c:v>
                </c:pt>
                <c:pt idx="53">
                  <c:v>-1762.1846118958201</c:v>
                </c:pt>
                <c:pt idx="54">
                  <c:v>3477.0769129435066</c:v>
                </c:pt>
                <c:pt idx="55">
                  <c:v>-6128.409665643645</c:v>
                </c:pt>
                <c:pt idx="56">
                  <c:v>4436.5290814549662</c:v>
                </c:pt>
                <c:pt idx="57">
                  <c:v>-4116.7335213920451</c:v>
                </c:pt>
                <c:pt idx="58">
                  <c:v>-5822.0918068509782</c:v>
                </c:pt>
                <c:pt idx="59">
                  <c:v>-4330.1779341027723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AB-4182-B22A-961C9D571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827376"/>
        <c:axId val="1257840816"/>
      </c:scatterChart>
      <c:valAx>
        <c:axId val="1257827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ChurnRate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7840816"/>
        <c:crosses val="autoZero"/>
        <c:crossBetween val="midCat"/>
      </c:valAx>
      <c:valAx>
        <c:axId val="12578408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782737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80314960629922"/>
          <c:y val="0.18097222222222226"/>
          <c:w val="0.82053018372703412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Student_Worksheet!$E$1</c:f>
              <c:strCache>
                <c:ptCount val="1"/>
                <c:pt idx="0">
                  <c:v>Revenue_Original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980708661417324"/>
                  <c:y val="-0.183511227763196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Student_Worksheet!$D$2:$D$61</c:f>
              <c:numCache>
                <c:formatCode>General</c:formatCode>
                <c:ptCount val="60"/>
                <c:pt idx="0">
                  <c:v>19975</c:v>
                </c:pt>
                <c:pt idx="1">
                  <c:v>20184</c:v>
                </c:pt>
                <c:pt idx="2">
                  <c:v>19922</c:v>
                </c:pt>
                <c:pt idx="3">
                  <c:v>20295</c:v>
                </c:pt>
                <c:pt idx="4">
                  <c:v>22117</c:v>
                </c:pt>
                <c:pt idx="5">
                  <c:v>22145</c:v>
                </c:pt>
                <c:pt idx="6">
                  <c:v>22305</c:v>
                </c:pt>
                <c:pt idx="7">
                  <c:v>22287</c:v>
                </c:pt>
                <c:pt idx="8">
                  <c:v>22330</c:v>
                </c:pt>
                <c:pt idx="9">
                  <c:v>22518</c:v>
                </c:pt>
                <c:pt idx="10">
                  <c:v>22390</c:v>
                </c:pt>
                <c:pt idx="11">
                  <c:v>22710</c:v>
                </c:pt>
                <c:pt idx="12">
                  <c:v>22606</c:v>
                </c:pt>
                <c:pt idx="13">
                  <c:v>22822</c:v>
                </c:pt>
                <c:pt idx="14">
                  <c:v>22785</c:v>
                </c:pt>
                <c:pt idx="15">
                  <c:v>20713</c:v>
                </c:pt>
                <c:pt idx="16">
                  <c:v>20929</c:v>
                </c:pt>
                <c:pt idx="17">
                  <c:v>20750</c:v>
                </c:pt>
                <c:pt idx="18">
                  <c:v>20849</c:v>
                </c:pt>
                <c:pt idx="19">
                  <c:v>21039</c:v>
                </c:pt>
                <c:pt idx="20">
                  <c:v>21224</c:v>
                </c:pt>
                <c:pt idx="21">
                  <c:v>21138</c:v>
                </c:pt>
                <c:pt idx="22">
                  <c:v>21064</c:v>
                </c:pt>
                <c:pt idx="23">
                  <c:v>21201</c:v>
                </c:pt>
                <c:pt idx="24">
                  <c:v>21302</c:v>
                </c:pt>
                <c:pt idx="25">
                  <c:v>21395</c:v>
                </c:pt>
                <c:pt idx="26">
                  <c:v>21226</c:v>
                </c:pt>
                <c:pt idx="27">
                  <c:v>21213</c:v>
                </c:pt>
                <c:pt idx="28">
                  <c:v>21262</c:v>
                </c:pt>
                <c:pt idx="29">
                  <c:v>21360</c:v>
                </c:pt>
                <c:pt idx="30">
                  <c:v>21661</c:v>
                </c:pt>
                <c:pt idx="31">
                  <c:v>21734</c:v>
                </c:pt>
                <c:pt idx="32">
                  <c:v>21683</c:v>
                </c:pt>
                <c:pt idx="33">
                  <c:v>21619</c:v>
                </c:pt>
                <c:pt idx="34">
                  <c:v>21774</c:v>
                </c:pt>
                <c:pt idx="35">
                  <c:v>21864</c:v>
                </c:pt>
                <c:pt idx="36">
                  <c:v>21714</c:v>
                </c:pt>
                <c:pt idx="37">
                  <c:v>21844</c:v>
                </c:pt>
                <c:pt idx="38">
                  <c:v>22039</c:v>
                </c:pt>
                <c:pt idx="39">
                  <c:v>21996</c:v>
                </c:pt>
                <c:pt idx="40">
                  <c:v>21969</c:v>
                </c:pt>
                <c:pt idx="41">
                  <c:v>22104</c:v>
                </c:pt>
                <c:pt idx="42">
                  <c:v>22107</c:v>
                </c:pt>
                <c:pt idx="43">
                  <c:v>22074</c:v>
                </c:pt>
                <c:pt idx="44">
                  <c:v>22371</c:v>
                </c:pt>
                <c:pt idx="45">
                  <c:v>22310</c:v>
                </c:pt>
                <c:pt idx="46">
                  <c:v>22473</c:v>
                </c:pt>
                <c:pt idx="47">
                  <c:v>22343</c:v>
                </c:pt>
                <c:pt idx="48">
                  <c:v>22634</c:v>
                </c:pt>
                <c:pt idx="49">
                  <c:v>22334</c:v>
                </c:pt>
                <c:pt idx="50">
                  <c:v>22596</c:v>
                </c:pt>
                <c:pt idx="51">
                  <c:v>22457</c:v>
                </c:pt>
                <c:pt idx="52">
                  <c:v>22551</c:v>
                </c:pt>
                <c:pt idx="53">
                  <c:v>22670</c:v>
                </c:pt>
                <c:pt idx="54">
                  <c:v>22802</c:v>
                </c:pt>
                <c:pt idx="55">
                  <c:v>22657</c:v>
                </c:pt>
                <c:pt idx="56">
                  <c:v>22945</c:v>
                </c:pt>
                <c:pt idx="57">
                  <c:v>22804</c:v>
                </c:pt>
                <c:pt idx="58">
                  <c:v>22844</c:v>
                </c:pt>
                <c:pt idx="59">
                  <c:v>22898</c:v>
                </c:pt>
              </c:numCache>
            </c:numRef>
          </c:xVal>
          <c:yVal>
            <c:numRef>
              <c:f>Student_Worksheet!$E$2:$E$61</c:f>
              <c:numCache>
                <c:formatCode>General</c:formatCode>
                <c:ptCount val="60"/>
                <c:pt idx="0">
                  <c:v>311910.7632481184</c:v>
                </c:pt>
                <c:pt idx="1">
                  <c:v>334061.23748107027</c:v>
                </c:pt>
                <c:pt idx="2">
                  <c:v>313948.41970617388</c:v>
                </c:pt>
                <c:pt idx="3">
                  <c:v>340356.83802439168</c:v>
                </c:pt>
                <c:pt idx="4">
                  <c:v>341795.31198433758</c:v>
                </c:pt>
                <c:pt idx="5">
                  <c:v>335638.27387424192</c:v>
                </c:pt>
                <c:pt idx="6">
                  <c:v>356027.99453492911</c:v>
                </c:pt>
                <c:pt idx="7">
                  <c:v>357238.45485547482</c:v>
                </c:pt>
                <c:pt idx="8">
                  <c:v>352687.19398975879</c:v>
                </c:pt>
                <c:pt idx="9">
                  <c:v>368302.69202781242</c:v>
                </c:pt>
                <c:pt idx="10">
                  <c:v>348475.30343632662</c:v>
                </c:pt>
                <c:pt idx="11">
                  <c:v>372389.15154491871</c:v>
                </c:pt>
                <c:pt idx="12">
                  <c:v>364049.51838382101</c:v>
                </c:pt>
                <c:pt idx="13">
                  <c:v>371369.34257992927</c:v>
                </c:pt>
                <c:pt idx="14">
                  <c:v>362598.45562907448</c:v>
                </c:pt>
                <c:pt idx="15">
                  <c:v>361911.54266894778</c:v>
                </c:pt>
                <c:pt idx="16">
                  <c:v>360277.89043814992</c:v>
                </c:pt>
                <c:pt idx="17">
                  <c:v>339985.34882927401</c:v>
                </c:pt>
                <c:pt idx="18">
                  <c:v>346935.64892480988</c:v>
                </c:pt>
                <c:pt idx="19">
                  <c:v>344411.99779912393</c:v>
                </c:pt>
                <c:pt idx="20">
                  <c:v>361088.49054764147</c:v>
                </c:pt>
                <c:pt idx="21">
                  <c:v>332996.51663297368</c:v>
                </c:pt>
                <c:pt idx="22">
                  <c:v>331897.37202106131</c:v>
                </c:pt>
                <c:pt idx="23">
                  <c:v>327370.81685437221</c:v>
                </c:pt>
                <c:pt idx="24">
                  <c:v>335653.80726027931</c:v>
                </c:pt>
                <c:pt idx="25">
                  <c:v>343372.6681221273</c:v>
                </c:pt>
                <c:pt idx="26">
                  <c:v>311620.01314698881</c:v>
                </c:pt>
                <c:pt idx="27">
                  <c:v>303757.10812439013</c:v>
                </c:pt>
                <c:pt idx="28">
                  <c:v>328800.76746998791</c:v>
                </c:pt>
                <c:pt idx="29">
                  <c:v>324315.92572705902</c:v>
                </c:pt>
                <c:pt idx="30">
                  <c:v>326683.75783066248</c:v>
                </c:pt>
                <c:pt idx="31">
                  <c:v>337101.86527345999</c:v>
                </c:pt>
                <c:pt idx="32">
                  <c:v>327238.11868853081</c:v>
                </c:pt>
                <c:pt idx="33">
                  <c:v>319714.47025859199</c:v>
                </c:pt>
                <c:pt idx="34">
                  <c:v>338783.40014193911</c:v>
                </c:pt>
                <c:pt idx="35">
                  <c:v>342619.42046235828</c:v>
                </c:pt>
                <c:pt idx="36">
                  <c:v>288574.81873608963</c:v>
                </c:pt>
                <c:pt idx="37">
                  <c:v>287731.65735599393</c:v>
                </c:pt>
                <c:pt idx="38">
                  <c:v>306656.03425085009</c:v>
                </c:pt>
                <c:pt idx="39">
                  <c:v>303845.47445970488</c:v>
                </c:pt>
                <c:pt idx="40">
                  <c:v>302533.4640536512</c:v>
                </c:pt>
                <c:pt idx="41">
                  <c:v>325323.13616395963</c:v>
                </c:pt>
                <c:pt idx="42">
                  <c:v>311704.60395559261</c:v>
                </c:pt>
                <c:pt idx="43">
                  <c:v>315272.75210061693</c:v>
                </c:pt>
                <c:pt idx="44">
                  <c:v>341317.32228027371</c:v>
                </c:pt>
                <c:pt idx="45">
                  <c:v>327284.83021599439</c:v>
                </c:pt>
                <c:pt idx="46">
                  <c:v>337044.93479684921</c:v>
                </c:pt>
                <c:pt idx="47">
                  <c:v>326287.56173089979</c:v>
                </c:pt>
                <c:pt idx="48">
                  <c:v>353604.59258348448</c:v>
                </c:pt>
                <c:pt idx="49">
                  <c:v>328863.62250815018</c:v>
                </c:pt>
                <c:pt idx="50">
                  <c:v>338662.15075310739</c:v>
                </c:pt>
                <c:pt idx="51">
                  <c:v>328903.66617306479</c:v>
                </c:pt>
                <c:pt idx="52">
                  <c:v>335203.19262481137</c:v>
                </c:pt>
                <c:pt idx="53">
                  <c:v>319624.03179685719</c:v>
                </c:pt>
                <c:pt idx="54">
                  <c:v>339592.15075522271</c:v>
                </c:pt>
                <c:pt idx="55">
                  <c:v>328215.4744466283</c:v>
                </c:pt>
                <c:pt idx="56">
                  <c:v>335742.3666355359</c:v>
                </c:pt>
                <c:pt idx="57">
                  <c:v>327123.82364951231</c:v>
                </c:pt>
                <c:pt idx="58">
                  <c:v>321078.57408330421</c:v>
                </c:pt>
                <c:pt idx="59">
                  <c:v>320297.99263633991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55-4B10-9152-CDC79AF00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2410144"/>
        <c:axId val="1792395264"/>
      </c:scatterChart>
      <c:valAx>
        <c:axId val="179241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395264"/>
        <c:crosses val="autoZero"/>
        <c:crossBetween val="midCat"/>
      </c:valAx>
      <c:valAx>
        <c:axId val="179239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41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Student_Worksheet!$F$1</c:f>
              <c:strCache>
                <c:ptCount val="1"/>
                <c:pt idx="0">
                  <c:v>Revenue_Normalized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657086614173228"/>
                  <c:y val="-0.164515893846602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Student_Worksheet!$G$2:$G$61</c:f>
              <c:numCache>
                <c:formatCode>General</c:formatCode>
                <c:ptCount val="60"/>
                <c:pt idx="0">
                  <c:v>19975</c:v>
                </c:pt>
                <c:pt idx="1">
                  <c:v>20184</c:v>
                </c:pt>
                <c:pt idx="2">
                  <c:v>19922</c:v>
                </c:pt>
                <c:pt idx="3">
                  <c:v>20295</c:v>
                </c:pt>
                <c:pt idx="4">
                  <c:v>20117</c:v>
                </c:pt>
                <c:pt idx="5">
                  <c:v>20145</c:v>
                </c:pt>
                <c:pt idx="6">
                  <c:v>20305</c:v>
                </c:pt>
                <c:pt idx="7">
                  <c:v>20287</c:v>
                </c:pt>
                <c:pt idx="8">
                  <c:v>20330</c:v>
                </c:pt>
                <c:pt idx="9">
                  <c:v>20518</c:v>
                </c:pt>
                <c:pt idx="10">
                  <c:v>20390</c:v>
                </c:pt>
                <c:pt idx="11">
                  <c:v>20710</c:v>
                </c:pt>
                <c:pt idx="12">
                  <c:v>20606</c:v>
                </c:pt>
                <c:pt idx="13">
                  <c:v>20822</c:v>
                </c:pt>
                <c:pt idx="14">
                  <c:v>20785</c:v>
                </c:pt>
                <c:pt idx="15">
                  <c:v>20713</c:v>
                </c:pt>
                <c:pt idx="16">
                  <c:v>20929</c:v>
                </c:pt>
                <c:pt idx="17">
                  <c:v>20750</c:v>
                </c:pt>
                <c:pt idx="18">
                  <c:v>20849</c:v>
                </c:pt>
                <c:pt idx="19">
                  <c:v>21039</c:v>
                </c:pt>
                <c:pt idx="20">
                  <c:v>21224</c:v>
                </c:pt>
                <c:pt idx="21">
                  <c:v>21138</c:v>
                </c:pt>
                <c:pt idx="22">
                  <c:v>21064</c:v>
                </c:pt>
                <c:pt idx="23">
                  <c:v>21201</c:v>
                </c:pt>
                <c:pt idx="24">
                  <c:v>21302</c:v>
                </c:pt>
                <c:pt idx="25">
                  <c:v>21395</c:v>
                </c:pt>
                <c:pt idx="26">
                  <c:v>21226</c:v>
                </c:pt>
                <c:pt idx="27">
                  <c:v>21213</c:v>
                </c:pt>
                <c:pt idx="28">
                  <c:v>21262</c:v>
                </c:pt>
                <c:pt idx="29">
                  <c:v>21360</c:v>
                </c:pt>
                <c:pt idx="30">
                  <c:v>21661</c:v>
                </c:pt>
                <c:pt idx="31">
                  <c:v>21734</c:v>
                </c:pt>
                <c:pt idx="32">
                  <c:v>21683</c:v>
                </c:pt>
                <c:pt idx="33">
                  <c:v>21619</c:v>
                </c:pt>
                <c:pt idx="34">
                  <c:v>21774</c:v>
                </c:pt>
                <c:pt idx="35">
                  <c:v>21864</c:v>
                </c:pt>
                <c:pt idx="36">
                  <c:v>21714</c:v>
                </c:pt>
                <c:pt idx="37">
                  <c:v>21844</c:v>
                </c:pt>
                <c:pt idx="38">
                  <c:v>22039</c:v>
                </c:pt>
                <c:pt idx="39">
                  <c:v>21996</c:v>
                </c:pt>
                <c:pt idx="40">
                  <c:v>21969</c:v>
                </c:pt>
                <c:pt idx="41">
                  <c:v>22104</c:v>
                </c:pt>
                <c:pt idx="42">
                  <c:v>22107</c:v>
                </c:pt>
                <c:pt idx="43">
                  <c:v>22074</c:v>
                </c:pt>
                <c:pt idx="44">
                  <c:v>22371</c:v>
                </c:pt>
                <c:pt idx="45">
                  <c:v>22310</c:v>
                </c:pt>
                <c:pt idx="46">
                  <c:v>22473</c:v>
                </c:pt>
                <c:pt idx="47">
                  <c:v>22343</c:v>
                </c:pt>
                <c:pt idx="48">
                  <c:v>22634</c:v>
                </c:pt>
                <c:pt idx="49">
                  <c:v>22334</c:v>
                </c:pt>
                <c:pt idx="50">
                  <c:v>22596</c:v>
                </c:pt>
                <c:pt idx="51">
                  <c:v>22457</c:v>
                </c:pt>
                <c:pt idx="52">
                  <c:v>22551</c:v>
                </c:pt>
                <c:pt idx="53">
                  <c:v>22670</c:v>
                </c:pt>
                <c:pt idx="54">
                  <c:v>22802</c:v>
                </c:pt>
                <c:pt idx="55">
                  <c:v>22657</c:v>
                </c:pt>
                <c:pt idx="56">
                  <c:v>22945</c:v>
                </c:pt>
                <c:pt idx="57">
                  <c:v>22804</c:v>
                </c:pt>
                <c:pt idx="58">
                  <c:v>22844</c:v>
                </c:pt>
                <c:pt idx="59">
                  <c:v>22898</c:v>
                </c:pt>
              </c:numCache>
            </c:numRef>
          </c:xVal>
          <c:yVal>
            <c:numRef>
              <c:f>Student_Worksheet!$F$2:$F$61</c:f>
              <c:numCache>
                <c:formatCode>General</c:formatCode>
                <c:ptCount val="60"/>
                <c:pt idx="0">
                  <c:v>311910.7632481184</c:v>
                </c:pt>
                <c:pt idx="1">
                  <c:v>334061.23748107027</c:v>
                </c:pt>
                <c:pt idx="2">
                  <c:v>313948.41970617388</c:v>
                </c:pt>
                <c:pt idx="3">
                  <c:v>340356.83802439168</c:v>
                </c:pt>
                <c:pt idx="4">
                  <c:v>341795.31198433758</c:v>
                </c:pt>
                <c:pt idx="5">
                  <c:v>335638.27387424192</c:v>
                </c:pt>
                <c:pt idx="6">
                  <c:v>356027.99453492911</c:v>
                </c:pt>
                <c:pt idx="7">
                  <c:v>357238.45485547482</c:v>
                </c:pt>
                <c:pt idx="8">
                  <c:v>352687.19398975879</c:v>
                </c:pt>
                <c:pt idx="9">
                  <c:v>368302.69202781242</c:v>
                </c:pt>
                <c:pt idx="10">
                  <c:v>348475.30343632662</c:v>
                </c:pt>
                <c:pt idx="11">
                  <c:v>372389.15154491871</c:v>
                </c:pt>
                <c:pt idx="12">
                  <c:v>364049.51838382101</c:v>
                </c:pt>
                <c:pt idx="13">
                  <c:v>371369.34257992927</c:v>
                </c:pt>
                <c:pt idx="14">
                  <c:v>362598.45562907448</c:v>
                </c:pt>
                <c:pt idx="15">
                  <c:v>361911.54266894778</c:v>
                </c:pt>
                <c:pt idx="16">
                  <c:v>360277.89043814992</c:v>
                </c:pt>
                <c:pt idx="17">
                  <c:v>339985.34882927401</c:v>
                </c:pt>
                <c:pt idx="18">
                  <c:v>346935.64892480988</c:v>
                </c:pt>
                <c:pt idx="19">
                  <c:v>344411.99779912393</c:v>
                </c:pt>
                <c:pt idx="20">
                  <c:v>361088.49054764147</c:v>
                </c:pt>
                <c:pt idx="21">
                  <c:v>332996.51663297368</c:v>
                </c:pt>
                <c:pt idx="22">
                  <c:v>331897.37202106131</c:v>
                </c:pt>
                <c:pt idx="23">
                  <c:v>327370.81685437221</c:v>
                </c:pt>
                <c:pt idx="24">
                  <c:v>335653.80726027931</c:v>
                </c:pt>
                <c:pt idx="25">
                  <c:v>343372.6681221273</c:v>
                </c:pt>
                <c:pt idx="26">
                  <c:v>311620.01314698881</c:v>
                </c:pt>
                <c:pt idx="27">
                  <c:v>303757.10812439013</c:v>
                </c:pt>
                <c:pt idx="28">
                  <c:v>328800.76746998791</c:v>
                </c:pt>
                <c:pt idx="29">
                  <c:v>324315.92572705902</c:v>
                </c:pt>
                <c:pt idx="30">
                  <c:v>326683.75783066248</c:v>
                </c:pt>
                <c:pt idx="31">
                  <c:v>337101.86527345999</c:v>
                </c:pt>
                <c:pt idx="32">
                  <c:v>327238.11868853081</c:v>
                </c:pt>
                <c:pt idx="33">
                  <c:v>319714.47025859199</c:v>
                </c:pt>
                <c:pt idx="34">
                  <c:v>338783.40014193911</c:v>
                </c:pt>
                <c:pt idx="35">
                  <c:v>342619.42046235828</c:v>
                </c:pt>
                <c:pt idx="36">
                  <c:v>346289.78248330753</c:v>
                </c:pt>
                <c:pt idx="37">
                  <c:v>345277.98882719269</c:v>
                </c:pt>
                <c:pt idx="38">
                  <c:v>367987.24110102019</c:v>
                </c:pt>
                <c:pt idx="39">
                  <c:v>364614.56935164589</c:v>
                </c:pt>
                <c:pt idx="40">
                  <c:v>363040.1568643814</c:v>
                </c:pt>
                <c:pt idx="41">
                  <c:v>390387.76339675148</c:v>
                </c:pt>
                <c:pt idx="42">
                  <c:v>374045.52474671102</c:v>
                </c:pt>
                <c:pt idx="43">
                  <c:v>378327.3025207402</c:v>
                </c:pt>
                <c:pt idx="44">
                  <c:v>409580.78673632839</c:v>
                </c:pt>
                <c:pt idx="45">
                  <c:v>392741.79625919322</c:v>
                </c:pt>
                <c:pt idx="46">
                  <c:v>404453.92175621912</c:v>
                </c:pt>
                <c:pt idx="47">
                  <c:v>391545.07407707971</c:v>
                </c:pt>
                <c:pt idx="48">
                  <c:v>424325.51110018138</c:v>
                </c:pt>
                <c:pt idx="49">
                  <c:v>394636.34700978018</c:v>
                </c:pt>
                <c:pt idx="50">
                  <c:v>406394.58090372878</c:v>
                </c:pt>
                <c:pt idx="51">
                  <c:v>394684.3994076777</c:v>
                </c:pt>
                <c:pt idx="52">
                  <c:v>402243.83114977361</c:v>
                </c:pt>
                <c:pt idx="53">
                  <c:v>383548.83815622871</c:v>
                </c:pt>
                <c:pt idx="54">
                  <c:v>407510.58090626722</c:v>
                </c:pt>
                <c:pt idx="55">
                  <c:v>393858.56933595391</c:v>
                </c:pt>
                <c:pt idx="56">
                  <c:v>402890.83996264299</c:v>
                </c:pt>
                <c:pt idx="57">
                  <c:v>392548.58837941481</c:v>
                </c:pt>
                <c:pt idx="58">
                  <c:v>385294.288899965</c:v>
                </c:pt>
                <c:pt idx="59">
                  <c:v>384357.5911636079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69-4DFF-B6AD-4A2CF3F49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464368"/>
        <c:axId val="871469168"/>
      </c:scatterChart>
      <c:valAx>
        <c:axId val="87146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469168"/>
        <c:crosses val="autoZero"/>
        <c:crossBetween val="midCat"/>
      </c:valAx>
      <c:valAx>
        <c:axId val="87146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46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Student_Worksheet!$F$1</c:f>
              <c:strCache>
                <c:ptCount val="1"/>
                <c:pt idx="0">
                  <c:v>Revenue_Normalized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6314761074983546E-2"/>
                  <c:y val="-0.17370923717639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Student_Worksheet!$G$2:$G$61</c:f>
              <c:numCache>
                <c:formatCode>General</c:formatCode>
                <c:ptCount val="60"/>
                <c:pt idx="0">
                  <c:v>19975</c:v>
                </c:pt>
                <c:pt idx="1">
                  <c:v>20184</c:v>
                </c:pt>
                <c:pt idx="2">
                  <c:v>19922</c:v>
                </c:pt>
                <c:pt idx="3">
                  <c:v>20295</c:v>
                </c:pt>
                <c:pt idx="4">
                  <c:v>20117</c:v>
                </c:pt>
                <c:pt idx="5">
                  <c:v>20145</c:v>
                </c:pt>
                <c:pt idx="6">
                  <c:v>20305</c:v>
                </c:pt>
                <c:pt idx="7">
                  <c:v>20287</c:v>
                </c:pt>
                <c:pt idx="8">
                  <c:v>20330</c:v>
                </c:pt>
                <c:pt idx="9">
                  <c:v>20518</c:v>
                </c:pt>
                <c:pt idx="10">
                  <c:v>20390</c:v>
                </c:pt>
                <c:pt idx="11">
                  <c:v>20710</c:v>
                </c:pt>
                <c:pt idx="12">
                  <c:v>20606</c:v>
                </c:pt>
                <c:pt idx="13">
                  <c:v>20822</c:v>
                </c:pt>
                <c:pt idx="14">
                  <c:v>20785</c:v>
                </c:pt>
                <c:pt idx="15">
                  <c:v>20713</c:v>
                </c:pt>
                <c:pt idx="16">
                  <c:v>20929</c:v>
                </c:pt>
                <c:pt idx="17">
                  <c:v>20750</c:v>
                </c:pt>
                <c:pt idx="18">
                  <c:v>20849</c:v>
                </c:pt>
                <c:pt idx="19">
                  <c:v>21039</c:v>
                </c:pt>
                <c:pt idx="20">
                  <c:v>21224</c:v>
                </c:pt>
                <c:pt idx="21">
                  <c:v>21138</c:v>
                </c:pt>
                <c:pt idx="22">
                  <c:v>21064</c:v>
                </c:pt>
                <c:pt idx="23">
                  <c:v>21201</c:v>
                </c:pt>
                <c:pt idx="24">
                  <c:v>21302</c:v>
                </c:pt>
                <c:pt idx="25">
                  <c:v>21395</c:v>
                </c:pt>
                <c:pt idx="26">
                  <c:v>21226</c:v>
                </c:pt>
                <c:pt idx="27">
                  <c:v>21213</c:v>
                </c:pt>
                <c:pt idx="28">
                  <c:v>21262</c:v>
                </c:pt>
                <c:pt idx="29">
                  <c:v>21360</c:v>
                </c:pt>
                <c:pt idx="30">
                  <c:v>21661</c:v>
                </c:pt>
                <c:pt idx="31">
                  <c:v>21734</c:v>
                </c:pt>
                <c:pt idx="32">
                  <c:v>21683</c:v>
                </c:pt>
                <c:pt idx="33">
                  <c:v>21619</c:v>
                </c:pt>
                <c:pt idx="34">
                  <c:v>21774</c:v>
                </c:pt>
                <c:pt idx="35">
                  <c:v>21864</c:v>
                </c:pt>
                <c:pt idx="36">
                  <c:v>21714</c:v>
                </c:pt>
                <c:pt idx="37">
                  <c:v>21844</c:v>
                </c:pt>
                <c:pt idx="38">
                  <c:v>22039</c:v>
                </c:pt>
                <c:pt idx="39">
                  <c:v>21996</c:v>
                </c:pt>
                <c:pt idx="40">
                  <c:v>21969</c:v>
                </c:pt>
                <c:pt idx="41">
                  <c:v>22104</c:v>
                </c:pt>
                <c:pt idx="42">
                  <c:v>22107</c:v>
                </c:pt>
                <c:pt idx="43">
                  <c:v>22074</c:v>
                </c:pt>
                <c:pt idx="44">
                  <c:v>22371</c:v>
                </c:pt>
                <c:pt idx="45">
                  <c:v>22310</c:v>
                </c:pt>
                <c:pt idx="46">
                  <c:v>22473</c:v>
                </c:pt>
                <c:pt idx="47">
                  <c:v>22343</c:v>
                </c:pt>
                <c:pt idx="48">
                  <c:v>22634</c:v>
                </c:pt>
                <c:pt idx="49">
                  <c:v>22334</c:v>
                </c:pt>
                <c:pt idx="50">
                  <c:v>22596</c:v>
                </c:pt>
                <c:pt idx="51">
                  <c:v>22457</c:v>
                </c:pt>
                <c:pt idx="52">
                  <c:v>22551</c:v>
                </c:pt>
                <c:pt idx="53">
                  <c:v>22670</c:v>
                </c:pt>
                <c:pt idx="54">
                  <c:v>22802</c:v>
                </c:pt>
                <c:pt idx="55">
                  <c:v>22657</c:v>
                </c:pt>
                <c:pt idx="56">
                  <c:v>22945</c:v>
                </c:pt>
                <c:pt idx="57">
                  <c:v>22804</c:v>
                </c:pt>
                <c:pt idx="58">
                  <c:v>22844</c:v>
                </c:pt>
                <c:pt idx="59">
                  <c:v>22898</c:v>
                </c:pt>
              </c:numCache>
            </c:numRef>
          </c:xVal>
          <c:yVal>
            <c:numRef>
              <c:f>Student_Worksheet!$F$2:$F$61</c:f>
              <c:numCache>
                <c:formatCode>General</c:formatCode>
                <c:ptCount val="60"/>
                <c:pt idx="0">
                  <c:v>311910.7632481184</c:v>
                </c:pt>
                <c:pt idx="1">
                  <c:v>334061.23748107027</c:v>
                </c:pt>
                <c:pt idx="2">
                  <c:v>313948.41970617388</c:v>
                </c:pt>
                <c:pt idx="3">
                  <c:v>340356.83802439168</c:v>
                </c:pt>
                <c:pt idx="4">
                  <c:v>341795.31198433758</c:v>
                </c:pt>
                <c:pt idx="5">
                  <c:v>335638.27387424192</c:v>
                </c:pt>
                <c:pt idx="6">
                  <c:v>356027.99453492911</c:v>
                </c:pt>
                <c:pt idx="7">
                  <c:v>357238.45485547482</c:v>
                </c:pt>
                <c:pt idx="8">
                  <c:v>352687.19398975879</c:v>
                </c:pt>
                <c:pt idx="9">
                  <c:v>368302.69202781242</c:v>
                </c:pt>
                <c:pt idx="10">
                  <c:v>348475.30343632662</c:v>
                </c:pt>
                <c:pt idx="11">
                  <c:v>372389.15154491871</c:v>
                </c:pt>
                <c:pt idx="12">
                  <c:v>364049.51838382101</c:v>
                </c:pt>
                <c:pt idx="13">
                  <c:v>371369.34257992927</c:v>
                </c:pt>
                <c:pt idx="14">
                  <c:v>362598.45562907448</c:v>
                </c:pt>
                <c:pt idx="15">
                  <c:v>361911.54266894778</c:v>
                </c:pt>
                <c:pt idx="16">
                  <c:v>360277.89043814992</c:v>
                </c:pt>
                <c:pt idx="17">
                  <c:v>339985.34882927401</c:v>
                </c:pt>
                <c:pt idx="18">
                  <c:v>346935.64892480988</c:v>
                </c:pt>
                <c:pt idx="19">
                  <c:v>344411.99779912393</c:v>
                </c:pt>
                <c:pt idx="20">
                  <c:v>361088.49054764147</c:v>
                </c:pt>
                <c:pt idx="21">
                  <c:v>332996.51663297368</c:v>
                </c:pt>
                <c:pt idx="22">
                  <c:v>331897.37202106131</c:v>
                </c:pt>
                <c:pt idx="23">
                  <c:v>327370.81685437221</c:v>
                </c:pt>
                <c:pt idx="24">
                  <c:v>335653.80726027931</c:v>
                </c:pt>
                <c:pt idx="25">
                  <c:v>343372.6681221273</c:v>
                </c:pt>
                <c:pt idx="26">
                  <c:v>311620.01314698881</c:v>
                </c:pt>
                <c:pt idx="27">
                  <c:v>303757.10812439013</c:v>
                </c:pt>
                <c:pt idx="28">
                  <c:v>328800.76746998791</c:v>
                </c:pt>
                <c:pt idx="29">
                  <c:v>324315.92572705902</c:v>
                </c:pt>
                <c:pt idx="30">
                  <c:v>326683.75783066248</c:v>
                </c:pt>
                <c:pt idx="31">
                  <c:v>337101.86527345999</c:v>
                </c:pt>
                <c:pt idx="32">
                  <c:v>327238.11868853081</c:v>
                </c:pt>
                <c:pt idx="33">
                  <c:v>319714.47025859199</c:v>
                </c:pt>
                <c:pt idx="34">
                  <c:v>338783.40014193911</c:v>
                </c:pt>
                <c:pt idx="35">
                  <c:v>342619.42046235828</c:v>
                </c:pt>
                <c:pt idx="36">
                  <c:v>346289.78248330753</c:v>
                </c:pt>
                <c:pt idx="37">
                  <c:v>345277.98882719269</c:v>
                </c:pt>
                <c:pt idx="38">
                  <c:v>367987.24110102019</c:v>
                </c:pt>
                <c:pt idx="39">
                  <c:v>364614.56935164589</c:v>
                </c:pt>
                <c:pt idx="40">
                  <c:v>363040.1568643814</c:v>
                </c:pt>
                <c:pt idx="41">
                  <c:v>390387.76339675148</c:v>
                </c:pt>
                <c:pt idx="42">
                  <c:v>374045.52474671102</c:v>
                </c:pt>
                <c:pt idx="43">
                  <c:v>378327.3025207402</c:v>
                </c:pt>
                <c:pt idx="44">
                  <c:v>409580.78673632839</c:v>
                </c:pt>
                <c:pt idx="45">
                  <c:v>392741.79625919322</c:v>
                </c:pt>
                <c:pt idx="46">
                  <c:v>404453.92175621912</c:v>
                </c:pt>
                <c:pt idx="47">
                  <c:v>391545.07407707971</c:v>
                </c:pt>
                <c:pt idx="48">
                  <c:v>424325.51110018138</c:v>
                </c:pt>
                <c:pt idx="49">
                  <c:v>394636.34700978018</c:v>
                </c:pt>
                <c:pt idx="50">
                  <c:v>406394.58090372878</c:v>
                </c:pt>
                <c:pt idx="51">
                  <c:v>394684.3994076777</c:v>
                </c:pt>
                <c:pt idx="52">
                  <c:v>402243.83114977361</c:v>
                </c:pt>
                <c:pt idx="53">
                  <c:v>383548.83815622871</c:v>
                </c:pt>
                <c:pt idx="54">
                  <c:v>407510.58090626722</c:v>
                </c:pt>
                <c:pt idx="55">
                  <c:v>393858.56933595391</c:v>
                </c:pt>
                <c:pt idx="56">
                  <c:v>402890.83996264299</c:v>
                </c:pt>
                <c:pt idx="57">
                  <c:v>392548.58837941481</c:v>
                </c:pt>
                <c:pt idx="58">
                  <c:v>385294.288899965</c:v>
                </c:pt>
                <c:pt idx="59">
                  <c:v>384357.5911636079</c:v>
                </c:pt>
              </c:numCache>
            </c:numRef>
          </c:yVal>
          <c:bubbleSize>
            <c:numRef>
              <c:f>Student_Worksheet!$I$2:$I$61</c:f>
              <c:numCache>
                <c:formatCode>General</c:formatCode>
                <c:ptCount val="60"/>
                <c:pt idx="0">
                  <c:v>-990.49966401630729</c:v>
                </c:pt>
                <c:pt idx="1">
                  <c:v>-318.64906309995638</c:v>
                </c:pt>
                <c:pt idx="2">
                  <c:v>-1079.335139873353</c:v>
                </c:pt>
                <c:pt idx="3">
                  <c:v>-324.3393127359011</c:v>
                </c:pt>
                <c:pt idx="4">
                  <c:v>858.29833361826752</c:v>
                </c:pt>
                <c:pt idx="5">
                  <c:v>329.97328107688872</c:v>
                </c:pt>
                <c:pt idx="6">
                  <c:v>143.15678208236969</c:v>
                </c:pt>
                <c:pt idx="7">
                  <c:v>1642.0866842839091</c:v>
                </c:pt>
                <c:pt idx="8">
                  <c:v>572.70449649682371</c:v>
                </c:pt>
                <c:pt idx="9">
                  <c:v>1997.2549066067311</c:v>
                </c:pt>
                <c:pt idx="10">
                  <c:v>757.82542181584222</c:v>
                </c:pt>
                <c:pt idx="11">
                  <c:v>1167.2324297252969</c:v>
                </c:pt>
                <c:pt idx="12">
                  <c:v>935.31835668321207</c:v>
                </c:pt>
                <c:pt idx="13">
                  <c:v>474.25728785854119</c:v>
                </c:pt>
                <c:pt idx="14">
                  <c:v>1270.994249994699</c:v>
                </c:pt>
                <c:pt idx="15">
                  <c:v>2549.6162556067861</c:v>
                </c:pt>
                <c:pt idx="16">
                  <c:v>993.19183964732156</c:v>
                </c:pt>
                <c:pt idx="17">
                  <c:v>440.26182687393703</c:v>
                </c:pt>
                <c:pt idx="18">
                  <c:v>2117.0624644668151</c:v>
                </c:pt>
                <c:pt idx="19">
                  <c:v>-250.70575479905099</c:v>
                </c:pt>
                <c:pt idx="20">
                  <c:v>3234.6313489543782</c:v>
                </c:pt>
                <c:pt idx="21">
                  <c:v>127.4744809305855</c:v>
                </c:pt>
                <c:pt idx="22">
                  <c:v>1073.655838939867</c:v>
                </c:pt>
                <c:pt idx="23">
                  <c:v>1352.0854872245709</c:v>
                </c:pt>
                <c:pt idx="24">
                  <c:v>2367.806456266936</c:v>
                </c:pt>
                <c:pt idx="25">
                  <c:v>3021.1441163341101</c:v>
                </c:pt>
                <c:pt idx="26">
                  <c:v>451.52891787116459</c:v>
                </c:pt>
                <c:pt idx="27">
                  <c:v>644.90641591270719</c:v>
                </c:pt>
                <c:pt idx="28">
                  <c:v>4275.4748633528743</c:v>
                </c:pt>
                <c:pt idx="29">
                  <c:v>3350.0419777839752</c:v>
                </c:pt>
                <c:pt idx="30">
                  <c:v>1222.528232585322</c:v>
                </c:pt>
                <c:pt idx="31">
                  <c:v>2345.5329804609801</c:v>
                </c:pt>
                <c:pt idx="32">
                  <c:v>1631.420156244596</c:v>
                </c:pt>
                <c:pt idx="33">
                  <c:v>1119.8346285992559</c:v>
                </c:pt>
                <c:pt idx="34">
                  <c:v>2502.3652735571209</c:v>
                </c:pt>
                <c:pt idx="35">
                  <c:v>1604.3040879282721</c:v>
                </c:pt>
                <c:pt idx="36">
                  <c:v>3412.256232636641</c:v>
                </c:pt>
                <c:pt idx="37">
                  <c:v>2101.287396085193</c:v>
                </c:pt>
                <c:pt idx="38">
                  <c:v>3797.989629563026</c:v>
                </c:pt>
                <c:pt idx="39">
                  <c:v>3018.6542018282789</c:v>
                </c:pt>
                <c:pt idx="40">
                  <c:v>2154.1898969618151</c:v>
                </c:pt>
                <c:pt idx="41">
                  <c:v>4701.4341449421518</c:v>
                </c:pt>
                <c:pt idx="42">
                  <c:v>2110.4167407671721</c:v>
                </c:pt>
                <c:pt idx="43">
                  <c:v>3140.3015279089718</c:v>
                </c:pt>
                <c:pt idx="44">
                  <c:v>6106.7762563667839</c:v>
                </c:pt>
                <c:pt idx="45">
                  <c:v>2086.3324491783801</c:v>
                </c:pt>
                <c:pt idx="46">
                  <c:v>2349.2915064456452</c:v>
                </c:pt>
                <c:pt idx="47">
                  <c:v>1933.0346045057479</c:v>
                </c:pt>
                <c:pt idx="48">
                  <c:v>5169.1190187473376</c:v>
                </c:pt>
                <c:pt idx="49">
                  <c:v>2818.2565745891879</c:v>
                </c:pt>
                <c:pt idx="50">
                  <c:v>3090.6077323037011</c:v>
                </c:pt>
                <c:pt idx="51">
                  <c:v>4052.750222256162</c:v>
                </c:pt>
                <c:pt idx="52">
                  <c:v>3719.7725919432901</c:v>
                </c:pt>
                <c:pt idx="53">
                  <c:v>-55.338211883130498</c:v>
                </c:pt>
                <c:pt idx="54">
                  <c:v>4043.6695899129122</c:v>
                </c:pt>
                <c:pt idx="55">
                  <c:v>4194.7936851222184</c:v>
                </c:pt>
                <c:pt idx="56">
                  <c:v>3533.430967509672</c:v>
                </c:pt>
                <c:pt idx="57">
                  <c:v>5462.9580912795718</c:v>
                </c:pt>
                <c:pt idx="58">
                  <c:v>4156.7975551278396</c:v>
                </c:pt>
                <c:pt idx="59">
                  <c:v>5302.4706848685837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020E-4D2C-8330-5E1BF0818F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bubbleScale val="20"/>
        <c:showNegBubbles val="0"/>
        <c:axId val="871519088"/>
        <c:axId val="871519568"/>
      </c:bubbleChart>
      <c:valAx>
        <c:axId val="87151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519568"/>
        <c:crosses val="autoZero"/>
        <c:crossBetween val="midCat"/>
      </c:valAx>
      <c:valAx>
        <c:axId val="87151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51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595312</xdr:colOff>
      <xdr:row>0</xdr:row>
      <xdr:rowOff>14288</xdr:rowOff>
    </xdr:from>
    <xdr:to>
      <xdr:col>30</xdr:col>
      <xdr:colOff>595312</xdr:colOff>
      <xdr:row>10</xdr:row>
      <xdr:rowOff>19051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7F686C-0B7F-4E30-BDA6-D32D7EF9D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252412</xdr:colOff>
      <xdr:row>2</xdr:row>
      <xdr:rowOff>180975</xdr:rowOff>
    </xdr:from>
    <xdr:to>
      <xdr:col>48</xdr:col>
      <xdr:colOff>252412</xdr:colOff>
      <xdr:row>12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888521-0692-48DE-B23A-14B809EA6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59</xdr:col>
      <xdr:colOff>23812</xdr:colOff>
      <xdr:row>35</xdr:row>
      <xdr:rowOff>121443</xdr:rowOff>
    </xdr:from>
    <xdr:to>
      <xdr:col>65</xdr:col>
      <xdr:colOff>23812</xdr:colOff>
      <xdr:row>45</xdr:row>
      <xdr:rowOff>140493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9CF71C-BF47-CE7A-E526-1CD04954F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58</xdr:col>
      <xdr:colOff>600075</xdr:colOff>
      <xdr:row>24</xdr:row>
      <xdr:rowOff>140494</xdr:rowOff>
    </xdr:from>
    <xdr:to>
      <xdr:col>64</xdr:col>
      <xdr:colOff>600075</xdr:colOff>
      <xdr:row>34</xdr:row>
      <xdr:rowOff>145256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EB662CB-074D-33A7-10B5-E7E4AF8E1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58</xdr:col>
      <xdr:colOff>542925</xdr:colOff>
      <xdr:row>14</xdr:row>
      <xdr:rowOff>16670</xdr:rowOff>
    </xdr:from>
    <xdr:to>
      <xdr:col>64</xdr:col>
      <xdr:colOff>542925</xdr:colOff>
      <xdr:row>24</xdr:row>
      <xdr:rowOff>11908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0C0D07B-9F49-AFB7-09FF-1B208E39C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58</xdr:col>
      <xdr:colOff>509587</xdr:colOff>
      <xdr:row>3</xdr:row>
      <xdr:rowOff>97631</xdr:rowOff>
    </xdr:from>
    <xdr:to>
      <xdr:col>64</xdr:col>
      <xdr:colOff>509587</xdr:colOff>
      <xdr:row>13</xdr:row>
      <xdr:rowOff>111919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6C85CB5-F215-8231-6EDD-EF092726B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340518</xdr:colOff>
      <xdr:row>0</xdr:row>
      <xdr:rowOff>126205</xdr:rowOff>
    </xdr:from>
    <xdr:to>
      <xdr:col>19</xdr:col>
      <xdr:colOff>95249</xdr:colOff>
      <xdr:row>17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8719EE-CD1C-21CB-CF01-11C8DF038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450056</xdr:colOff>
      <xdr:row>18</xdr:row>
      <xdr:rowOff>157163</xdr:rowOff>
    </xdr:from>
    <xdr:to>
      <xdr:col>19</xdr:col>
      <xdr:colOff>95250</xdr:colOff>
      <xdr:row>37</xdr:row>
      <xdr:rowOff>30956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F24B33-C9C9-67D3-10BF-B21F2D446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754855</xdr:colOff>
      <xdr:row>38</xdr:row>
      <xdr:rowOff>107154</xdr:rowOff>
    </xdr:from>
    <xdr:to>
      <xdr:col>19</xdr:col>
      <xdr:colOff>28575</xdr:colOff>
      <xdr:row>56</xdr:row>
      <xdr:rowOff>152399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0DA6AD-CC61-DB1F-2BB6-A993F40C2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3FC64-6D68-4CFC-99C1-FC771506DEBC}">
  <dimension ref="A1:BF90"/>
  <sheetViews>
    <sheetView workbookViewId="0">
      <selection activeCell="G6" sqref="G6:G19"/>
    </sheetView>
  </sheetViews>
  <sheetFormatPr defaultRowHeight="14.25" x14ac:dyDescent="0.45"/>
  <cols>
    <col min="2" max="2" width="17.59765625" style="8" bestFit="1" customWidth="1"/>
    <col min="3" max="3" width="8.53125" bestFit="1" customWidth="1"/>
    <col min="4" max="4" width="17.46484375" bestFit="1" customWidth="1"/>
    <col min="5" max="5" width="15.19921875" bestFit="1" customWidth="1"/>
    <col min="6" max="6" width="18.265625" bestFit="1" customWidth="1"/>
    <col min="7" max="7" width="13.86328125" customWidth="1"/>
    <col min="8" max="8" width="11.73046875" bestFit="1" customWidth="1"/>
    <col min="9" max="9" width="14.265625" bestFit="1" customWidth="1"/>
    <col min="10" max="10" width="11.73046875" bestFit="1" customWidth="1"/>
    <col min="11" max="11" width="16.1328125" bestFit="1" customWidth="1"/>
    <col min="12" max="12" width="12.33203125" bestFit="1" customWidth="1"/>
    <col min="13" max="13" width="11.73046875" customWidth="1"/>
    <col min="17" max="17" width="15.46484375" customWidth="1"/>
  </cols>
  <sheetData>
    <row r="1" spans="1:55" x14ac:dyDescent="0.45">
      <c r="A1" t="s">
        <v>116</v>
      </c>
      <c r="B1" s="7" t="s">
        <v>2</v>
      </c>
      <c r="C1" s="1" t="s">
        <v>3</v>
      </c>
      <c r="D1" s="1" t="s">
        <v>4</v>
      </c>
      <c r="E1" s="1" t="s">
        <v>7</v>
      </c>
      <c r="F1" s="1" t="s">
        <v>6</v>
      </c>
      <c r="G1" s="1" t="s">
        <v>5</v>
      </c>
      <c r="H1" s="1" t="s">
        <v>9</v>
      </c>
      <c r="I1" s="1" t="s">
        <v>10</v>
      </c>
      <c r="J1" s="1" t="s">
        <v>11</v>
      </c>
      <c r="K1" s="5" t="s">
        <v>102</v>
      </c>
      <c r="L1" s="5" t="s">
        <v>8</v>
      </c>
      <c r="M1" s="5" t="s">
        <v>115</v>
      </c>
    </row>
    <row r="2" spans="1:55" x14ac:dyDescent="0.45">
      <c r="A2">
        <v>1</v>
      </c>
      <c r="B2" s="8">
        <v>45658</v>
      </c>
      <c r="C2" t="s">
        <v>14</v>
      </c>
      <c r="D2">
        <v>19975</v>
      </c>
      <c r="E2">
        <v>311910.7632481184</v>
      </c>
      <c r="F2">
        <v>311910.7632481184</v>
      </c>
      <c r="G2">
        <v>19975</v>
      </c>
      <c r="H2">
        <v>1.175942280140901</v>
      </c>
      <c r="I2">
        <v>-990.49966401630729</v>
      </c>
      <c r="J2">
        <v>8.0938894443857171E-2</v>
      </c>
      <c r="K2">
        <f t="shared" ref="K2:K33" si="0">$AY$20+$AY$21*G2+$AY$22*H2+$AY$23*I2+$AY$24*J2</f>
        <v>312950.49108445528</v>
      </c>
      <c r="L2">
        <f t="shared" ref="L2:L33" si="1">F2-K2</f>
        <v>-1039.7278363368823</v>
      </c>
      <c r="M2">
        <f>ABS((L2-$Q$16)/$Q$20)</f>
        <v>0.20142726965077978</v>
      </c>
      <c r="V2" t="s">
        <v>74</v>
      </c>
    </row>
    <row r="3" spans="1:55" ht="14.65" thickBot="1" x14ac:dyDescent="0.5">
      <c r="A3">
        <v>2</v>
      </c>
      <c r="B3" s="8">
        <v>45689</v>
      </c>
      <c r="C3" t="s">
        <v>15</v>
      </c>
      <c r="D3">
        <v>20184</v>
      </c>
      <c r="E3">
        <v>334061.23748107027</v>
      </c>
      <c r="F3">
        <v>334061.23748107027</v>
      </c>
      <c r="G3">
        <v>20184</v>
      </c>
      <c r="H3">
        <v>1.3184438211842611</v>
      </c>
      <c r="I3">
        <v>-318.64906309995638</v>
      </c>
      <c r="J3">
        <v>8.3749891378802593E-2</v>
      </c>
      <c r="K3">
        <f t="shared" si="0"/>
        <v>326230.89076121134</v>
      </c>
      <c r="L3">
        <f t="shared" si="1"/>
        <v>7830.3467198589351</v>
      </c>
      <c r="M3">
        <f t="shared" ref="M3:M61" si="2">ABS((L3-$Q$16)/$Q$20)</f>
        <v>1.5169790642106569</v>
      </c>
    </row>
    <row r="4" spans="1:55" x14ac:dyDescent="0.45">
      <c r="A4">
        <v>3</v>
      </c>
      <c r="B4" s="8">
        <v>45717</v>
      </c>
      <c r="C4" t="s">
        <v>16</v>
      </c>
      <c r="D4">
        <v>19922</v>
      </c>
      <c r="E4">
        <v>313948.41970617388</v>
      </c>
      <c r="F4">
        <v>313948.41970617388</v>
      </c>
      <c r="G4">
        <v>19922</v>
      </c>
      <c r="H4">
        <v>1.3606372430629989</v>
      </c>
      <c r="I4">
        <v>-1079.335139873353</v>
      </c>
      <c r="J4">
        <v>8.2370782893257333E-2</v>
      </c>
      <c r="K4">
        <f t="shared" si="0"/>
        <v>322426.92283081677</v>
      </c>
      <c r="L4">
        <f t="shared" si="1"/>
        <v>-8478.5031246428844</v>
      </c>
      <c r="M4">
        <f t="shared" si="2"/>
        <v>1.6425469006766606</v>
      </c>
      <c r="V4" s="4" t="s">
        <v>75</v>
      </c>
      <c r="W4" s="4"/>
      <c r="AH4" t="s">
        <v>74</v>
      </c>
      <c r="AX4" t="s">
        <v>74</v>
      </c>
    </row>
    <row r="5" spans="1:55" ht="14.65" thickBot="1" x14ac:dyDescent="0.5">
      <c r="A5">
        <v>4</v>
      </c>
      <c r="B5" s="8">
        <v>45748</v>
      </c>
      <c r="C5" t="s">
        <v>17</v>
      </c>
      <c r="D5">
        <v>20295</v>
      </c>
      <c r="E5">
        <v>340356.83802439168</v>
      </c>
      <c r="F5">
        <v>340356.83802439168</v>
      </c>
      <c r="G5">
        <v>20295</v>
      </c>
      <c r="H5">
        <v>1.370003367891947</v>
      </c>
      <c r="I5">
        <v>-324.3393127359011</v>
      </c>
      <c r="J5">
        <v>7.5529905691625127E-2</v>
      </c>
      <c r="K5">
        <f t="shared" si="0"/>
        <v>333557.61720709881</v>
      </c>
      <c r="L5">
        <f t="shared" si="1"/>
        <v>6799.2208172928658</v>
      </c>
      <c r="M5">
        <f t="shared" si="2"/>
        <v>1.3172182537741266</v>
      </c>
      <c r="V5" t="s">
        <v>76</v>
      </c>
      <c r="W5">
        <v>0.16745107271959336</v>
      </c>
    </row>
    <row r="6" spans="1:55" x14ac:dyDescent="0.45">
      <c r="A6">
        <v>5</v>
      </c>
      <c r="B6" s="8">
        <v>45778</v>
      </c>
      <c r="C6" t="s">
        <v>18</v>
      </c>
      <c r="D6">
        <v>22117</v>
      </c>
      <c r="E6">
        <v>341795.31198433758</v>
      </c>
      <c r="F6">
        <v>341795.31198433758</v>
      </c>
      <c r="G6">
        <f>D6-2000</f>
        <v>20117</v>
      </c>
      <c r="H6">
        <v>1.53244195427843</v>
      </c>
      <c r="I6">
        <v>858.29833361826752</v>
      </c>
      <c r="J6">
        <v>7.8860940010402031E-2</v>
      </c>
      <c r="K6">
        <f t="shared" si="0"/>
        <v>345532.22135517886</v>
      </c>
      <c r="L6">
        <f t="shared" si="1"/>
        <v>-3736.9093708412838</v>
      </c>
      <c r="M6">
        <f t="shared" si="2"/>
        <v>0.72395431303724045</v>
      </c>
      <c r="V6" t="s">
        <v>77</v>
      </c>
      <c r="W6">
        <v>2.8039861754942545E-2</v>
      </c>
      <c r="AH6" s="4" t="s">
        <v>75</v>
      </c>
      <c r="AI6" s="4"/>
      <c r="AX6" s="4" t="s">
        <v>75</v>
      </c>
      <c r="AY6" s="4"/>
    </row>
    <row r="7" spans="1:55" x14ac:dyDescent="0.45">
      <c r="A7">
        <v>6</v>
      </c>
      <c r="B7" s="8">
        <v>45809</v>
      </c>
      <c r="C7" t="s">
        <v>19</v>
      </c>
      <c r="D7">
        <v>22145</v>
      </c>
      <c r="E7">
        <v>335638.27387424192</v>
      </c>
      <c r="F7">
        <v>335638.27387424192</v>
      </c>
      <c r="G7">
        <f t="shared" ref="G7:G16" si="3">D7-2000</f>
        <v>20145</v>
      </c>
      <c r="H7">
        <v>1.48172389715687</v>
      </c>
      <c r="I7">
        <v>329.97328107688872</v>
      </c>
      <c r="J7">
        <v>7.7079140490047354E-2</v>
      </c>
      <c r="K7">
        <f t="shared" si="0"/>
        <v>340963.49515836086</v>
      </c>
      <c r="L7">
        <f t="shared" si="1"/>
        <v>-5325.2212841189466</v>
      </c>
      <c r="M7">
        <f t="shared" si="2"/>
        <v>1.0316591958578059</v>
      </c>
      <c r="V7" t="s">
        <v>78</v>
      </c>
      <c r="W7">
        <v>1.1281928336924315E-2</v>
      </c>
      <c r="AH7" t="s">
        <v>76</v>
      </c>
      <c r="AI7">
        <v>0.68017708486434536</v>
      </c>
      <c r="AX7" t="s">
        <v>76</v>
      </c>
      <c r="AY7">
        <v>0.98450539933384695</v>
      </c>
    </row>
    <row r="8" spans="1:55" x14ac:dyDescent="0.45">
      <c r="A8">
        <v>7</v>
      </c>
      <c r="B8" s="8">
        <v>45839</v>
      </c>
      <c r="C8" t="s">
        <v>20</v>
      </c>
      <c r="D8">
        <v>22305</v>
      </c>
      <c r="E8">
        <v>356027.99453492911</v>
      </c>
      <c r="F8">
        <v>356027.99453492911</v>
      </c>
      <c r="G8">
        <f t="shared" si="3"/>
        <v>20305</v>
      </c>
      <c r="H8">
        <v>1.7036298884381169</v>
      </c>
      <c r="I8">
        <v>143.15678208236969</v>
      </c>
      <c r="J8">
        <v>7.4089233352302566E-2</v>
      </c>
      <c r="K8">
        <f t="shared" si="0"/>
        <v>356374.82806639897</v>
      </c>
      <c r="L8">
        <f t="shared" si="1"/>
        <v>-346.83353146986337</v>
      </c>
      <c r="M8">
        <f t="shared" si="2"/>
        <v>6.7192325554587554E-2</v>
      </c>
      <c r="V8" t="s">
        <v>79</v>
      </c>
      <c r="W8">
        <v>19210.746110788608</v>
      </c>
      <c r="AH8" t="s">
        <v>77</v>
      </c>
      <c r="AI8">
        <v>0.4626408667745589</v>
      </c>
      <c r="AX8" t="s">
        <v>77</v>
      </c>
      <c r="AY8">
        <v>0.96925088131749737</v>
      </c>
    </row>
    <row r="9" spans="1:55" ht="14.65" thickBot="1" x14ac:dyDescent="0.5">
      <c r="A9">
        <v>8</v>
      </c>
      <c r="B9" s="8">
        <v>45870</v>
      </c>
      <c r="C9" t="s">
        <v>21</v>
      </c>
      <c r="D9">
        <v>22287</v>
      </c>
      <c r="E9">
        <v>357238.45485547482</v>
      </c>
      <c r="F9">
        <v>357238.45485547482</v>
      </c>
      <c r="G9">
        <f t="shared" si="3"/>
        <v>20287</v>
      </c>
      <c r="H9">
        <v>1.6734129825852091</v>
      </c>
      <c r="I9">
        <v>1642.0866842839091</v>
      </c>
      <c r="J9">
        <v>7.9560357419157471E-2</v>
      </c>
      <c r="K9">
        <f t="shared" si="0"/>
        <v>359521.86120224308</v>
      </c>
      <c r="L9">
        <f t="shared" si="1"/>
        <v>-2283.4063467682572</v>
      </c>
      <c r="M9">
        <f t="shared" si="2"/>
        <v>0.44236605951921648</v>
      </c>
      <c r="V9" s="2" t="s">
        <v>80</v>
      </c>
      <c r="W9" s="2">
        <v>60</v>
      </c>
      <c r="AH9" t="s">
        <v>78</v>
      </c>
      <c r="AI9">
        <v>0.45337605413274096</v>
      </c>
      <c r="AX9" t="s">
        <v>78</v>
      </c>
      <c r="AY9">
        <v>0.96701458177695176</v>
      </c>
    </row>
    <row r="10" spans="1:55" x14ac:dyDescent="0.45">
      <c r="A10">
        <v>9</v>
      </c>
      <c r="B10" s="8">
        <v>45901</v>
      </c>
      <c r="C10" t="s">
        <v>22</v>
      </c>
      <c r="D10">
        <v>22330</v>
      </c>
      <c r="E10">
        <v>352687.19398975879</v>
      </c>
      <c r="F10">
        <v>352687.19398975879</v>
      </c>
      <c r="G10">
        <f t="shared" si="3"/>
        <v>20330</v>
      </c>
      <c r="H10">
        <v>1.6766821437734489</v>
      </c>
      <c r="I10">
        <v>572.70449649682371</v>
      </c>
      <c r="J10">
        <v>7.7060111692477229E-2</v>
      </c>
      <c r="K10">
        <f t="shared" si="0"/>
        <v>356054.9047334395</v>
      </c>
      <c r="L10">
        <f t="shared" si="1"/>
        <v>-3367.7107436807128</v>
      </c>
      <c r="M10">
        <f t="shared" si="2"/>
        <v>0.65242918037389475</v>
      </c>
      <c r="AH10" t="s">
        <v>79</v>
      </c>
      <c r="AI10">
        <v>21763.532861545526</v>
      </c>
      <c r="AX10" t="s">
        <v>79</v>
      </c>
      <c r="AY10">
        <v>5346.2106478176684</v>
      </c>
    </row>
    <row r="11" spans="1:55" ht="14.65" thickBot="1" x14ac:dyDescent="0.5">
      <c r="A11">
        <v>10</v>
      </c>
      <c r="B11" s="8">
        <v>45931</v>
      </c>
      <c r="C11" t="s">
        <v>23</v>
      </c>
      <c r="D11">
        <v>22518</v>
      </c>
      <c r="E11">
        <v>368302.69202781242</v>
      </c>
      <c r="F11">
        <v>368302.69202781242</v>
      </c>
      <c r="G11">
        <f t="shared" si="3"/>
        <v>20518</v>
      </c>
      <c r="H11">
        <v>1.657414480369849</v>
      </c>
      <c r="I11">
        <v>1997.2549066067311</v>
      </c>
      <c r="J11">
        <v>7.5078742091685136E-2</v>
      </c>
      <c r="K11">
        <f t="shared" si="0"/>
        <v>364663.90953996521</v>
      </c>
      <c r="L11">
        <f t="shared" si="1"/>
        <v>3638.782487847202</v>
      </c>
      <c r="M11">
        <f t="shared" si="2"/>
        <v>0.7049441168781353</v>
      </c>
      <c r="V11" t="s">
        <v>81</v>
      </c>
      <c r="AH11" s="2" t="s">
        <v>80</v>
      </c>
      <c r="AI11" s="2">
        <v>60</v>
      </c>
      <c r="AX11" s="2" t="s">
        <v>80</v>
      </c>
      <c r="AY11" s="2">
        <v>60</v>
      </c>
    </row>
    <row r="12" spans="1:55" x14ac:dyDescent="0.45">
      <c r="A12">
        <v>11</v>
      </c>
      <c r="B12" s="8">
        <v>45962</v>
      </c>
      <c r="C12" t="s">
        <v>24</v>
      </c>
      <c r="D12">
        <v>22390</v>
      </c>
      <c r="E12">
        <v>348475.30343632662</v>
      </c>
      <c r="F12">
        <v>348475.30343632662</v>
      </c>
      <c r="G12">
        <f t="shared" si="3"/>
        <v>20390</v>
      </c>
      <c r="H12">
        <v>1.6119415484557269</v>
      </c>
      <c r="I12">
        <v>757.82542181584222</v>
      </c>
      <c r="J12">
        <v>7.7454307598756614E-2</v>
      </c>
      <c r="K12">
        <f t="shared" si="0"/>
        <v>353653.81555692048</v>
      </c>
      <c r="L12">
        <f t="shared" si="1"/>
        <v>-5178.5121205938631</v>
      </c>
      <c r="M12">
        <f t="shared" si="2"/>
        <v>1.0032371173014403</v>
      </c>
      <c r="V12" s="3"/>
      <c r="W12" s="3" t="s">
        <v>85</v>
      </c>
      <c r="X12" s="3" t="s">
        <v>86</v>
      </c>
      <c r="Y12" s="3" t="s">
        <v>87</v>
      </c>
      <c r="Z12" s="3" t="s">
        <v>88</v>
      </c>
      <c r="AA12" s="3" t="s">
        <v>89</v>
      </c>
    </row>
    <row r="13" spans="1:55" ht="14.65" thickBot="1" x14ac:dyDescent="0.5">
      <c r="A13">
        <v>12</v>
      </c>
      <c r="B13" s="8">
        <v>45992</v>
      </c>
      <c r="C13" t="s">
        <v>25</v>
      </c>
      <c r="D13">
        <v>22710</v>
      </c>
      <c r="E13">
        <v>372389.15154491871</v>
      </c>
      <c r="F13">
        <v>372389.15154491871</v>
      </c>
      <c r="G13">
        <f t="shared" si="3"/>
        <v>20710</v>
      </c>
      <c r="H13">
        <v>1.6596595138515919</v>
      </c>
      <c r="I13">
        <v>1167.2324297252969</v>
      </c>
      <c r="J13">
        <v>6.8370493545531569E-2</v>
      </c>
      <c r="K13">
        <f t="shared" si="0"/>
        <v>365584.86214580311</v>
      </c>
      <c r="L13">
        <f t="shared" si="1"/>
        <v>6804.2893991156016</v>
      </c>
      <c r="M13">
        <f t="shared" si="2"/>
        <v>1.3182001940106716</v>
      </c>
      <c r="V13" t="s">
        <v>82</v>
      </c>
      <c r="W13">
        <v>1</v>
      </c>
      <c r="X13">
        <v>617509825.61650848</v>
      </c>
      <c r="Y13">
        <v>617509825.61650848</v>
      </c>
      <c r="Z13">
        <v>1.6732290942744716</v>
      </c>
      <c r="AA13">
        <v>0.20095455085567329</v>
      </c>
      <c r="AH13" t="s">
        <v>81</v>
      </c>
      <c r="AX13" t="s">
        <v>81</v>
      </c>
    </row>
    <row r="14" spans="1:55" x14ac:dyDescent="0.45">
      <c r="A14">
        <v>13</v>
      </c>
      <c r="B14" s="8">
        <v>46023</v>
      </c>
      <c r="C14" t="s">
        <v>26</v>
      </c>
      <c r="D14">
        <v>22606</v>
      </c>
      <c r="E14">
        <v>364049.51838382101</v>
      </c>
      <c r="F14">
        <v>364049.51838382101</v>
      </c>
      <c r="G14">
        <f t="shared" si="3"/>
        <v>20606</v>
      </c>
      <c r="H14">
        <v>1.7068897947865569</v>
      </c>
      <c r="I14">
        <v>935.31835668321207</v>
      </c>
      <c r="J14">
        <v>7.4895574665374581E-2</v>
      </c>
      <c r="K14">
        <f t="shared" si="0"/>
        <v>363728.63274983945</v>
      </c>
      <c r="L14">
        <f t="shared" si="1"/>
        <v>320.88563398155384</v>
      </c>
      <c r="M14">
        <f t="shared" si="2"/>
        <v>6.2165419510915969E-2</v>
      </c>
      <c r="P14" s="4" t="s">
        <v>8</v>
      </c>
      <c r="Q14" s="4"/>
      <c r="V14" t="s">
        <v>8</v>
      </c>
      <c r="W14">
        <v>58</v>
      </c>
      <c r="X14">
        <v>21405060435.724419</v>
      </c>
      <c r="Y14">
        <v>369052766.13317961</v>
      </c>
      <c r="AH14" s="3"/>
      <c r="AI14" s="3" t="s">
        <v>85</v>
      </c>
      <c r="AJ14" s="3" t="s">
        <v>86</v>
      </c>
      <c r="AK14" s="3" t="s">
        <v>87</v>
      </c>
      <c r="AL14" s="3" t="s">
        <v>88</v>
      </c>
      <c r="AM14" s="3" t="s">
        <v>89</v>
      </c>
      <c r="AX14" s="3"/>
      <c r="AY14" s="3" t="s">
        <v>85</v>
      </c>
      <c r="AZ14" s="3" t="s">
        <v>86</v>
      </c>
      <c r="BA14" s="3" t="s">
        <v>87</v>
      </c>
      <c r="BB14" s="3" t="s">
        <v>88</v>
      </c>
      <c r="BC14" s="3" t="s">
        <v>89</v>
      </c>
    </row>
    <row r="15" spans="1:55" ht="14.65" thickBot="1" x14ac:dyDescent="0.5">
      <c r="A15">
        <v>14</v>
      </c>
      <c r="B15" s="8">
        <v>46054</v>
      </c>
      <c r="C15" t="s">
        <v>27</v>
      </c>
      <c r="D15">
        <v>22822</v>
      </c>
      <c r="E15">
        <v>371369.34257992927</v>
      </c>
      <c r="F15">
        <v>371369.34257992927</v>
      </c>
      <c r="G15">
        <f t="shared" si="3"/>
        <v>20822</v>
      </c>
      <c r="H15">
        <v>1.6755360975286819</v>
      </c>
      <c r="I15">
        <v>474.25728785854119</v>
      </c>
      <c r="J15">
        <v>7.2038233876492844E-2</v>
      </c>
      <c r="K15">
        <f t="shared" si="0"/>
        <v>363320.48117986112</v>
      </c>
      <c r="L15">
        <f t="shared" si="1"/>
        <v>8048.8614000681555</v>
      </c>
      <c r="M15">
        <f t="shared" si="2"/>
        <v>1.5593120804817482</v>
      </c>
      <c r="V15" s="2" t="s">
        <v>83</v>
      </c>
      <c r="W15" s="2">
        <v>59</v>
      </c>
      <c r="X15" s="2">
        <v>22022570261.340927</v>
      </c>
      <c r="Y15" s="2"/>
      <c r="Z15" s="2"/>
      <c r="AA15" s="2"/>
      <c r="AH15" t="s">
        <v>82</v>
      </c>
      <c r="AI15">
        <v>1</v>
      </c>
      <c r="AJ15">
        <v>23651905917.702526</v>
      </c>
      <c r="AK15">
        <v>23651905917.702526</v>
      </c>
      <c r="AL15">
        <v>49.935264172139711</v>
      </c>
      <c r="AM15">
        <v>2.2665196535173503E-9</v>
      </c>
      <c r="AX15" t="s">
        <v>82</v>
      </c>
      <c r="AY15">
        <v>4</v>
      </c>
      <c r="AZ15">
        <v>49551676693.409554</v>
      </c>
      <c r="BA15">
        <v>12387919173.352388</v>
      </c>
      <c r="BB15">
        <v>433.41728768633891</v>
      </c>
      <c r="BC15">
        <v>7.1971860336871157E-41</v>
      </c>
    </row>
    <row r="16" spans="1:55" ht="14.65" thickBot="1" x14ac:dyDescent="0.5">
      <c r="A16">
        <v>15</v>
      </c>
      <c r="B16" s="8">
        <v>46082</v>
      </c>
      <c r="C16" t="s">
        <v>28</v>
      </c>
      <c r="D16">
        <v>22785</v>
      </c>
      <c r="E16">
        <v>362598.45562907448</v>
      </c>
      <c r="F16">
        <v>362598.45562907448</v>
      </c>
      <c r="G16">
        <f t="shared" si="3"/>
        <v>20785</v>
      </c>
      <c r="H16">
        <v>1.5455194826855929</v>
      </c>
      <c r="I16">
        <v>1270.994249994699</v>
      </c>
      <c r="J16">
        <v>7.284147509257094E-2</v>
      </c>
      <c r="K16">
        <f t="shared" si="0"/>
        <v>358582.26459384104</v>
      </c>
      <c r="L16">
        <f t="shared" si="1"/>
        <v>4016.191035233438</v>
      </c>
      <c r="M16">
        <f t="shared" si="2"/>
        <v>0.77805976367153695</v>
      </c>
      <c r="P16" t="s">
        <v>103</v>
      </c>
      <c r="Q16">
        <v>1.7462298274040222E-11</v>
      </c>
      <c r="AH16" t="s">
        <v>8</v>
      </c>
      <c r="AI16">
        <v>58</v>
      </c>
      <c r="AJ16">
        <v>27471779031.703175</v>
      </c>
      <c r="AK16">
        <v>473651362.61557198</v>
      </c>
      <c r="AX16" t="s">
        <v>8</v>
      </c>
      <c r="AY16">
        <v>55</v>
      </c>
      <c r="AZ16">
        <v>1572008255.9961457</v>
      </c>
      <c r="BA16">
        <v>28581968.290839013</v>
      </c>
    </row>
    <row r="17" spans="1:58" ht="14.65" thickBot="1" x14ac:dyDescent="0.5">
      <c r="A17">
        <v>16</v>
      </c>
      <c r="B17" s="8">
        <v>46113</v>
      </c>
      <c r="C17" t="s">
        <v>29</v>
      </c>
      <c r="D17">
        <v>20713</v>
      </c>
      <c r="E17">
        <v>361911.54266894778</v>
      </c>
      <c r="F17">
        <v>361911.54266894778</v>
      </c>
      <c r="G17">
        <v>20713</v>
      </c>
      <c r="H17">
        <v>1.5311410361672591</v>
      </c>
      <c r="I17">
        <v>2549.6162556067861</v>
      </c>
      <c r="J17">
        <v>6.7626638060712341E-2</v>
      </c>
      <c r="K17">
        <f t="shared" si="0"/>
        <v>364752.27848178387</v>
      </c>
      <c r="L17">
        <f t="shared" si="1"/>
        <v>-2840.7358128360938</v>
      </c>
      <c r="M17">
        <f t="shared" si="2"/>
        <v>0.55033792361923239</v>
      </c>
      <c r="P17" t="s">
        <v>79</v>
      </c>
      <c r="Q17">
        <v>666.38587080795071</v>
      </c>
      <c r="V17" s="3"/>
      <c r="W17" s="3" t="s">
        <v>90</v>
      </c>
      <c r="X17" s="3" t="s">
        <v>79</v>
      </c>
      <c r="Y17" s="3" t="s">
        <v>91</v>
      </c>
      <c r="Z17" s="3" t="s">
        <v>92</v>
      </c>
      <c r="AA17" s="3" t="s">
        <v>93</v>
      </c>
      <c r="AB17" s="3" t="s">
        <v>94</v>
      </c>
      <c r="AC17" s="3" t="s">
        <v>95</v>
      </c>
      <c r="AD17" s="3" t="s">
        <v>96</v>
      </c>
      <c r="AH17" s="2" t="s">
        <v>83</v>
      </c>
      <c r="AI17" s="2">
        <v>59</v>
      </c>
      <c r="AJ17" s="2">
        <v>51123684949.405701</v>
      </c>
      <c r="AK17" s="2"/>
      <c r="AL17" s="2"/>
      <c r="AM17" s="2"/>
      <c r="AX17" s="2" t="s">
        <v>83</v>
      </c>
      <c r="AY17" s="2">
        <v>59</v>
      </c>
      <c r="AZ17" s="2">
        <v>51123684949.405701</v>
      </c>
      <c r="BA17" s="2"/>
      <c r="BB17" s="2"/>
      <c r="BC17" s="2"/>
    </row>
    <row r="18" spans="1:58" ht="14.65" thickBot="1" x14ac:dyDescent="0.5">
      <c r="A18">
        <v>17</v>
      </c>
      <c r="B18" s="8">
        <v>46143</v>
      </c>
      <c r="C18" t="s">
        <v>30</v>
      </c>
      <c r="D18">
        <v>20929</v>
      </c>
      <c r="E18">
        <v>360277.89043814992</v>
      </c>
      <c r="F18">
        <v>360277.89043814992</v>
      </c>
      <c r="G18">
        <v>20929</v>
      </c>
      <c r="H18">
        <v>1.449963830629617</v>
      </c>
      <c r="I18">
        <v>993.19183964732156</v>
      </c>
      <c r="J18">
        <v>6.8200779327793809E-2</v>
      </c>
      <c r="K18">
        <f t="shared" si="0"/>
        <v>354950.79215358227</v>
      </c>
      <c r="L18">
        <f t="shared" si="1"/>
        <v>5327.0982845676481</v>
      </c>
      <c r="M18">
        <f t="shared" si="2"/>
        <v>1.03202282859158</v>
      </c>
      <c r="P18" t="s">
        <v>104</v>
      </c>
      <c r="Q18">
        <v>-693.28068390337285</v>
      </c>
      <c r="V18" t="s">
        <v>84</v>
      </c>
      <c r="W18">
        <v>243384.2392299691</v>
      </c>
      <c r="X18">
        <v>69940.635783624879</v>
      </c>
      <c r="Y18">
        <v>3.4798688416691856</v>
      </c>
      <c r="Z18">
        <v>9.5916523119399764E-4</v>
      </c>
      <c r="AA18">
        <v>103382.84572965329</v>
      </c>
      <c r="AB18">
        <v>383385.63273028494</v>
      </c>
      <c r="AC18">
        <v>103382.84572965329</v>
      </c>
      <c r="AD18">
        <v>383385.63273028494</v>
      </c>
    </row>
    <row r="19" spans="1:58" ht="14.65" thickBot="1" x14ac:dyDescent="0.5">
      <c r="A19">
        <v>18</v>
      </c>
      <c r="B19" s="8">
        <v>46174</v>
      </c>
      <c r="C19" t="s">
        <v>31</v>
      </c>
      <c r="D19">
        <v>20750</v>
      </c>
      <c r="E19">
        <v>339985.34882927401</v>
      </c>
      <c r="F19">
        <v>339985.34882927401</v>
      </c>
      <c r="G19">
        <v>20750</v>
      </c>
      <c r="H19">
        <v>1.401973127765425</v>
      </c>
      <c r="I19">
        <v>440.26182687393703</v>
      </c>
      <c r="J19">
        <v>7.3874273064727131E-2</v>
      </c>
      <c r="K19">
        <f t="shared" si="0"/>
        <v>345255.72219852562</v>
      </c>
      <c r="L19">
        <f t="shared" si="1"/>
        <v>-5270.3733692516107</v>
      </c>
      <c r="M19">
        <f t="shared" si="2"/>
        <v>1.0210334673241839</v>
      </c>
      <c r="P19" t="s">
        <v>105</v>
      </c>
      <c r="Q19" t="e">
        <v>#N/A</v>
      </c>
      <c r="V19" s="2" t="s">
        <v>4</v>
      </c>
      <c r="W19" s="2">
        <v>4.1350012412820636</v>
      </c>
      <c r="X19" s="2">
        <v>3.1966709950172305</v>
      </c>
      <c r="Y19" s="2">
        <v>1.2935335690558845</v>
      </c>
      <c r="Z19" s="2">
        <v>0.20095455085567598</v>
      </c>
      <c r="AA19" s="2">
        <v>-2.2638309805038723</v>
      </c>
      <c r="AB19" s="2">
        <v>10.533833463068</v>
      </c>
      <c r="AC19" s="2">
        <v>-2.2638309805038723</v>
      </c>
      <c r="AD19" s="2">
        <v>10.533833463068</v>
      </c>
      <c r="AH19" s="3"/>
      <c r="AI19" s="3" t="s">
        <v>90</v>
      </c>
      <c r="AJ19" s="3" t="s">
        <v>79</v>
      </c>
      <c r="AK19" s="3" t="s">
        <v>91</v>
      </c>
      <c r="AL19" s="3" t="s">
        <v>92</v>
      </c>
      <c r="AM19" s="3" t="s">
        <v>93</v>
      </c>
      <c r="AN19" s="3" t="s">
        <v>94</v>
      </c>
      <c r="AO19" s="3" t="s">
        <v>95</v>
      </c>
      <c r="AP19" s="3" t="s">
        <v>96</v>
      </c>
      <c r="AX19" s="3"/>
      <c r="AY19" s="3" t="s">
        <v>90</v>
      </c>
      <c r="AZ19" s="3" t="s">
        <v>79</v>
      </c>
      <c r="BA19" s="3" t="s">
        <v>91</v>
      </c>
      <c r="BB19" s="3" t="s">
        <v>92</v>
      </c>
      <c r="BC19" s="3" t="s">
        <v>93</v>
      </c>
      <c r="BD19" s="3" t="s">
        <v>94</v>
      </c>
      <c r="BE19" s="3" t="s">
        <v>95</v>
      </c>
      <c r="BF19" s="3" t="s">
        <v>96</v>
      </c>
    </row>
    <row r="20" spans="1:58" x14ac:dyDescent="0.45">
      <c r="A20">
        <v>19</v>
      </c>
      <c r="B20" s="8">
        <v>46204</v>
      </c>
      <c r="C20" t="s">
        <v>32</v>
      </c>
      <c r="D20">
        <v>20849</v>
      </c>
      <c r="E20">
        <v>346935.64892480988</v>
      </c>
      <c r="F20">
        <v>346935.64892480988</v>
      </c>
      <c r="G20">
        <v>20849</v>
      </c>
      <c r="H20">
        <v>1.308659239149472</v>
      </c>
      <c r="I20">
        <v>2117.0624644668151</v>
      </c>
      <c r="J20">
        <v>7.0879489154129796E-2</v>
      </c>
      <c r="K20">
        <f t="shared" si="0"/>
        <v>349898.97437949292</v>
      </c>
      <c r="L20">
        <f t="shared" si="1"/>
        <v>-2963.3254546830431</v>
      </c>
      <c r="M20">
        <f t="shared" si="2"/>
        <v>0.57408730877726977</v>
      </c>
      <c r="P20" t="s">
        <v>106</v>
      </c>
      <c r="Q20">
        <v>5161.8027595742406</v>
      </c>
      <c r="AH20" t="s">
        <v>84</v>
      </c>
      <c r="AI20">
        <v>-127496.93991267972</v>
      </c>
      <c r="AJ20">
        <v>68992.431885594109</v>
      </c>
      <c r="AK20">
        <v>-1.8479844300038593</v>
      </c>
      <c r="AL20">
        <v>6.9705479008406582E-2</v>
      </c>
      <c r="AM20">
        <v>-265600.29709177266</v>
      </c>
      <c r="AN20">
        <v>10606.41726641322</v>
      </c>
      <c r="AO20">
        <v>-265600.29709177266</v>
      </c>
      <c r="AP20">
        <v>10606.41726641322</v>
      </c>
      <c r="AX20" t="s">
        <v>84</v>
      </c>
      <c r="AY20">
        <v>31338.561834734959</v>
      </c>
      <c r="AZ20">
        <v>90270.170166407217</v>
      </c>
      <c r="BA20">
        <v>0.34716409393008063</v>
      </c>
      <c r="BB20">
        <v>0.72979297716911518</v>
      </c>
      <c r="BC20">
        <v>-149566.90177387689</v>
      </c>
      <c r="BD20">
        <v>212244.02544334679</v>
      </c>
      <c r="BE20">
        <v>-149566.90177387689</v>
      </c>
      <c r="BF20">
        <v>212244.02544334679</v>
      </c>
    </row>
    <row r="21" spans="1:58" ht="14.65" thickBot="1" x14ac:dyDescent="0.5">
      <c r="A21">
        <v>20</v>
      </c>
      <c r="B21" s="8">
        <v>46235</v>
      </c>
      <c r="C21" t="s">
        <v>33</v>
      </c>
      <c r="D21">
        <v>21039</v>
      </c>
      <c r="E21">
        <v>344411.99779912393</v>
      </c>
      <c r="F21">
        <v>344411.99779912393</v>
      </c>
      <c r="G21">
        <v>21039</v>
      </c>
      <c r="H21">
        <v>1.3050683034258059</v>
      </c>
      <c r="I21">
        <v>-250.70575479905099</v>
      </c>
      <c r="J21">
        <v>7.068319681504262E-2</v>
      </c>
      <c r="K21">
        <f t="shared" si="0"/>
        <v>340845.56765225553</v>
      </c>
      <c r="L21">
        <f t="shared" si="1"/>
        <v>3566.4301468683989</v>
      </c>
      <c r="M21">
        <f t="shared" si="2"/>
        <v>0.69092724247420689</v>
      </c>
      <c r="P21" t="s">
        <v>107</v>
      </c>
      <c r="Q21">
        <v>26644207.728748243</v>
      </c>
      <c r="AH21" s="2" t="s">
        <v>5</v>
      </c>
      <c r="AI21" s="2">
        <v>22.658482354257011</v>
      </c>
      <c r="AJ21" s="2">
        <v>3.2064697118385408</v>
      </c>
      <c r="AK21" s="2">
        <v>7.0664888149730825</v>
      </c>
      <c r="AL21" s="2">
        <v>2.2665196535173838E-9</v>
      </c>
      <c r="AM21" s="2">
        <v>16.24003586968767</v>
      </c>
      <c r="AN21" s="2">
        <v>29.076928838826351</v>
      </c>
      <c r="AO21" s="2">
        <v>16.24003586968767</v>
      </c>
      <c r="AP21" s="2">
        <v>29.076928838826351</v>
      </c>
      <c r="AX21" t="s">
        <v>5</v>
      </c>
      <c r="AY21">
        <v>12.244142991888145</v>
      </c>
      <c r="AZ21">
        <v>3.2874698910425981</v>
      </c>
      <c r="BA21">
        <v>3.7244882531851875</v>
      </c>
      <c r="BB21">
        <v>4.6266632159438895E-4</v>
      </c>
      <c r="BC21">
        <v>5.6559061065240908</v>
      </c>
      <c r="BD21">
        <v>18.832379877252201</v>
      </c>
      <c r="BE21">
        <v>5.6559061065240908</v>
      </c>
      <c r="BF21">
        <v>18.832379877252201</v>
      </c>
    </row>
    <row r="22" spans="1:58" x14ac:dyDescent="0.45">
      <c r="A22">
        <v>21</v>
      </c>
      <c r="B22" s="8">
        <v>46266</v>
      </c>
      <c r="C22" t="s">
        <v>34</v>
      </c>
      <c r="D22">
        <v>21224</v>
      </c>
      <c r="E22">
        <v>361088.49054764147</v>
      </c>
      <c r="F22">
        <v>361088.49054764147</v>
      </c>
      <c r="G22">
        <v>21224</v>
      </c>
      <c r="H22">
        <v>1.1277911328839949</v>
      </c>
      <c r="I22">
        <v>3234.6313489543782</v>
      </c>
      <c r="J22">
        <v>6.5814934687948801E-2</v>
      </c>
      <c r="K22">
        <f t="shared" si="0"/>
        <v>350760.74915828835</v>
      </c>
      <c r="L22">
        <f t="shared" si="1"/>
        <v>10327.741389353119</v>
      </c>
      <c r="M22">
        <f t="shared" si="2"/>
        <v>2.0008012453007717</v>
      </c>
      <c r="P22" t="s">
        <v>108</v>
      </c>
      <c r="Q22">
        <v>-1.1437660020616014</v>
      </c>
      <c r="AX22" t="s">
        <v>9</v>
      </c>
      <c r="AY22">
        <v>59847.801937882214</v>
      </c>
      <c r="AZ22">
        <v>2088.8156730493697</v>
      </c>
      <c r="BA22">
        <v>28.651547721543594</v>
      </c>
      <c r="BB22">
        <v>9.6756381063116242E-35</v>
      </c>
      <c r="BC22">
        <v>55661.721785055022</v>
      </c>
      <c r="BD22">
        <v>64033.882090709405</v>
      </c>
      <c r="BE22">
        <v>55661.721785055022</v>
      </c>
      <c r="BF22">
        <v>64033.882090709405</v>
      </c>
    </row>
    <row r="23" spans="1:58" x14ac:dyDescent="0.45">
      <c r="A23">
        <v>22</v>
      </c>
      <c r="B23" s="8">
        <v>46296</v>
      </c>
      <c r="C23" t="s">
        <v>35</v>
      </c>
      <c r="D23">
        <v>21138</v>
      </c>
      <c r="E23">
        <v>332996.51663297368</v>
      </c>
      <c r="F23">
        <v>332996.51663297368</v>
      </c>
      <c r="G23">
        <v>21138</v>
      </c>
      <c r="H23">
        <v>1.057347648775935</v>
      </c>
      <c r="I23">
        <v>127.4744809305855</v>
      </c>
      <c r="J23">
        <v>6.852379688425296E-2</v>
      </c>
      <c r="K23">
        <f t="shared" si="0"/>
        <v>329790.72401922446</v>
      </c>
      <c r="L23">
        <f t="shared" si="1"/>
        <v>3205.7926137492177</v>
      </c>
      <c r="M23">
        <f t="shared" si="2"/>
        <v>0.62106065711306313</v>
      </c>
      <c r="P23" t="s">
        <v>109</v>
      </c>
      <c r="Q23">
        <v>0.20745355679687208</v>
      </c>
      <c r="V23" t="s">
        <v>97</v>
      </c>
      <c r="AX23" t="s">
        <v>10</v>
      </c>
      <c r="AY23">
        <v>4.744699413786023</v>
      </c>
      <c r="AZ23">
        <v>0.63379877671098117</v>
      </c>
      <c r="BA23">
        <v>7.486129017806002</v>
      </c>
      <c r="BB23">
        <v>6.0275495722292967E-10</v>
      </c>
      <c r="BC23">
        <v>3.4745382816633392</v>
      </c>
      <c r="BD23">
        <v>6.0148605459087072</v>
      </c>
      <c r="BE23">
        <v>3.4745382816633392</v>
      </c>
      <c r="BF23">
        <v>6.0148605459087072</v>
      </c>
    </row>
    <row r="24" spans="1:58" ht="14.65" thickBot="1" x14ac:dyDescent="0.5">
      <c r="A24">
        <v>23</v>
      </c>
      <c r="B24" s="8">
        <v>46327</v>
      </c>
      <c r="C24" t="s">
        <v>36</v>
      </c>
      <c r="D24">
        <v>21064</v>
      </c>
      <c r="E24">
        <v>331897.37202106131</v>
      </c>
      <c r="F24">
        <v>331897.37202106131</v>
      </c>
      <c r="G24">
        <v>21064</v>
      </c>
      <c r="H24">
        <v>1.0857079133237271</v>
      </c>
      <c r="I24">
        <v>1073.655838939867</v>
      </c>
      <c r="J24">
        <v>7.0829135539883528E-2</v>
      </c>
      <c r="K24">
        <f t="shared" si="0"/>
        <v>334255.48673300032</v>
      </c>
      <c r="L24">
        <f t="shared" si="1"/>
        <v>-2358.114711939008</v>
      </c>
      <c r="M24">
        <f t="shared" si="2"/>
        <v>0.45683936829340005</v>
      </c>
      <c r="P24" t="s">
        <v>110</v>
      </c>
      <c r="Q24">
        <v>18806.244513996004</v>
      </c>
      <c r="AX24" s="2" t="s">
        <v>11</v>
      </c>
      <c r="AY24" s="2">
        <v>-353881.34106716898</v>
      </c>
      <c r="AZ24" s="2">
        <v>325397.74259571289</v>
      </c>
      <c r="BA24" s="2">
        <v>-1.0875347144213143</v>
      </c>
      <c r="BB24" s="2">
        <v>0.28154356747347048</v>
      </c>
      <c r="BC24" s="2">
        <v>-1005992.9896101715</v>
      </c>
      <c r="BD24" s="2">
        <v>298230.30747583357</v>
      </c>
      <c r="BE24" s="2">
        <v>-1005992.9896101715</v>
      </c>
      <c r="BF24" s="2">
        <v>298230.30747583357</v>
      </c>
    </row>
    <row r="25" spans="1:58" x14ac:dyDescent="0.45">
      <c r="A25">
        <v>24</v>
      </c>
      <c r="B25" s="8">
        <v>46357</v>
      </c>
      <c r="C25" t="s">
        <v>37</v>
      </c>
      <c r="D25">
        <v>21201</v>
      </c>
      <c r="E25">
        <v>327370.81685437221</v>
      </c>
      <c r="F25">
        <v>327370.81685437221</v>
      </c>
      <c r="G25">
        <v>21201</v>
      </c>
      <c r="H25">
        <v>0.87692488090248144</v>
      </c>
      <c r="I25">
        <v>1352.0854872245709</v>
      </c>
      <c r="J25">
        <v>6.7787484463328787E-2</v>
      </c>
      <c r="K25">
        <f t="shared" si="0"/>
        <v>325835.17730157857</v>
      </c>
      <c r="L25">
        <f t="shared" si="1"/>
        <v>1535.6395527936402</v>
      </c>
      <c r="M25">
        <f t="shared" si="2"/>
        <v>0.29750062610301803</v>
      </c>
      <c r="P25" t="s">
        <v>111</v>
      </c>
      <c r="Q25">
        <v>-8478.5031246428844</v>
      </c>
      <c r="V25" s="3" t="s">
        <v>98</v>
      </c>
      <c r="W25" s="3" t="s">
        <v>99</v>
      </c>
      <c r="X25" s="3" t="s">
        <v>100</v>
      </c>
      <c r="AH25" t="s">
        <v>97</v>
      </c>
    </row>
    <row r="26" spans="1:58" ht="14.65" thickBot="1" x14ac:dyDescent="0.5">
      <c r="A26">
        <v>25</v>
      </c>
      <c r="B26" s="8">
        <v>46388</v>
      </c>
      <c r="C26" t="s">
        <v>38</v>
      </c>
      <c r="D26">
        <v>21302</v>
      </c>
      <c r="E26">
        <v>335653.80726027931</v>
      </c>
      <c r="F26">
        <v>335653.80726027931</v>
      </c>
      <c r="G26">
        <v>21302</v>
      </c>
      <c r="H26">
        <v>0.85712236481696202</v>
      </c>
      <c r="I26">
        <v>2367.806456266936</v>
      </c>
      <c r="J26">
        <v>6.4247705601236105E-2</v>
      </c>
      <c r="K26">
        <f t="shared" si="0"/>
        <v>331958.6510603854</v>
      </c>
      <c r="L26">
        <f t="shared" si="1"/>
        <v>3695.1561998939142</v>
      </c>
      <c r="M26">
        <f t="shared" si="2"/>
        <v>0.7158654392673236</v>
      </c>
      <c r="P26" t="s">
        <v>112</v>
      </c>
      <c r="Q26">
        <v>10327.741389353119</v>
      </c>
      <c r="V26">
        <v>1</v>
      </c>
      <c r="W26">
        <v>325980.88902457833</v>
      </c>
      <c r="X26">
        <v>-14070.125776459929</v>
      </c>
    </row>
    <row r="27" spans="1:58" x14ac:dyDescent="0.45">
      <c r="A27">
        <v>26</v>
      </c>
      <c r="B27" s="8">
        <v>46419</v>
      </c>
      <c r="C27" t="s">
        <v>39</v>
      </c>
      <c r="D27">
        <v>21395</v>
      </c>
      <c r="E27">
        <v>343372.6681221273</v>
      </c>
      <c r="F27">
        <v>343372.6681221273</v>
      </c>
      <c r="G27">
        <v>21395</v>
      </c>
      <c r="H27">
        <v>0.87803131890882125</v>
      </c>
      <c r="I27">
        <v>3021.1441163341101</v>
      </c>
      <c r="J27">
        <v>6.5397546534327236E-2</v>
      </c>
      <c r="K27">
        <f t="shared" si="0"/>
        <v>337041.6948631577</v>
      </c>
      <c r="L27">
        <f t="shared" si="1"/>
        <v>6330.9732589696068</v>
      </c>
      <c r="M27">
        <f t="shared" si="2"/>
        <v>1.2265042958541457</v>
      </c>
      <c r="P27" t="s">
        <v>113</v>
      </c>
      <c r="Q27">
        <v>1.0477378964424133E-9</v>
      </c>
      <c r="V27">
        <v>2</v>
      </c>
      <c r="W27">
        <v>326845.10428400629</v>
      </c>
      <c r="X27">
        <v>7216.1331970639876</v>
      </c>
      <c r="AH27" s="3" t="s">
        <v>98</v>
      </c>
      <c r="AI27" s="3" t="s">
        <v>101</v>
      </c>
      <c r="AJ27" s="3" t="s">
        <v>100</v>
      </c>
    </row>
    <row r="28" spans="1:58" ht="14.65" thickBot="1" x14ac:dyDescent="0.5">
      <c r="A28">
        <v>27</v>
      </c>
      <c r="B28" s="8">
        <v>46447</v>
      </c>
      <c r="C28" t="s">
        <v>40</v>
      </c>
      <c r="D28">
        <v>21226</v>
      </c>
      <c r="E28">
        <v>311620.01314698881</v>
      </c>
      <c r="F28">
        <v>311620.01314698881</v>
      </c>
      <c r="G28">
        <v>21226</v>
      </c>
      <c r="H28">
        <v>0.79235402476465544</v>
      </c>
      <c r="I28">
        <v>451.52891787116459</v>
      </c>
      <c r="J28">
        <v>6.9464624742414161E-2</v>
      </c>
      <c r="K28">
        <f t="shared" si="0"/>
        <v>316213.52215070924</v>
      </c>
      <c r="L28">
        <f t="shared" si="1"/>
        <v>-4593.5090037204209</v>
      </c>
      <c r="M28">
        <f t="shared" si="2"/>
        <v>0.88990401564652644</v>
      </c>
      <c r="P28" s="2" t="s">
        <v>114</v>
      </c>
      <c r="Q28" s="2">
        <v>60</v>
      </c>
      <c r="V28">
        <v>3</v>
      </c>
      <c r="W28">
        <v>325761.73395879037</v>
      </c>
      <c r="X28">
        <v>-11813.314252616488</v>
      </c>
      <c r="AH28">
        <v>1</v>
      </c>
      <c r="AI28">
        <v>325106.24511360406</v>
      </c>
      <c r="AJ28">
        <v>-13195.481865485664</v>
      </c>
      <c r="AX28" t="s">
        <v>97</v>
      </c>
    </row>
    <row r="29" spans="1:58" ht="14.65" thickBot="1" x14ac:dyDescent="0.5">
      <c r="A29">
        <v>28</v>
      </c>
      <c r="B29" s="8">
        <v>46478</v>
      </c>
      <c r="C29" t="s">
        <v>41</v>
      </c>
      <c r="D29">
        <v>21213</v>
      </c>
      <c r="E29">
        <v>303757.10812439013</v>
      </c>
      <c r="F29">
        <v>303757.10812439013</v>
      </c>
      <c r="G29">
        <v>21213</v>
      </c>
      <c r="H29">
        <v>0.69329086796300854</v>
      </c>
      <c r="I29">
        <v>644.90641591270719</v>
      </c>
      <c r="J29">
        <v>6.6691322384877752E-2</v>
      </c>
      <c r="K29">
        <f t="shared" si="0"/>
        <v>312024.57416327519</v>
      </c>
      <c r="L29">
        <f t="shared" si="1"/>
        <v>-8267.4660388850607</v>
      </c>
      <c r="M29">
        <f t="shared" si="2"/>
        <v>1.6016625245027769</v>
      </c>
      <c r="V29">
        <v>4</v>
      </c>
      <c r="W29">
        <v>327304.08942178858</v>
      </c>
      <c r="X29">
        <v>13052.748602603097</v>
      </c>
      <c r="AH29">
        <v>2</v>
      </c>
      <c r="AI29">
        <v>329841.8679256438</v>
      </c>
      <c r="AJ29">
        <v>4219.3695554264705</v>
      </c>
    </row>
    <row r="30" spans="1:58" x14ac:dyDescent="0.45">
      <c r="A30">
        <v>29</v>
      </c>
      <c r="B30" s="8">
        <v>46508</v>
      </c>
      <c r="C30" t="s">
        <v>42</v>
      </c>
      <c r="D30">
        <v>21262</v>
      </c>
      <c r="E30">
        <v>328800.76746998791</v>
      </c>
      <c r="F30">
        <v>328800.76746998791</v>
      </c>
      <c r="G30">
        <v>21262</v>
      </c>
      <c r="H30">
        <v>0.79120341308561937</v>
      </c>
      <c r="I30">
        <v>4275.4748633528743</v>
      </c>
      <c r="J30">
        <v>6.3554484185324125E-2</v>
      </c>
      <c r="K30">
        <f t="shared" si="0"/>
        <v>336820.41227065783</v>
      </c>
      <c r="L30">
        <f t="shared" si="1"/>
        <v>-8019.6448006699211</v>
      </c>
      <c r="M30">
        <f t="shared" si="2"/>
        <v>1.5536519263148716</v>
      </c>
      <c r="V30">
        <v>5</v>
      </c>
      <c r="W30">
        <v>334838.06168340449</v>
      </c>
      <c r="X30">
        <v>6957.2503009330831</v>
      </c>
      <c r="AH30">
        <v>3</v>
      </c>
      <c r="AI30">
        <v>323905.34554882842</v>
      </c>
      <c r="AJ30">
        <v>-9956.9258426545421</v>
      </c>
      <c r="AX30" s="3" t="s">
        <v>98</v>
      </c>
      <c r="AY30" s="3" t="s">
        <v>101</v>
      </c>
      <c r="AZ30" s="3" t="s">
        <v>100</v>
      </c>
    </row>
    <row r="31" spans="1:58" x14ac:dyDescent="0.45">
      <c r="A31">
        <v>30</v>
      </c>
      <c r="B31" s="8">
        <v>46539</v>
      </c>
      <c r="C31" t="s">
        <v>43</v>
      </c>
      <c r="D31">
        <v>21360</v>
      </c>
      <c r="E31">
        <v>324315.92572705902</v>
      </c>
      <c r="F31">
        <v>324315.92572705902</v>
      </c>
      <c r="G31">
        <v>21360</v>
      </c>
      <c r="H31">
        <v>0.73174158847120518</v>
      </c>
      <c r="I31">
        <v>3350.0419777839752</v>
      </c>
      <c r="J31">
        <v>6.3613940562274693E-2</v>
      </c>
      <c r="K31">
        <f t="shared" si="0"/>
        <v>330049.73740940698</v>
      </c>
      <c r="L31">
        <f t="shared" si="1"/>
        <v>-5733.811682347965</v>
      </c>
      <c r="M31">
        <f t="shared" si="2"/>
        <v>1.1108157264848537</v>
      </c>
      <c r="V31">
        <v>6</v>
      </c>
      <c r="W31">
        <v>334953.84171816043</v>
      </c>
      <c r="X31">
        <v>684.43215608148603</v>
      </c>
      <c r="AH31">
        <v>4</v>
      </c>
      <c r="AI31">
        <v>332356.95946696633</v>
      </c>
      <c r="AJ31">
        <v>7999.8785574253416</v>
      </c>
      <c r="AX31">
        <v>1</v>
      </c>
      <c r="AY31">
        <v>312950.49108445528</v>
      </c>
      <c r="AZ31">
        <v>-1039.7278363368823</v>
      </c>
    </row>
    <row r="32" spans="1:58" x14ac:dyDescent="0.45">
      <c r="A32">
        <v>31</v>
      </c>
      <c r="B32" s="8">
        <v>46569</v>
      </c>
      <c r="C32" t="s">
        <v>44</v>
      </c>
      <c r="D32">
        <v>21661</v>
      </c>
      <c r="E32">
        <v>326683.75783066248</v>
      </c>
      <c r="F32">
        <v>326683.75783066248</v>
      </c>
      <c r="G32">
        <v>21661</v>
      </c>
      <c r="H32">
        <v>0.66660154908149016</v>
      </c>
      <c r="I32">
        <v>1222.528232585322</v>
      </c>
      <c r="J32">
        <v>6.0601746617382837E-2</v>
      </c>
      <c r="K32">
        <f t="shared" si="0"/>
        <v>320808.28228745086</v>
      </c>
      <c r="L32">
        <f t="shared" si="1"/>
        <v>5875.4755432116217</v>
      </c>
      <c r="M32">
        <f t="shared" si="2"/>
        <v>1.138260374694408</v>
      </c>
      <c r="V32">
        <v>7</v>
      </c>
      <c r="W32">
        <v>335615.44191676553</v>
      </c>
      <c r="X32">
        <v>20412.55261816358</v>
      </c>
      <c r="AH32">
        <v>5</v>
      </c>
      <c r="AI32">
        <v>328323.74960790854</v>
      </c>
      <c r="AJ32">
        <v>13471.562376429036</v>
      </c>
      <c r="AX32">
        <v>2</v>
      </c>
      <c r="AY32">
        <v>326230.89076121134</v>
      </c>
      <c r="AZ32">
        <v>7830.3467198589351</v>
      </c>
    </row>
    <row r="33" spans="1:52" x14ac:dyDescent="0.45">
      <c r="A33">
        <v>32</v>
      </c>
      <c r="B33" s="8">
        <v>46600</v>
      </c>
      <c r="C33" t="s">
        <v>45</v>
      </c>
      <c r="D33">
        <v>21734</v>
      </c>
      <c r="E33">
        <v>337101.86527345999</v>
      </c>
      <c r="F33">
        <v>337101.86527345999</v>
      </c>
      <c r="G33">
        <v>21734</v>
      </c>
      <c r="H33">
        <v>0.72692582903682734</v>
      </c>
      <c r="I33">
        <v>2345.5329804609801</v>
      </c>
      <c r="J33">
        <v>6.6716953866989046E-2</v>
      </c>
      <c r="K33">
        <f t="shared" si="0"/>
        <v>328476.64251120121</v>
      </c>
      <c r="L33">
        <f t="shared" si="1"/>
        <v>8625.2227622587816</v>
      </c>
      <c r="M33">
        <f t="shared" si="2"/>
        <v>1.6709710083866505</v>
      </c>
      <c r="V33">
        <v>8</v>
      </c>
      <c r="W33">
        <v>335541.01189442247</v>
      </c>
      <c r="X33">
        <v>21697.442961052351</v>
      </c>
      <c r="AH33">
        <v>6</v>
      </c>
      <c r="AI33">
        <v>328958.18711382773</v>
      </c>
      <c r="AJ33">
        <v>6680.0867604141822</v>
      </c>
      <c r="AX33">
        <v>3</v>
      </c>
      <c r="AY33">
        <v>322426.92283081677</v>
      </c>
      <c r="AZ33">
        <v>-8478.5031246428844</v>
      </c>
    </row>
    <row r="34" spans="1:52" x14ac:dyDescent="0.45">
      <c r="A34">
        <v>33</v>
      </c>
      <c r="B34" s="8">
        <v>46631</v>
      </c>
      <c r="C34" t="s">
        <v>46</v>
      </c>
      <c r="D34">
        <v>21683</v>
      </c>
      <c r="E34">
        <v>327238.11868853081</v>
      </c>
      <c r="F34">
        <v>327238.11868853081</v>
      </c>
      <c r="G34">
        <v>21683</v>
      </c>
      <c r="H34">
        <v>0.70744280121254177</v>
      </c>
      <c r="I34">
        <v>1631.420156244596</v>
      </c>
      <c r="J34">
        <v>6.2603516598941034E-2</v>
      </c>
      <c r="K34">
        <f t="shared" ref="K34:K65" si="4">$AY$20+$AY$21*G34+$AY$22*H34+$AY$23*I34+$AY$24*J34</f>
        <v>324753.59282661288</v>
      </c>
      <c r="L34">
        <f t="shared" ref="L34:L65" si="5">F34-K34</f>
        <v>2484.5258619179367</v>
      </c>
      <c r="M34">
        <f t="shared" si="2"/>
        <v>0.48132909714722416</v>
      </c>
      <c r="V34">
        <v>9</v>
      </c>
      <c r="W34">
        <v>335718.81694779755</v>
      </c>
      <c r="X34">
        <v>16968.377041961241</v>
      </c>
      <c r="AH34">
        <v>7</v>
      </c>
      <c r="AI34">
        <v>332583.5442905089</v>
      </c>
      <c r="AJ34">
        <v>23444.450244420208</v>
      </c>
      <c r="AX34">
        <v>4</v>
      </c>
      <c r="AY34">
        <v>333557.61720709881</v>
      </c>
      <c r="AZ34">
        <v>6799.2208172928658</v>
      </c>
    </row>
    <row r="35" spans="1:52" x14ac:dyDescent="0.45">
      <c r="A35">
        <v>34</v>
      </c>
      <c r="B35" s="8">
        <v>46661</v>
      </c>
      <c r="C35" t="s">
        <v>47</v>
      </c>
      <c r="D35">
        <v>21619</v>
      </c>
      <c r="E35">
        <v>319714.47025859199</v>
      </c>
      <c r="F35">
        <v>319714.47025859199</v>
      </c>
      <c r="G35">
        <v>21619</v>
      </c>
      <c r="H35">
        <v>0.72652874558020164</v>
      </c>
      <c r="I35">
        <v>1119.8346285992559</v>
      </c>
      <c r="J35">
        <v>5.9835179007954611E-2</v>
      </c>
      <c r="K35">
        <f t="shared" si="4"/>
        <v>323664.56295954977</v>
      </c>
      <c r="L35">
        <f t="shared" si="5"/>
        <v>-3950.0927009577863</v>
      </c>
      <c r="M35">
        <f t="shared" si="2"/>
        <v>0.76525448277369246</v>
      </c>
      <c r="V35">
        <v>10</v>
      </c>
      <c r="W35">
        <v>336496.19718115858</v>
      </c>
      <c r="X35">
        <v>31806.494846653834</v>
      </c>
      <c r="AH35">
        <v>8</v>
      </c>
      <c r="AI35">
        <v>332175.69160813227</v>
      </c>
      <c r="AJ35">
        <v>25062.763247342547</v>
      </c>
      <c r="AX35">
        <v>5</v>
      </c>
      <c r="AY35">
        <v>345532.22135517886</v>
      </c>
      <c r="AZ35">
        <v>-3736.9093708412838</v>
      </c>
    </row>
    <row r="36" spans="1:52" x14ac:dyDescent="0.45">
      <c r="A36">
        <v>35</v>
      </c>
      <c r="B36" s="8">
        <v>46692</v>
      </c>
      <c r="C36" t="s">
        <v>48</v>
      </c>
      <c r="D36">
        <v>21774</v>
      </c>
      <c r="E36">
        <v>338783.40014193911</v>
      </c>
      <c r="F36">
        <v>338783.40014193911</v>
      </c>
      <c r="G36">
        <v>21774</v>
      </c>
      <c r="H36">
        <v>0.80997241158603439</v>
      </c>
      <c r="I36">
        <v>2502.3652735571209</v>
      </c>
      <c r="J36">
        <v>6.0563925537469893E-2</v>
      </c>
      <c r="K36">
        <f t="shared" si="4"/>
        <v>336858.12766089023</v>
      </c>
      <c r="L36">
        <f t="shared" si="5"/>
        <v>1925.2724810488871</v>
      </c>
      <c r="M36">
        <f t="shared" si="2"/>
        <v>0.37298451156000223</v>
      </c>
      <c r="V36">
        <v>11</v>
      </c>
      <c r="W36">
        <v>335966.91702227452</v>
      </c>
      <c r="X36">
        <v>12508.386414052104</v>
      </c>
      <c r="AH36">
        <v>9</v>
      </c>
      <c r="AI36">
        <v>333150.00634936529</v>
      </c>
      <c r="AJ36">
        <v>19537.187640393502</v>
      </c>
      <c r="AX36">
        <v>6</v>
      </c>
      <c r="AY36">
        <v>340963.49515836086</v>
      </c>
      <c r="AZ36">
        <v>-5325.2212841189466</v>
      </c>
    </row>
    <row r="37" spans="1:52" x14ac:dyDescent="0.45">
      <c r="A37">
        <v>36</v>
      </c>
      <c r="B37" s="8">
        <v>46722</v>
      </c>
      <c r="C37" t="s">
        <v>49</v>
      </c>
      <c r="D37">
        <v>21864</v>
      </c>
      <c r="E37">
        <v>342619.42046235828</v>
      </c>
      <c r="F37">
        <v>342619.42046235828</v>
      </c>
      <c r="G37">
        <v>21864</v>
      </c>
      <c r="H37">
        <v>0.89816827657605036</v>
      </c>
      <c r="I37">
        <v>1604.3040879282721</v>
      </c>
      <c r="J37">
        <v>6.1339218049763701E-2</v>
      </c>
      <c r="K37">
        <f t="shared" si="4"/>
        <v>338703.03725485574</v>
      </c>
      <c r="L37">
        <f t="shared" si="5"/>
        <v>3916.3832075025421</v>
      </c>
      <c r="M37">
        <f t="shared" si="2"/>
        <v>0.75872391680180329</v>
      </c>
      <c r="V37">
        <v>12</v>
      </c>
      <c r="W37">
        <v>337290.11741948477</v>
      </c>
      <c r="X37">
        <v>35099.034125433944</v>
      </c>
      <c r="AH37">
        <v>10</v>
      </c>
      <c r="AI37">
        <v>337409.80103196565</v>
      </c>
      <c r="AJ37">
        <v>30892.89099584677</v>
      </c>
      <c r="AX37">
        <v>7</v>
      </c>
      <c r="AY37">
        <v>356374.82806639897</v>
      </c>
      <c r="AZ37">
        <v>-346.83353146986337</v>
      </c>
    </row>
    <row r="38" spans="1:52" x14ac:dyDescent="0.45">
      <c r="A38">
        <v>37</v>
      </c>
      <c r="B38" s="8">
        <v>46753</v>
      </c>
      <c r="C38" t="s">
        <v>50</v>
      </c>
      <c r="D38">
        <v>21714</v>
      </c>
      <c r="E38">
        <v>288574.81873608963</v>
      </c>
      <c r="F38">
        <f>E38*1.2</f>
        <v>346289.78248330753</v>
      </c>
      <c r="G38">
        <v>21714</v>
      </c>
      <c r="H38">
        <v>1.0028181760313599</v>
      </c>
      <c r="I38">
        <v>3412.256232636641</v>
      </c>
      <c r="J38">
        <v>5.9583872708649628E-2</v>
      </c>
      <c r="K38">
        <f t="shared" si="4"/>
        <v>352328.85570599366</v>
      </c>
      <c r="L38">
        <f t="shared" si="5"/>
        <v>-6039.0732226861292</v>
      </c>
      <c r="M38">
        <f t="shared" si="2"/>
        <v>1.1699542783739116</v>
      </c>
      <c r="V38">
        <v>13</v>
      </c>
      <c r="W38">
        <v>336860.07729039143</v>
      </c>
      <c r="X38">
        <v>27189.441093429574</v>
      </c>
      <c r="AH38">
        <v>11</v>
      </c>
      <c r="AI38">
        <v>334509.51529062074</v>
      </c>
      <c r="AJ38">
        <v>13965.788145705883</v>
      </c>
      <c r="AX38">
        <v>8</v>
      </c>
      <c r="AY38">
        <v>359521.86120224308</v>
      </c>
      <c r="AZ38">
        <v>-2283.4063467682572</v>
      </c>
    </row>
    <row r="39" spans="1:52" x14ac:dyDescent="0.45">
      <c r="A39">
        <v>38</v>
      </c>
      <c r="B39" s="8">
        <v>46784</v>
      </c>
      <c r="C39" t="s">
        <v>51</v>
      </c>
      <c r="D39">
        <v>21844</v>
      </c>
      <c r="E39">
        <v>287731.65735599393</v>
      </c>
      <c r="F39">
        <f t="shared" ref="F39:F61" si="6">E39*1.2</f>
        <v>345277.98882719269</v>
      </c>
      <c r="G39">
        <v>21844</v>
      </c>
      <c r="H39">
        <v>1.003048180620427</v>
      </c>
      <c r="I39">
        <v>2101.287396085193</v>
      </c>
      <c r="J39">
        <v>6.0457330769539991E-2</v>
      </c>
      <c r="K39">
        <f t="shared" si="4"/>
        <v>347405.10598379909</v>
      </c>
      <c r="L39">
        <f t="shared" si="5"/>
        <v>-2127.1171566064004</v>
      </c>
      <c r="M39">
        <f t="shared" si="2"/>
        <v>0.41208803506894714</v>
      </c>
      <c r="V39">
        <v>14</v>
      </c>
      <c r="W39">
        <v>337753.23755850835</v>
      </c>
      <c r="X39">
        <v>33616.105021420924</v>
      </c>
      <c r="AH39">
        <v>12</v>
      </c>
      <c r="AI39">
        <v>341760.22964398295</v>
      </c>
      <c r="AJ39">
        <v>30628.921900935762</v>
      </c>
      <c r="AX39">
        <v>9</v>
      </c>
      <c r="AY39">
        <v>356054.9047334395</v>
      </c>
      <c r="AZ39">
        <v>-3367.7107436807128</v>
      </c>
    </row>
    <row r="40" spans="1:52" x14ac:dyDescent="0.45">
      <c r="A40">
        <v>39</v>
      </c>
      <c r="B40" s="8">
        <v>46813</v>
      </c>
      <c r="C40" t="s">
        <v>52</v>
      </c>
      <c r="D40">
        <v>22039</v>
      </c>
      <c r="E40">
        <v>306656.03425085009</v>
      </c>
      <c r="F40">
        <f t="shared" si="6"/>
        <v>367987.24110102007</v>
      </c>
      <c r="G40">
        <v>22039</v>
      </c>
      <c r="H40">
        <v>1.069397735301381</v>
      </c>
      <c r="I40">
        <v>3797.989629563026</v>
      </c>
      <c r="J40">
        <v>5.7631807160803787E-2</v>
      </c>
      <c r="K40">
        <f t="shared" si="4"/>
        <v>362813.83105085808</v>
      </c>
      <c r="L40">
        <f t="shared" si="5"/>
        <v>5173.4100501619978</v>
      </c>
      <c r="M40">
        <f t="shared" si="2"/>
        <v>1.0022486892910061</v>
      </c>
      <c r="V40">
        <v>15</v>
      </c>
      <c r="W40">
        <v>337600.24251258094</v>
      </c>
      <c r="X40">
        <v>24998.213116493542</v>
      </c>
      <c r="AH40">
        <v>13</v>
      </c>
      <c r="AI40">
        <v>339403.74747914023</v>
      </c>
      <c r="AJ40">
        <v>24645.770904680772</v>
      </c>
      <c r="AX40">
        <v>10</v>
      </c>
      <c r="AY40">
        <v>364663.90953996521</v>
      </c>
      <c r="AZ40">
        <v>3638.782487847202</v>
      </c>
    </row>
    <row r="41" spans="1:52" x14ac:dyDescent="0.45">
      <c r="A41">
        <v>40</v>
      </c>
      <c r="B41" s="8">
        <v>46844</v>
      </c>
      <c r="C41" t="s">
        <v>53</v>
      </c>
      <c r="D41">
        <v>21996</v>
      </c>
      <c r="E41">
        <v>303845.47445970488</v>
      </c>
      <c r="F41">
        <f t="shared" si="6"/>
        <v>364614.56935164583</v>
      </c>
      <c r="G41">
        <v>21996</v>
      </c>
      <c r="H41">
        <v>1.1768413916355851</v>
      </c>
      <c r="I41">
        <v>3018.6542018282789</v>
      </c>
      <c r="J41">
        <v>6.217482805726212E-2</v>
      </c>
      <c r="K41">
        <f t="shared" si="4"/>
        <v>363412.19689152756</v>
      </c>
      <c r="L41">
        <f t="shared" si="5"/>
        <v>1202.3724601182621</v>
      </c>
      <c r="M41">
        <f t="shared" si="2"/>
        <v>0.23293653712127108</v>
      </c>
      <c r="V41">
        <v>16</v>
      </c>
      <c r="W41">
        <v>329032.5199406445</v>
      </c>
      <c r="X41">
        <v>32879.022728303273</v>
      </c>
      <c r="AH41">
        <v>14</v>
      </c>
      <c r="AI41">
        <v>344297.97966765973</v>
      </c>
      <c r="AJ41">
        <v>27071.362912269542</v>
      </c>
      <c r="AX41">
        <v>11</v>
      </c>
      <c r="AY41">
        <v>353653.81555692048</v>
      </c>
      <c r="AZ41">
        <v>-5178.5121205938631</v>
      </c>
    </row>
    <row r="42" spans="1:52" x14ac:dyDescent="0.45">
      <c r="A42">
        <v>41</v>
      </c>
      <c r="B42" s="8">
        <v>46874</v>
      </c>
      <c r="C42" t="s">
        <v>54</v>
      </c>
      <c r="D42">
        <v>21969</v>
      </c>
      <c r="E42">
        <v>302533.4640536512</v>
      </c>
      <c r="F42">
        <f t="shared" si="6"/>
        <v>363040.15686438145</v>
      </c>
      <c r="G42">
        <v>21969</v>
      </c>
      <c r="H42">
        <v>1.285257430970083</v>
      </c>
      <c r="I42">
        <v>2154.1898969618151</v>
      </c>
      <c r="J42">
        <v>5.9380222144211722E-2</v>
      </c>
      <c r="K42">
        <f t="shared" si="4"/>
        <v>366457.40228745295</v>
      </c>
      <c r="L42">
        <f t="shared" si="5"/>
        <v>-3417.2454230714939</v>
      </c>
      <c r="M42">
        <f t="shared" si="2"/>
        <v>0.66202557173133336</v>
      </c>
      <c r="V42">
        <v>17</v>
      </c>
      <c r="W42">
        <v>329925.68020876142</v>
      </c>
      <c r="X42">
        <v>30352.210229388496</v>
      </c>
      <c r="AH42">
        <v>15</v>
      </c>
      <c r="AI42">
        <v>343459.61582055222</v>
      </c>
      <c r="AJ42">
        <v>19138.839808522258</v>
      </c>
      <c r="AX42">
        <v>12</v>
      </c>
      <c r="AY42">
        <v>365584.86214580311</v>
      </c>
      <c r="AZ42">
        <v>6804.2893991156016</v>
      </c>
    </row>
    <row r="43" spans="1:52" x14ac:dyDescent="0.45">
      <c r="A43">
        <v>42</v>
      </c>
      <c r="B43" s="8">
        <v>46905</v>
      </c>
      <c r="C43" t="s">
        <v>55</v>
      </c>
      <c r="D43">
        <v>22104</v>
      </c>
      <c r="E43">
        <v>325323.13616395963</v>
      </c>
      <c r="F43">
        <f t="shared" si="6"/>
        <v>390387.76339675154</v>
      </c>
      <c r="G43">
        <v>22104</v>
      </c>
      <c r="H43">
        <v>1.425441523743278</v>
      </c>
      <c r="I43">
        <v>4701.4341449421518</v>
      </c>
      <c r="J43">
        <v>5.8001937457192412E-2</v>
      </c>
      <c r="K43">
        <f t="shared" si="4"/>
        <v>389073.72893406666</v>
      </c>
      <c r="L43">
        <f t="shared" si="5"/>
        <v>1314.0344626848819</v>
      </c>
      <c r="M43">
        <f t="shared" si="2"/>
        <v>0.25456890235636387</v>
      </c>
      <c r="V43">
        <v>18</v>
      </c>
      <c r="W43">
        <v>329185.51498657191</v>
      </c>
      <c r="X43">
        <v>10799.833842702094</v>
      </c>
      <c r="AH43">
        <v>16</v>
      </c>
      <c r="AI43">
        <v>341828.20509104576</v>
      </c>
      <c r="AJ43">
        <v>20083.337577902013</v>
      </c>
      <c r="AX43">
        <v>13</v>
      </c>
      <c r="AY43">
        <v>363728.63274983945</v>
      </c>
      <c r="AZ43">
        <v>320.88563398155384</v>
      </c>
    </row>
    <row r="44" spans="1:52" x14ac:dyDescent="0.45">
      <c r="A44">
        <v>43</v>
      </c>
      <c r="B44" s="8">
        <v>46935</v>
      </c>
      <c r="C44" t="s">
        <v>56</v>
      </c>
      <c r="D44">
        <v>22107</v>
      </c>
      <c r="E44">
        <v>311704.60395559261</v>
      </c>
      <c r="F44">
        <f t="shared" si="6"/>
        <v>374045.52474671113</v>
      </c>
      <c r="G44">
        <v>22107</v>
      </c>
      <c r="H44">
        <v>1.4038484010202921</v>
      </c>
      <c r="I44">
        <v>2110.4167407671721</v>
      </c>
      <c r="J44">
        <v>5.664669911651795E-2</v>
      </c>
      <c r="K44">
        <f t="shared" si="4"/>
        <v>376004.1552338617</v>
      </c>
      <c r="L44">
        <f t="shared" si="5"/>
        <v>-1958.6304871505708</v>
      </c>
      <c r="M44">
        <f t="shared" si="2"/>
        <v>0.37944698361782064</v>
      </c>
      <c r="V44">
        <v>19</v>
      </c>
      <c r="W44">
        <v>329594.88010945881</v>
      </c>
      <c r="X44">
        <v>17340.768815351068</v>
      </c>
      <c r="AH44">
        <v>17</v>
      </c>
      <c r="AI44">
        <v>346722.43727956526</v>
      </c>
      <c r="AJ44">
        <v>13555.453158584656</v>
      </c>
      <c r="AX44">
        <v>14</v>
      </c>
      <c r="AY44">
        <v>363320.48117986112</v>
      </c>
      <c r="AZ44">
        <v>8048.8614000681555</v>
      </c>
    </row>
    <row r="45" spans="1:52" x14ac:dyDescent="0.45">
      <c r="A45">
        <v>44</v>
      </c>
      <c r="B45" s="8">
        <v>46966</v>
      </c>
      <c r="C45" t="s">
        <v>57</v>
      </c>
      <c r="D45">
        <v>22074</v>
      </c>
      <c r="E45">
        <v>315272.75210061693</v>
      </c>
      <c r="F45">
        <f t="shared" si="6"/>
        <v>378327.30252074031</v>
      </c>
      <c r="G45">
        <v>22074</v>
      </c>
      <c r="H45">
        <v>1.4695861498009</v>
      </c>
      <c r="I45">
        <v>3140.3015279089718</v>
      </c>
      <c r="J45">
        <v>5.8228128901928362E-2</v>
      </c>
      <c r="K45">
        <f t="shared" si="4"/>
        <v>383861.21353654773</v>
      </c>
      <c r="L45">
        <f t="shared" si="5"/>
        <v>-5533.9110158074182</v>
      </c>
      <c r="M45">
        <f t="shared" si="2"/>
        <v>1.0720888173309218</v>
      </c>
      <c r="V45">
        <v>20</v>
      </c>
      <c r="W45">
        <v>330380.53034530242</v>
      </c>
      <c r="X45">
        <v>14031.467453821504</v>
      </c>
      <c r="AH45">
        <v>18</v>
      </c>
      <c r="AI45">
        <v>342666.56893815327</v>
      </c>
      <c r="AJ45">
        <v>-2681.2201088792644</v>
      </c>
      <c r="AX45">
        <v>15</v>
      </c>
      <c r="AY45">
        <v>358582.26459384104</v>
      </c>
      <c r="AZ45">
        <v>4016.191035233438</v>
      </c>
    </row>
    <row r="46" spans="1:52" x14ac:dyDescent="0.45">
      <c r="A46">
        <v>45</v>
      </c>
      <c r="B46" s="8">
        <v>46997</v>
      </c>
      <c r="C46" t="s">
        <v>58</v>
      </c>
      <c r="D46">
        <v>22371</v>
      </c>
      <c r="E46">
        <v>341317.32228027371</v>
      </c>
      <c r="F46">
        <f t="shared" si="6"/>
        <v>409580.78673632845</v>
      </c>
      <c r="G46">
        <v>22371</v>
      </c>
      <c r="H46">
        <v>1.463135845372473</v>
      </c>
      <c r="I46">
        <v>6106.7762563667839</v>
      </c>
      <c r="J46">
        <v>5.4048646708102249E-2</v>
      </c>
      <c r="K46">
        <f t="shared" si="4"/>
        <v>402665.75913210935</v>
      </c>
      <c r="L46">
        <f t="shared" si="5"/>
        <v>6915.0276042190962</v>
      </c>
      <c r="M46">
        <f t="shared" si="2"/>
        <v>1.3396535912560612</v>
      </c>
      <c r="V46">
        <v>21</v>
      </c>
      <c r="W46">
        <v>331145.5055749396</v>
      </c>
      <c r="X46">
        <v>29942.984972701874</v>
      </c>
      <c r="AH46">
        <v>19</v>
      </c>
      <c r="AI46">
        <v>344909.75869122468</v>
      </c>
      <c r="AJ46">
        <v>2025.8902335852035</v>
      </c>
      <c r="AX46">
        <v>16</v>
      </c>
      <c r="AY46">
        <v>364752.27848178387</v>
      </c>
      <c r="AZ46">
        <v>-2840.7358128360938</v>
      </c>
    </row>
    <row r="47" spans="1:52" x14ac:dyDescent="0.45">
      <c r="A47">
        <v>46</v>
      </c>
      <c r="B47" s="8">
        <v>47027</v>
      </c>
      <c r="C47" t="s">
        <v>59</v>
      </c>
      <c r="D47">
        <v>22310</v>
      </c>
      <c r="E47">
        <v>327284.83021599439</v>
      </c>
      <c r="F47">
        <f t="shared" si="6"/>
        <v>392741.79625919327</v>
      </c>
      <c r="G47">
        <v>22310</v>
      </c>
      <c r="H47">
        <v>1.6183493556417301</v>
      </c>
      <c r="I47">
        <v>2086.3324491783801</v>
      </c>
      <c r="J47">
        <v>5.2070071256290013E-2</v>
      </c>
      <c r="K47">
        <f t="shared" si="4"/>
        <v>392832.43738944549</v>
      </c>
      <c r="L47">
        <f t="shared" si="5"/>
        <v>-90.641130252217408</v>
      </c>
      <c r="M47">
        <f t="shared" si="2"/>
        <v>1.7559975550036553E-2</v>
      </c>
      <c r="V47">
        <v>22</v>
      </c>
      <c r="W47">
        <v>330789.89546818938</v>
      </c>
      <c r="X47">
        <v>2206.6211647843011</v>
      </c>
      <c r="AH47">
        <v>20</v>
      </c>
      <c r="AI47">
        <v>349214.87033853354</v>
      </c>
      <c r="AJ47">
        <v>-4802.8725394096109</v>
      </c>
      <c r="AX47">
        <v>17</v>
      </c>
      <c r="AY47">
        <v>354950.79215358227</v>
      </c>
      <c r="AZ47">
        <v>5327.0982845676481</v>
      </c>
    </row>
    <row r="48" spans="1:52" x14ac:dyDescent="0.45">
      <c r="A48">
        <v>47</v>
      </c>
      <c r="B48" s="8">
        <v>47058</v>
      </c>
      <c r="C48" t="s">
        <v>60</v>
      </c>
      <c r="D48">
        <v>22473</v>
      </c>
      <c r="E48">
        <v>337044.93479684921</v>
      </c>
      <c r="F48">
        <f t="shared" si="6"/>
        <v>404453.92175621906</v>
      </c>
      <c r="G48">
        <v>22473</v>
      </c>
      <c r="H48">
        <v>1.6729455399776361</v>
      </c>
      <c r="I48">
        <v>2349.2915064456452</v>
      </c>
      <c r="J48">
        <v>5.6499668366292818E-2</v>
      </c>
      <c r="K48">
        <f t="shared" si="4"/>
        <v>397775.80424301332</v>
      </c>
      <c r="L48">
        <f t="shared" si="5"/>
        <v>6678.1175132057397</v>
      </c>
      <c r="M48">
        <f t="shared" si="2"/>
        <v>1.2937568179680992</v>
      </c>
      <c r="V48">
        <v>23</v>
      </c>
      <c r="W48">
        <v>330483.9053763345</v>
      </c>
      <c r="X48">
        <v>1413.46664472681</v>
      </c>
      <c r="AH48">
        <v>21</v>
      </c>
      <c r="AI48">
        <v>353406.68957407109</v>
      </c>
      <c r="AJ48">
        <v>7681.8009735703818</v>
      </c>
      <c r="AX48">
        <v>18</v>
      </c>
      <c r="AY48">
        <v>345255.72219852562</v>
      </c>
      <c r="AZ48">
        <v>-5270.3733692516107</v>
      </c>
    </row>
    <row r="49" spans="1:52" x14ac:dyDescent="0.45">
      <c r="A49">
        <v>48</v>
      </c>
      <c r="B49" s="8">
        <v>47088</v>
      </c>
      <c r="C49" t="s">
        <v>61</v>
      </c>
      <c r="D49">
        <v>22343</v>
      </c>
      <c r="E49">
        <v>326287.56173089979</v>
      </c>
      <c r="F49">
        <f t="shared" si="6"/>
        <v>391545.07407707971</v>
      </c>
      <c r="G49">
        <v>22343</v>
      </c>
      <c r="H49">
        <v>1.6699001815615311</v>
      </c>
      <c r="I49">
        <v>1933.0346045057479</v>
      </c>
      <c r="J49">
        <v>5.606735823770486E-2</v>
      </c>
      <c r="K49">
        <f t="shared" si="4"/>
        <v>394179.780256194</v>
      </c>
      <c r="L49">
        <f t="shared" si="5"/>
        <v>-2634.7061791142914</v>
      </c>
      <c r="M49">
        <f t="shared" si="2"/>
        <v>0.51042364496151849</v>
      </c>
      <c r="V49">
        <v>24</v>
      </c>
      <c r="W49">
        <v>331050.4005463901</v>
      </c>
      <c r="X49">
        <v>-3679.5836920178845</v>
      </c>
      <c r="AH49">
        <v>22</v>
      </c>
      <c r="AI49">
        <v>351458.06009160494</v>
      </c>
      <c r="AJ49">
        <v>-18461.543458631262</v>
      </c>
      <c r="AX49">
        <v>19</v>
      </c>
      <c r="AY49">
        <v>349898.97437949292</v>
      </c>
      <c r="AZ49">
        <v>-2963.3254546830431</v>
      </c>
    </row>
    <row r="50" spans="1:52" x14ac:dyDescent="0.45">
      <c r="A50">
        <v>49</v>
      </c>
      <c r="B50" s="8">
        <v>47119</v>
      </c>
      <c r="C50" t="s">
        <v>62</v>
      </c>
      <c r="D50">
        <v>22634</v>
      </c>
      <c r="E50">
        <v>353604.59258348448</v>
      </c>
      <c r="F50">
        <f t="shared" si="6"/>
        <v>424325.51110018138</v>
      </c>
      <c r="G50">
        <v>22634</v>
      </c>
      <c r="H50">
        <v>1.6689433318425051</v>
      </c>
      <c r="I50">
        <v>5169.1190187473376</v>
      </c>
      <c r="J50">
        <v>5.0532510537764731E-2</v>
      </c>
      <c r="K50">
        <f t="shared" si="4"/>
        <v>414998.48766423634</v>
      </c>
      <c r="L50">
        <f t="shared" si="5"/>
        <v>9327.0234359450405</v>
      </c>
      <c r="M50">
        <f t="shared" si="2"/>
        <v>1.8069313901320672</v>
      </c>
      <c r="V50">
        <v>25</v>
      </c>
      <c r="W50">
        <v>331468.03567175963</v>
      </c>
      <c r="X50">
        <v>4185.7715885196812</v>
      </c>
      <c r="AH50">
        <v>23</v>
      </c>
      <c r="AI50">
        <v>349781.33239738992</v>
      </c>
      <c r="AJ50">
        <v>-17883.960376328614</v>
      </c>
      <c r="AX50">
        <v>20</v>
      </c>
      <c r="AY50">
        <v>340845.56765225553</v>
      </c>
      <c r="AZ50">
        <v>3566.4301468683989</v>
      </c>
    </row>
    <row r="51" spans="1:52" x14ac:dyDescent="0.45">
      <c r="A51">
        <v>50</v>
      </c>
      <c r="B51" s="8">
        <v>47150</v>
      </c>
      <c r="C51" t="s">
        <v>63</v>
      </c>
      <c r="D51">
        <v>22334</v>
      </c>
      <c r="E51">
        <v>328863.62250815018</v>
      </c>
      <c r="F51">
        <f t="shared" si="6"/>
        <v>394636.34700978018</v>
      </c>
      <c r="G51">
        <v>22334</v>
      </c>
      <c r="H51">
        <v>1.744251975724572</v>
      </c>
      <c r="I51">
        <v>2818.2565745891879</v>
      </c>
      <c r="J51">
        <v>5.780824197040476E-2</v>
      </c>
      <c r="K51">
        <f t="shared" si="4"/>
        <v>402103.42031261843</v>
      </c>
      <c r="L51">
        <f t="shared" si="5"/>
        <v>-7467.0733028382529</v>
      </c>
      <c r="M51">
        <f t="shared" si="2"/>
        <v>1.4466018270434988</v>
      </c>
      <c r="V51">
        <v>26</v>
      </c>
      <c r="W51">
        <v>331852.59078719886</v>
      </c>
      <c r="X51">
        <v>11520.077334928443</v>
      </c>
      <c r="AH51">
        <v>24</v>
      </c>
      <c r="AI51">
        <v>352885.54447992315</v>
      </c>
      <c r="AJ51">
        <v>-25514.727625550935</v>
      </c>
      <c r="AX51">
        <v>21</v>
      </c>
      <c r="AY51">
        <v>350760.74915828835</v>
      </c>
      <c r="AZ51">
        <v>10327.741389353119</v>
      </c>
    </row>
    <row r="52" spans="1:52" x14ac:dyDescent="0.45">
      <c r="A52">
        <v>51</v>
      </c>
      <c r="B52" s="8">
        <v>47178</v>
      </c>
      <c r="C52" t="s">
        <v>64</v>
      </c>
      <c r="D52">
        <v>22596</v>
      </c>
      <c r="E52">
        <v>338662.15075310739</v>
      </c>
      <c r="F52">
        <f t="shared" si="6"/>
        <v>406394.58090372884</v>
      </c>
      <c r="G52">
        <v>22596</v>
      </c>
      <c r="H52">
        <v>1.677230307196524</v>
      </c>
      <c r="I52">
        <v>3090.6077323037011</v>
      </c>
      <c r="J52">
        <v>5.4802690250755869E-2</v>
      </c>
      <c r="K52">
        <f t="shared" si="4"/>
        <v>403656.11928442813</v>
      </c>
      <c r="L52">
        <f t="shared" si="5"/>
        <v>2738.4616193007096</v>
      </c>
      <c r="M52">
        <f t="shared" si="2"/>
        <v>0.53052426581417222</v>
      </c>
      <c r="V52">
        <v>27</v>
      </c>
      <c r="W52">
        <v>331153.77557742217</v>
      </c>
      <c r="X52">
        <v>-19533.762430433359</v>
      </c>
      <c r="AH52">
        <v>25</v>
      </c>
      <c r="AI52">
        <v>355174.05119770311</v>
      </c>
      <c r="AJ52">
        <v>-19520.243937423802</v>
      </c>
      <c r="AX52">
        <v>22</v>
      </c>
      <c r="AY52">
        <v>329790.72401922446</v>
      </c>
      <c r="AZ52">
        <v>3205.7926137492177</v>
      </c>
    </row>
    <row r="53" spans="1:52" x14ac:dyDescent="0.45">
      <c r="A53">
        <v>52</v>
      </c>
      <c r="B53" s="8">
        <v>47209</v>
      </c>
      <c r="C53" t="s">
        <v>65</v>
      </c>
      <c r="D53">
        <v>22457</v>
      </c>
      <c r="E53">
        <v>328903.66617306479</v>
      </c>
      <c r="F53">
        <f t="shared" si="6"/>
        <v>394684.39940767776</v>
      </c>
      <c r="G53">
        <v>22457</v>
      </c>
      <c r="H53">
        <v>1.5933338235764281</v>
      </c>
      <c r="I53">
        <v>4052.750222256162</v>
      </c>
      <c r="J53">
        <v>5.6526620944902913E-2</v>
      </c>
      <c r="K53">
        <f t="shared" si="4"/>
        <v>400888.17327567993</v>
      </c>
      <c r="L53">
        <f t="shared" si="5"/>
        <v>-6203.7738680021721</v>
      </c>
      <c r="M53">
        <f t="shared" si="2"/>
        <v>1.2018618604702156</v>
      </c>
      <c r="V53">
        <v>28</v>
      </c>
      <c r="W53">
        <v>331100.02056128549</v>
      </c>
      <c r="X53">
        <v>-27342.912436895363</v>
      </c>
      <c r="AH53">
        <v>26</v>
      </c>
      <c r="AI53">
        <v>357281.29005664901</v>
      </c>
      <c r="AJ53">
        <v>-13908.621934521711</v>
      </c>
      <c r="AX53">
        <v>23</v>
      </c>
      <c r="AY53">
        <v>334255.48673300032</v>
      </c>
      <c r="AZ53">
        <v>-2358.114711939008</v>
      </c>
    </row>
    <row r="54" spans="1:52" x14ac:dyDescent="0.45">
      <c r="A54">
        <v>53</v>
      </c>
      <c r="B54" s="8">
        <v>47239</v>
      </c>
      <c r="C54" t="s">
        <v>66</v>
      </c>
      <c r="D54">
        <v>22551</v>
      </c>
      <c r="E54">
        <v>335203.19262481137</v>
      </c>
      <c r="F54">
        <f t="shared" si="6"/>
        <v>402243.83114977361</v>
      </c>
      <c r="G54">
        <v>22551</v>
      </c>
      <c r="H54">
        <v>1.688477505240594</v>
      </c>
      <c r="I54">
        <v>3719.7725919432901</v>
      </c>
      <c r="J54">
        <v>5.584525792076455E-2</v>
      </c>
      <c r="K54">
        <f t="shared" si="4"/>
        <v>406394.50582618167</v>
      </c>
      <c r="L54">
        <f t="shared" si="5"/>
        <v>-4150.6746764080599</v>
      </c>
      <c r="M54">
        <f t="shared" si="2"/>
        <v>0.80411338242425134</v>
      </c>
      <c r="V54">
        <v>29</v>
      </c>
      <c r="W54">
        <v>331302.63562210836</v>
      </c>
      <c r="X54">
        <v>-2501.8681521204417</v>
      </c>
      <c r="AH54">
        <v>27</v>
      </c>
      <c r="AI54">
        <v>353452.00653877959</v>
      </c>
      <c r="AJ54">
        <v>-41831.993391790777</v>
      </c>
      <c r="AX54">
        <v>24</v>
      </c>
      <c r="AY54">
        <v>325835.17730157857</v>
      </c>
      <c r="AZ54">
        <v>1535.6395527936402</v>
      </c>
    </row>
    <row r="55" spans="1:52" x14ac:dyDescent="0.45">
      <c r="A55">
        <v>54</v>
      </c>
      <c r="B55" s="8">
        <v>47270</v>
      </c>
      <c r="C55" t="s">
        <v>67</v>
      </c>
      <c r="D55">
        <v>22670</v>
      </c>
      <c r="E55">
        <v>319624.03179685719</v>
      </c>
      <c r="F55">
        <f t="shared" si="6"/>
        <v>383548.83815622859</v>
      </c>
      <c r="G55">
        <v>22670</v>
      </c>
      <c r="H55">
        <v>1.605863688679507</v>
      </c>
      <c r="I55">
        <v>-55.338211883130498</v>
      </c>
      <c r="J55">
        <v>5.4953757753703557E-2</v>
      </c>
      <c r="K55">
        <f t="shared" si="4"/>
        <v>385311.02276812453</v>
      </c>
      <c r="L55">
        <f t="shared" si="5"/>
        <v>-1762.1846118959365</v>
      </c>
      <c r="M55">
        <f t="shared" si="2"/>
        <v>0.34138937382436979</v>
      </c>
      <c r="V55">
        <v>30</v>
      </c>
      <c r="W55">
        <v>331707.86574375397</v>
      </c>
      <c r="X55">
        <v>-7391.940016694949</v>
      </c>
      <c r="AH55">
        <v>28</v>
      </c>
      <c r="AI55">
        <v>353157.44626817427</v>
      </c>
      <c r="AJ55">
        <v>-49400.338143784145</v>
      </c>
      <c r="AX55">
        <v>25</v>
      </c>
      <c r="AY55">
        <v>331958.6510603854</v>
      </c>
      <c r="AZ55">
        <v>3695.1561998939142</v>
      </c>
    </row>
    <row r="56" spans="1:52" x14ac:dyDescent="0.45">
      <c r="A56">
        <v>55</v>
      </c>
      <c r="B56" s="8">
        <v>47300</v>
      </c>
      <c r="C56" t="s">
        <v>68</v>
      </c>
      <c r="D56">
        <v>22802</v>
      </c>
      <c r="E56">
        <v>339592.15075522271</v>
      </c>
      <c r="F56">
        <f t="shared" si="6"/>
        <v>407510.58090626722</v>
      </c>
      <c r="G56">
        <v>22802</v>
      </c>
      <c r="H56">
        <v>1.566476015323075</v>
      </c>
      <c r="I56">
        <v>4043.6695899129122</v>
      </c>
      <c r="J56">
        <v>5.4911483386344738E-2</v>
      </c>
      <c r="K56">
        <f t="shared" si="4"/>
        <v>404033.50399332371</v>
      </c>
      <c r="L56">
        <f t="shared" si="5"/>
        <v>3477.0769129435066</v>
      </c>
      <c r="M56">
        <f t="shared" si="2"/>
        <v>0.67361677206555792</v>
      </c>
      <c r="V56">
        <v>31</v>
      </c>
      <c r="W56">
        <v>332952.50111737987</v>
      </c>
      <c r="X56">
        <v>-6268.743286717392</v>
      </c>
      <c r="AH56">
        <v>29</v>
      </c>
      <c r="AI56">
        <v>354267.71190353285</v>
      </c>
      <c r="AJ56">
        <v>-25466.944433544937</v>
      </c>
      <c r="AX56">
        <v>26</v>
      </c>
      <c r="AY56">
        <v>337041.6948631577</v>
      </c>
      <c r="AZ56">
        <v>6330.9732589696068</v>
      </c>
    </row>
    <row r="57" spans="1:52" x14ac:dyDescent="0.45">
      <c r="A57">
        <v>56</v>
      </c>
      <c r="B57" s="8">
        <v>47331</v>
      </c>
      <c r="C57" t="s">
        <v>69</v>
      </c>
      <c r="D57">
        <v>22657</v>
      </c>
      <c r="E57">
        <v>328215.4744466283</v>
      </c>
      <c r="F57">
        <f t="shared" si="6"/>
        <v>393858.56933595397</v>
      </c>
      <c r="G57">
        <v>22657</v>
      </c>
      <c r="H57">
        <v>1.5230523094446391</v>
      </c>
      <c r="I57">
        <v>4194.7936851222184</v>
      </c>
      <c r="J57">
        <v>5.6011708998283838E-2</v>
      </c>
      <c r="K57">
        <f t="shared" si="4"/>
        <v>399986.97900159756</v>
      </c>
      <c r="L57">
        <f t="shared" si="5"/>
        <v>-6128.4096656435868</v>
      </c>
      <c r="M57">
        <f t="shared" si="2"/>
        <v>1.1872614958555858</v>
      </c>
      <c r="V57">
        <v>32</v>
      </c>
      <c r="W57">
        <v>333254.35620799346</v>
      </c>
      <c r="X57">
        <v>3847.5090654665255</v>
      </c>
      <c r="AH57">
        <v>30</v>
      </c>
      <c r="AI57">
        <v>356488.24317425</v>
      </c>
      <c r="AJ57">
        <v>-32172.317447190988</v>
      </c>
      <c r="AX57">
        <v>27</v>
      </c>
      <c r="AY57">
        <v>316213.52215070924</v>
      </c>
      <c r="AZ57">
        <v>-4593.5090037204209</v>
      </c>
    </row>
    <row r="58" spans="1:52" x14ac:dyDescent="0.45">
      <c r="A58">
        <v>57</v>
      </c>
      <c r="B58" s="8">
        <v>47362</v>
      </c>
      <c r="C58" t="s">
        <v>70</v>
      </c>
      <c r="D58">
        <v>22945</v>
      </c>
      <c r="E58">
        <v>335742.3666355359</v>
      </c>
      <c r="F58">
        <f t="shared" si="6"/>
        <v>402890.83996264305</v>
      </c>
      <c r="G58">
        <v>22945</v>
      </c>
      <c r="H58">
        <v>1.451283542652525</v>
      </c>
      <c r="I58">
        <v>3533.430967509672</v>
      </c>
      <c r="J58">
        <v>4.9302711768806462E-2</v>
      </c>
      <c r="K58">
        <f t="shared" si="4"/>
        <v>398454.31088118802</v>
      </c>
      <c r="L58">
        <f t="shared" si="5"/>
        <v>4436.5290814550244</v>
      </c>
      <c r="M58">
        <f t="shared" si="2"/>
        <v>0.85949217513707243</v>
      </c>
      <c r="V58">
        <v>33</v>
      </c>
      <c r="W58">
        <v>333043.47114468808</v>
      </c>
      <c r="X58">
        <v>-5805.3524561572704</v>
      </c>
      <c r="AH58">
        <v>31</v>
      </c>
      <c r="AI58">
        <v>363308.4463628814</v>
      </c>
      <c r="AJ58">
        <v>-36624.688532218919</v>
      </c>
      <c r="AX58">
        <v>28</v>
      </c>
      <c r="AY58">
        <v>312024.57416327519</v>
      </c>
      <c r="AZ58">
        <v>-8267.4660388850607</v>
      </c>
    </row>
    <row r="59" spans="1:52" x14ac:dyDescent="0.45">
      <c r="A59">
        <v>58</v>
      </c>
      <c r="B59" s="8">
        <v>47392</v>
      </c>
      <c r="C59" t="s">
        <v>71</v>
      </c>
      <c r="D59">
        <v>22804</v>
      </c>
      <c r="E59">
        <v>327123.82364951231</v>
      </c>
      <c r="F59">
        <f t="shared" si="6"/>
        <v>392548.58837941475</v>
      </c>
      <c r="G59">
        <v>22804</v>
      </c>
      <c r="H59">
        <v>1.315567199467258</v>
      </c>
      <c r="I59">
        <v>5462.9580912795718</v>
      </c>
      <c r="J59">
        <v>5.2397721529908341E-2</v>
      </c>
      <c r="K59">
        <f t="shared" si="4"/>
        <v>396665.32190080686</v>
      </c>
      <c r="L59">
        <f t="shared" si="5"/>
        <v>-4116.7335213921033</v>
      </c>
      <c r="M59">
        <f t="shared" si="2"/>
        <v>0.79753793648087401</v>
      </c>
      <c r="V59">
        <v>34</v>
      </c>
      <c r="W59">
        <v>332778.83106524602</v>
      </c>
      <c r="X59">
        <v>-13064.360806654033</v>
      </c>
      <c r="AH59">
        <v>32</v>
      </c>
      <c r="AI59">
        <v>364962.51557474217</v>
      </c>
      <c r="AJ59">
        <v>-27860.650301282178</v>
      </c>
      <c r="AX59">
        <v>29</v>
      </c>
      <c r="AY59">
        <v>336820.41227065783</v>
      </c>
      <c r="AZ59">
        <v>-8019.6448006699211</v>
      </c>
    </row>
    <row r="60" spans="1:52" x14ac:dyDescent="0.45">
      <c r="A60">
        <v>59</v>
      </c>
      <c r="B60" s="8">
        <v>47423</v>
      </c>
      <c r="C60" t="s">
        <v>72</v>
      </c>
      <c r="D60">
        <v>22844</v>
      </c>
      <c r="E60">
        <v>321078.57408330421</v>
      </c>
      <c r="F60">
        <f t="shared" si="6"/>
        <v>385294.28889996506</v>
      </c>
      <c r="G60">
        <v>22844</v>
      </c>
      <c r="H60">
        <v>1.291789178982129</v>
      </c>
      <c r="I60">
        <v>4156.7975551278396</v>
      </c>
      <c r="J60">
        <v>4.7928159862084117E-2</v>
      </c>
      <c r="K60">
        <f t="shared" si="4"/>
        <v>391116.38070681598</v>
      </c>
      <c r="L60">
        <f t="shared" si="5"/>
        <v>-5822.09180685092</v>
      </c>
      <c r="M60">
        <f t="shared" si="2"/>
        <v>1.1279183025837196</v>
      </c>
      <c r="V60">
        <v>35</v>
      </c>
      <c r="W60">
        <v>333419.75625764474</v>
      </c>
      <c r="X60">
        <v>5363.6438842943753</v>
      </c>
      <c r="AH60">
        <v>33</v>
      </c>
      <c r="AI60">
        <v>363806.93297467503</v>
      </c>
      <c r="AJ60">
        <v>-36568.814286144217</v>
      </c>
      <c r="AX60">
        <v>30</v>
      </c>
      <c r="AY60">
        <v>330049.73740940698</v>
      </c>
      <c r="AZ60">
        <v>-5733.811682347965</v>
      </c>
    </row>
    <row r="61" spans="1:52" x14ac:dyDescent="0.45">
      <c r="A61">
        <v>60</v>
      </c>
      <c r="B61" s="8">
        <v>47453</v>
      </c>
      <c r="C61" t="s">
        <v>73</v>
      </c>
      <c r="D61">
        <v>22898</v>
      </c>
      <c r="E61">
        <v>320297.99263633991</v>
      </c>
      <c r="F61">
        <f t="shared" si="6"/>
        <v>384357.5911636079</v>
      </c>
      <c r="G61">
        <v>22898</v>
      </c>
      <c r="H61">
        <v>1.177564033578919</v>
      </c>
      <c r="I61">
        <v>5302.4706848685837</v>
      </c>
      <c r="J61">
        <v>5.2702489229737158E-2</v>
      </c>
      <c r="K61">
        <f t="shared" si="4"/>
        <v>388687.76909771067</v>
      </c>
      <c r="L61">
        <f t="shared" si="5"/>
        <v>-4330.1779341027723</v>
      </c>
      <c r="M61">
        <f t="shared" si="2"/>
        <v>0.83888868594815391</v>
      </c>
      <c r="V61">
        <v>36</v>
      </c>
      <c r="W61">
        <v>333791.90636936016</v>
      </c>
      <c r="X61">
        <v>8827.5140929981135</v>
      </c>
      <c r="AH61">
        <v>34</v>
      </c>
      <c r="AI61">
        <v>362356.79010400258</v>
      </c>
      <c r="AJ61">
        <v>-42642.319845410588</v>
      </c>
      <c r="AX61">
        <v>31</v>
      </c>
      <c r="AY61">
        <v>320808.28228745086</v>
      </c>
      <c r="AZ61">
        <v>5875.4755432116217</v>
      </c>
    </row>
    <row r="62" spans="1:52" x14ac:dyDescent="0.45">
      <c r="V62">
        <v>37</v>
      </c>
      <c r="W62">
        <v>333171.65618316783</v>
      </c>
      <c r="X62">
        <v>-44596.8374470782</v>
      </c>
      <c r="AH62">
        <v>35</v>
      </c>
      <c r="AI62">
        <v>365868.85486891243</v>
      </c>
      <c r="AJ62">
        <v>-27085.454726973316</v>
      </c>
      <c r="AX62">
        <v>32</v>
      </c>
      <c r="AY62">
        <v>328476.64251120121</v>
      </c>
      <c r="AZ62">
        <v>8625.2227622587816</v>
      </c>
    </row>
    <row r="63" spans="1:52" x14ac:dyDescent="0.45">
      <c r="V63">
        <v>38</v>
      </c>
      <c r="W63">
        <v>333709.20634453453</v>
      </c>
      <c r="X63">
        <v>-45977.548988540599</v>
      </c>
      <c r="AH63">
        <v>36</v>
      </c>
      <c r="AI63">
        <v>367908.11828079558</v>
      </c>
      <c r="AJ63">
        <v>-25288.6978184373</v>
      </c>
      <c r="AX63">
        <v>33</v>
      </c>
      <c r="AY63">
        <v>324753.59282661288</v>
      </c>
      <c r="AZ63">
        <v>2484.5258619179367</v>
      </c>
    </row>
    <row r="64" spans="1:52" x14ac:dyDescent="0.45">
      <c r="V64">
        <v>39</v>
      </c>
      <c r="W64">
        <v>334515.53158658452</v>
      </c>
      <c r="X64">
        <v>-27859.497335734428</v>
      </c>
      <c r="AH64">
        <v>37</v>
      </c>
      <c r="AI64">
        <v>364509.34592765704</v>
      </c>
      <c r="AJ64">
        <v>-18219.563444349507</v>
      </c>
      <c r="AX64">
        <v>34</v>
      </c>
      <c r="AY64">
        <v>323664.56295954977</v>
      </c>
      <c r="AZ64">
        <v>-3950.0927009577863</v>
      </c>
    </row>
    <row r="65" spans="22:52" x14ac:dyDescent="0.45">
      <c r="V65">
        <v>40</v>
      </c>
      <c r="W65">
        <v>334337.72653320938</v>
      </c>
      <c r="X65">
        <v>-30492.252073504496</v>
      </c>
      <c r="AH65">
        <v>38</v>
      </c>
      <c r="AI65">
        <v>367454.94863371045</v>
      </c>
      <c r="AJ65">
        <v>-22176.959806517756</v>
      </c>
      <c r="AX65">
        <v>35</v>
      </c>
      <c r="AY65">
        <v>336858.12766089023</v>
      </c>
      <c r="AZ65">
        <v>1925.2724810488871</v>
      </c>
    </row>
    <row r="66" spans="22:52" x14ac:dyDescent="0.45">
      <c r="V66">
        <v>41</v>
      </c>
      <c r="W66">
        <v>334226.08149969473</v>
      </c>
      <c r="X66">
        <v>-31692.617446043529</v>
      </c>
      <c r="AH66">
        <v>39</v>
      </c>
      <c r="AI66">
        <v>371873.35269279056</v>
      </c>
      <c r="AJ66">
        <v>-3886.1115917703719</v>
      </c>
      <c r="AX66">
        <v>36</v>
      </c>
      <c r="AY66">
        <v>338703.03725485574</v>
      </c>
      <c r="AZ66">
        <v>3916.3832075025421</v>
      </c>
    </row>
    <row r="67" spans="22:52" x14ac:dyDescent="0.45">
      <c r="V67">
        <v>42</v>
      </c>
      <c r="W67">
        <v>334784.30666726781</v>
      </c>
      <c r="X67">
        <v>-9461.1705033081817</v>
      </c>
      <c r="AH67">
        <v>40</v>
      </c>
      <c r="AI67">
        <v>370899.03795155749</v>
      </c>
      <c r="AJ67">
        <v>-6284.4685999116045</v>
      </c>
      <c r="AX67">
        <v>37</v>
      </c>
      <c r="AY67">
        <v>352328.85570599366</v>
      </c>
      <c r="AZ67">
        <v>-6039.0732226861292</v>
      </c>
    </row>
    <row r="68" spans="22:52" x14ac:dyDescent="0.45">
      <c r="V68">
        <v>43</v>
      </c>
      <c r="W68">
        <v>334796.71167099167</v>
      </c>
      <c r="X68">
        <v>-23092.107715399063</v>
      </c>
      <c r="AH68">
        <v>41</v>
      </c>
      <c r="AI68">
        <v>370287.25892799255</v>
      </c>
      <c r="AJ68">
        <v>-7247.1020636111498</v>
      </c>
      <c r="AX68">
        <v>38</v>
      </c>
      <c r="AY68">
        <v>347405.10598379909</v>
      </c>
      <c r="AZ68">
        <v>-2127.1171566064004</v>
      </c>
    </row>
    <row r="69" spans="22:52" x14ac:dyDescent="0.45">
      <c r="V69">
        <v>44</v>
      </c>
      <c r="W69">
        <v>334660.25663002935</v>
      </c>
      <c r="X69">
        <v>-19387.504529412428</v>
      </c>
      <c r="AH69">
        <v>42</v>
      </c>
      <c r="AI69">
        <v>373346.15404581727</v>
      </c>
      <c r="AJ69">
        <v>17041.609350934217</v>
      </c>
      <c r="AX69">
        <v>39</v>
      </c>
      <c r="AY69">
        <v>362813.83105085808</v>
      </c>
      <c r="AZ69">
        <v>5173.4100501621142</v>
      </c>
    </row>
    <row r="70" spans="22:52" x14ac:dyDescent="0.45">
      <c r="V70">
        <v>45</v>
      </c>
      <c r="W70">
        <v>335888.35199869017</v>
      </c>
      <c r="X70">
        <v>5428.9702815835481</v>
      </c>
      <c r="AH70">
        <v>43</v>
      </c>
      <c r="AI70">
        <v>373414.12949288002</v>
      </c>
      <c r="AJ70">
        <v>631.39525383099681</v>
      </c>
      <c r="AX70">
        <v>40</v>
      </c>
      <c r="AY70">
        <v>363412.19689152756</v>
      </c>
      <c r="AZ70">
        <v>1202.3724601183203</v>
      </c>
    </row>
    <row r="71" spans="22:52" x14ac:dyDescent="0.45">
      <c r="V71">
        <v>46</v>
      </c>
      <c r="W71">
        <v>335636.11692297191</v>
      </c>
      <c r="X71">
        <v>-8351.2867069775239</v>
      </c>
      <c r="AH71">
        <v>44</v>
      </c>
      <c r="AI71">
        <v>372666.39957518951</v>
      </c>
      <c r="AJ71">
        <v>5660.9029455506825</v>
      </c>
      <c r="AX71">
        <v>41</v>
      </c>
      <c r="AY71">
        <v>366457.40228745295</v>
      </c>
      <c r="AZ71">
        <v>-3417.2454230715521</v>
      </c>
    </row>
    <row r="72" spans="22:52" x14ac:dyDescent="0.45">
      <c r="V72">
        <v>47</v>
      </c>
      <c r="W72">
        <v>336310.12212530093</v>
      </c>
      <c r="X72">
        <v>734.81267154827947</v>
      </c>
      <c r="AH72">
        <v>45</v>
      </c>
      <c r="AI72">
        <v>379395.96883440384</v>
      </c>
      <c r="AJ72">
        <v>30184.817901924544</v>
      </c>
      <c r="AX72">
        <v>42</v>
      </c>
      <c r="AY72">
        <v>389073.72893406666</v>
      </c>
      <c r="AZ72">
        <v>1314.0344626848237</v>
      </c>
    </row>
    <row r="73" spans="22:52" x14ac:dyDescent="0.45">
      <c r="V73">
        <v>48</v>
      </c>
      <c r="W73">
        <v>335772.57196393423</v>
      </c>
      <c r="X73">
        <v>-9485.010233034438</v>
      </c>
      <c r="AH73">
        <v>46</v>
      </c>
      <c r="AI73">
        <v>378013.8014107942</v>
      </c>
      <c r="AJ73">
        <v>14727.994848399016</v>
      </c>
      <c r="AX73">
        <v>43</v>
      </c>
      <c r="AY73">
        <v>376004.1552338617</v>
      </c>
      <c r="AZ73">
        <v>-1958.6304871506873</v>
      </c>
    </row>
    <row r="74" spans="22:52" x14ac:dyDescent="0.45">
      <c r="V74">
        <v>49</v>
      </c>
      <c r="W74">
        <v>336975.85732514731</v>
      </c>
      <c r="X74">
        <v>16628.735258337168</v>
      </c>
      <c r="AH74">
        <v>47</v>
      </c>
      <c r="AI74">
        <v>381707.13403453806</v>
      </c>
      <c r="AJ74">
        <v>22746.787721681059</v>
      </c>
      <c r="AX74">
        <v>44</v>
      </c>
      <c r="AY74">
        <v>383861.21353654773</v>
      </c>
      <c r="AZ74">
        <v>-5533.9110158075346</v>
      </c>
    </row>
    <row r="75" spans="22:52" x14ac:dyDescent="0.45">
      <c r="V75">
        <v>50</v>
      </c>
      <c r="W75">
        <v>335735.3569527627</v>
      </c>
      <c r="X75">
        <v>-6871.7344446125207</v>
      </c>
      <c r="AH75">
        <v>48</v>
      </c>
      <c r="AI75">
        <v>378761.53132848465</v>
      </c>
      <c r="AJ75">
        <v>12783.542748595064</v>
      </c>
      <c r="AX75">
        <v>45</v>
      </c>
      <c r="AY75">
        <v>402665.75913210935</v>
      </c>
      <c r="AZ75">
        <v>6915.027604219038</v>
      </c>
    </row>
    <row r="76" spans="22:52" x14ac:dyDescent="0.45">
      <c r="V76">
        <v>51</v>
      </c>
      <c r="W76">
        <v>336818.72727797861</v>
      </c>
      <c r="X76">
        <v>1843.4234751287731</v>
      </c>
      <c r="AH76">
        <v>49</v>
      </c>
      <c r="AI76">
        <v>385355.14969357348</v>
      </c>
      <c r="AJ76">
        <v>38970.361406607903</v>
      </c>
      <c r="AX76">
        <v>46</v>
      </c>
      <c r="AY76">
        <v>392832.43738944549</v>
      </c>
      <c r="AZ76">
        <v>-90.641130252275616</v>
      </c>
    </row>
    <row r="77" spans="22:52" x14ac:dyDescent="0.45">
      <c r="V77">
        <v>52</v>
      </c>
      <c r="W77">
        <v>336243.96210544038</v>
      </c>
      <c r="X77">
        <v>-7340.2959323755931</v>
      </c>
      <c r="AH77">
        <v>50</v>
      </c>
      <c r="AI77">
        <v>378557.60498729633</v>
      </c>
      <c r="AJ77">
        <v>16078.742022483842</v>
      </c>
      <c r="AX77">
        <v>47</v>
      </c>
      <c r="AY77">
        <v>397775.80424301332</v>
      </c>
      <c r="AZ77">
        <v>6678.1175132057979</v>
      </c>
    </row>
    <row r="78" spans="22:52" x14ac:dyDescent="0.45">
      <c r="V78">
        <v>53</v>
      </c>
      <c r="W78">
        <v>336632.6522221209</v>
      </c>
      <c r="X78">
        <v>-1429.4595973095275</v>
      </c>
      <c r="AH78">
        <v>51</v>
      </c>
      <c r="AI78">
        <v>384494.12736411171</v>
      </c>
      <c r="AJ78">
        <v>21900.453539617069</v>
      </c>
      <c r="AX78">
        <v>48</v>
      </c>
      <c r="AY78">
        <v>394179.780256194</v>
      </c>
      <c r="AZ78">
        <v>-2634.7061791142914</v>
      </c>
    </row>
    <row r="79" spans="22:52" x14ac:dyDescent="0.45">
      <c r="V79">
        <v>54</v>
      </c>
      <c r="W79">
        <v>337124.7173698335</v>
      </c>
      <c r="X79">
        <v>-17500.685572976305</v>
      </c>
      <c r="AH79">
        <v>52</v>
      </c>
      <c r="AI79">
        <v>381344.59831686999</v>
      </c>
      <c r="AJ79">
        <v>13339.801090807712</v>
      </c>
      <c r="AX79">
        <v>49</v>
      </c>
      <c r="AY79">
        <v>414998.48766423634</v>
      </c>
      <c r="AZ79">
        <v>9327.0234359450405</v>
      </c>
    </row>
    <row r="80" spans="22:52" x14ac:dyDescent="0.45">
      <c r="V80">
        <v>55</v>
      </c>
      <c r="W80">
        <v>337670.53753368271</v>
      </c>
      <c r="X80">
        <v>1921.6132215399994</v>
      </c>
      <c r="AH80">
        <v>53</v>
      </c>
      <c r="AI80">
        <v>383474.49565817014</v>
      </c>
      <c r="AJ80">
        <v>18769.335491603473</v>
      </c>
      <c r="AX80">
        <v>50</v>
      </c>
      <c r="AY80">
        <v>402103.42031261843</v>
      </c>
      <c r="AZ80">
        <v>-7467.0733028382529</v>
      </c>
    </row>
    <row r="81" spans="22:52" x14ac:dyDescent="0.45">
      <c r="V81">
        <v>56</v>
      </c>
      <c r="W81">
        <v>337070.96235369681</v>
      </c>
      <c r="X81">
        <v>-8855.4879070685129</v>
      </c>
      <c r="AH81">
        <v>54</v>
      </c>
      <c r="AI81">
        <v>386170.85505832674</v>
      </c>
      <c r="AJ81">
        <v>-2622.0169020980247</v>
      </c>
      <c r="AX81">
        <v>51</v>
      </c>
      <c r="AY81">
        <v>403656.11928442813</v>
      </c>
      <c r="AZ81">
        <v>2738.4616193006514</v>
      </c>
    </row>
    <row r="82" spans="22:52" x14ac:dyDescent="0.45">
      <c r="V82">
        <v>57</v>
      </c>
      <c r="W82">
        <v>338261.84271118604</v>
      </c>
      <c r="X82">
        <v>-2519.4760756501346</v>
      </c>
      <c r="AH82">
        <v>55</v>
      </c>
      <c r="AI82">
        <v>389161.77472908865</v>
      </c>
      <c r="AJ82">
        <v>18348.806177178572</v>
      </c>
      <c r="AX82">
        <v>52</v>
      </c>
      <c r="AY82">
        <v>400888.17327567993</v>
      </c>
      <c r="AZ82">
        <v>-6203.7738680022303</v>
      </c>
    </row>
    <row r="83" spans="22:52" x14ac:dyDescent="0.45">
      <c r="V83">
        <v>58</v>
      </c>
      <c r="W83">
        <v>337678.80753616529</v>
      </c>
      <c r="X83">
        <v>-10554.983886652975</v>
      </c>
      <c r="AH83">
        <v>56</v>
      </c>
      <c r="AI83">
        <v>385876.29478772136</v>
      </c>
      <c r="AJ83">
        <v>7982.2745482325554</v>
      </c>
      <c r="AX83">
        <v>53</v>
      </c>
      <c r="AY83">
        <v>406394.50582618167</v>
      </c>
      <c r="AZ83">
        <v>-4150.6746764080599</v>
      </c>
    </row>
    <row r="84" spans="22:52" x14ac:dyDescent="0.45">
      <c r="V84">
        <v>59</v>
      </c>
      <c r="W84">
        <v>337844.20758581656</v>
      </c>
      <c r="X84">
        <v>-16765.633502512355</v>
      </c>
      <c r="AH84">
        <v>57</v>
      </c>
      <c r="AI84">
        <v>392401.93770574738</v>
      </c>
      <c r="AJ84">
        <v>10488.902256895613</v>
      </c>
      <c r="AX84">
        <v>54</v>
      </c>
      <c r="AY84">
        <v>385311.02276812453</v>
      </c>
      <c r="AZ84">
        <v>-1762.1846118958201</v>
      </c>
    </row>
    <row r="85" spans="22:52" ht="14.65" thickBot="1" x14ac:dyDescent="0.5">
      <c r="V85" s="2">
        <v>60</v>
      </c>
      <c r="W85" s="2">
        <v>338067.49765284581</v>
      </c>
      <c r="X85" s="2">
        <v>-17769.505016505893</v>
      </c>
      <c r="AH85">
        <v>58</v>
      </c>
      <c r="AI85">
        <v>389207.09169379715</v>
      </c>
      <c r="AJ85">
        <v>3341.4966856176616</v>
      </c>
      <c r="AX85">
        <v>55</v>
      </c>
      <c r="AY85">
        <v>404033.50399332371</v>
      </c>
      <c r="AZ85">
        <v>3477.0769129435066</v>
      </c>
    </row>
    <row r="86" spans="22:52" x14ac:dyDescent="0.45">
      <c r="AH86">
        <v>59</v>
      </c>
      <c r="AI86">
        <v>390113.43098796741</v>
      </c>
      <c r="AJ86">
        <v>-4819.1420880024089</v>
      </c>
      <c r="AX86">
        <v>56</v>
      </c>
      <c r="AY86">
        <v>399986.97900159756</v>
      </c>
      <c r="AZ86">
        <v>-6128.409665643645</v>
      </c>
    </row>
    <row r="87" spans="22:52" ht="14.65" thickBot="1" x14ac:dyDescent="0.5">
      <c r="AH87" s="2">
        <v>60</v>
      </c>
      <c r="AI87" s="2">
        <v>391336.9890350973</v>
      </c>
      <c r="AJ87" s="2">
        <v>-6979.3978714894038</v>
      </c>
      <c r="AX87">
        <v>57</v>
      </c>
      <c r="AY87">
        <v>398454.31088118802</v>
      </c>
      <c r="AZ87">
        <v>4436.5290814549662</v>
      </c>
    </row>
    <row r="88" spans="22:52" x14ac:dyDescent="0.45">
      <c r="AX88">
        <v>58</v>
      </c>
      <c r="AY88">
        <v>396665.32190080686</v>
      </c>
      <c r="AZ88">
        <v>-4116.7335213920451</v>
      </c>
    </row>
    <row r="89" spans="22:52" x14ac:dyDescent="0.45">
      <c r="AX89">
        <v>59</v>
      </c>
      <c r="AY89">
        <v>391116.38070681598</v>
      </c>
      <c r="AZ89">
        <v>-5822.0918068509782</v>
      </c>
    </row>
    <row r="90" spans="22:52" ht="14.65" thickBot="1" x14ac:dyDescent="0.5">
      <c r="AX90" s="2">
        <v>60</v>
      </c>
      <c r="AY90" s="2">
        <v>388687.76909771067</v>
      </c>
      <c r="AZ90" s="2">
        <v>-4330.1779341027723</v>
      </c>
    </row>
  </sheetData>
  <conditionalFormatting sqref="M2:M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opLeftCell="A4" workbookViewId="0">
      <selection activeCell="B16" sqref="B16"/>
    </sheetView>
  </sheetViews>
  <sheetFormatPr defaultRowHeight="14.25" x14ac:dyDescent="0.45"/>
  <cols>
    <col min="1" max="1" width="19.6640625" bestFit="1" customWidth="1"/>
    <col min="2" max="2" width="49.79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6" t="s">
        <v>117</v>
      </c>
      <c r="B2" s="6" t="s">
        <v>120</v>
      </c>
    </row>
    <row r="3" spans="1:2" x14ac:dyDescent="0.45">
      <c r="A3" t="s">
        <v>2</v>
      </c>
      <c r="B3" t="s">
        <v>12</v>
      </c>
    </row>
    <row r="4" spans="1:2" x14ac:dyDescent="0.45">
      <c r="A4" t="s">
        <v>3</v>
      </c>
      <c r="B4" t="s">
        <v>13</v>
      </c>
    </row>
    <row r="5" spans="1:2" x14ac:dyDescent="0.45">
      <c r="A5" t="s">
        <v>4</v>
      </c>
      <c r="B5" t="s">
        <v>119</v>
      </c>
    </row>
    <row r="6" spans="1:2" x14ac:dyDescent="0.45">
      <c r="A6" t="s">
        <v>7</v>
      </c>
      <c r="B6" t="s">
        <v>118</v>
      </c>
    </row>
    <row r="7" spans="1:2" x14ac:dyDescent="0.45">
      <c r="A7" t="s">
        <v>9</v>
      </c>
      <c r="B7" t="s">
        <v>123</v>
      </c>
    </row>
    <row r="8" spans="1:2" x14ac:dyDescent="0.45">
      <c r="A8" t="s">
        <v>10</v>
      </c>
      <c r="B8" t="s">
        <v>121</v>
      </c>
    </row>
    <row r="9" spans="1:2" x14ac:dyDescent="0.45">
      <c r="A9" t="s">
        <v>11</v>
      </c>
      <c r="B9" t="s">
        <v>122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1"/>
  <sheetViews>
    <sheetView tabSelected="1" workbookViewId="0">
      <selection activeCell="U32" sqref="U32"/>
    </sheetView>
  </sheetViews>
  <sheetFormatPr defaultRowHeight="14.25" x14ac:dyDescent="0.45"/>
  <cols>
    <col min="2" max="2" width="9.19921875" style="8" bestFit="1" customWidth="1"/>
    <col min="3" max="3" width="8.53125" bestFit="1" customWidth="1"/>
    <col min="4" max="4" width="17.46484375" bestFit="1" customWidth="1"/>
    <col min="5" max="5" width="15.19921875" bestFit="1" customWidth="1"/>
    <col min="6" max="6" width="18.265625" bestFit="1" customWidth="1"/>
    <col min="7" max="7" width="20.46484375" bestFit="1" customWidth="1"/>
    <col min="8" max="8" width="11.73046875" bestFit="1" customWidth="1"/>
    <col min="9" max="9" width="14.265625" bestFit="1" customWidth="1"/>
    <col min="10" max="10" width="11.73046875" bestFit="1" customWidth="1"/>
    <col min="11" max="14" width="11.73046875" customWidth="1"/>
  </cols>
  <sheetData>
    <row r="1" spans="1:14" x14ac:dyDescent="0.45">
      <c r="A1" t="s">
        <v>117</v>
      </c>
      <c r="B1" s="7" t="s">
        <v>2</v>
      </c>
      <c r="C1" s="1" t="s">
        <v>3</v>
      </c>
      <c r="D1" s="1" t="s">
        <v>4</v>
      </c>
      <c r="E1" s="1" t="s">
        <v>7</v>
      </c>
      <c r="F1" s="1" t="s">
        <v>6</v>
      </c>
      <c r="G1" s="1" t="s">
        <v>5</v>
      </c>
      <c r="H1" s="1" t="s">
        <v>9</v>
      </c>
      <c r="I1" s="1" t="s">
        <v>10</v>
      </c>
      <c r="J1" s="1" t="s">
        <v>11</v>
      </c>
      <c r="K1" s="5"/>
      <c r="L1" s="5"/>
      <c r="M1" s="5"/>
      <c r="N1" s="5"/>
    </row>
    <row r="2" spans="1:14" x14ac:dyDescent="0.45">
      <c r="A2">
        <v>1</v>
      </c>
      <c r="B2" s="8">
        <v>45658</v>
      </c>
      <c r="C2" t="s">
        <v>14</v>
      </c>
      <c r="D2">
        <v>19975</v>
      </c>
      <c r="E2">
        <v>311910.7632481184</v>
      </c>
      <c r="F2">
        <v>311910.7632481184</v>
      </c>
      <c r="G2">
        <v>19975</v>
      </c>
      <c r="H2">
        <v>1.175942280140901</v>
      </c>
      <c r="I2">
        <v>-990.49966401630729</v>
      </c>
      <c r="J2">
        <v>8.0938894443857171E-2</v>
      </c>
    </row>
    <row r="3" spans="1:14" x14ac:dyDescent="0.45">
      <c r="A3">
        <v>2</v>
      </c>
      <c r="B3" s="8">
        <v>45689</v>
      </c>
      <c r="C3" t="s">
        <v>15</v>
      </c>
      <c r="D3">
        <v>20184</v>
      </c>
      <c r="E3">
        <v>334061.23748107027</v>
      </c>
      <c r="F3">
        <v>334061.23748107027</v>
      </c>
      <c r="G3">
        <v>20184</v>
      </c>
      <c r="H3">
        <v>1.3184438211842611</v>
      </c>
      <c r="I3">
        <v>-318.64906309995638</v>
      </c>
      <c r="J3">
        <v>8.3749891378802593E-2</v>
      </c>
    </row>
    <row r="4" spans="1:14" x14ac:dyDescent="0.45">
      <c r="A4">
        <v>3</v>
      </c>
      <c r="B4" s="8">
        <v>45717</v>
      </c>
      <c r="C4" t="s">
        <v>16</v>
      </c>
      <c r="D4">
        <v>19922</v>
      </c>
      <c r="E4">
        <v>313948.41970617388</v>
      </c>
      <c r="F4">
        <v>313948.41970617388</v>
      </c>
      <c r="G4">
        <v>19922</v>
      </c>
      <c r="H4">
        <v>1.3606372430629989</v>
      </c>
      <c r="I4">
        <v>-1079.335139873353</v>
      </c>
      <c r="J4">
        <v>8.2370782893257333E-2</v>
      </c>
    </row>
    <row r="5" spans="1:14" x14ac:dyDescent="0.45">
      <c r="A5">
        <v>4</v>
      </c>
      <c r="B5" s="8">
        <v>45748</v>
      </c>
      <c r="C5" t="s">
        <v>17</v>
      </c>
      <c r="D5">
        <v>20295</v>
      </c>
      <c r="E5">
        <v>340356.83802439168</v>
      </c>
      <c r="F5">
        <v>340356.83802439168</v>
      </c>
      <c r="G5">
        <v>20295</v>
      </c>
      <c r="H5">
        <v>1.370003367891947</v>
      </c>
      <c r="I5">
        <v>-324.3393127359011</v>
      </c>
      <c r="J5">
        <v>7.5529905691625127E-2</v>
      </c>
    </row>
    <row r="6" spans="1:14" x14ac:dyDescent="0.45">
      <c r="A6">
        <v>5</v>
      </c>
      <c r="B6" s="8">
        <v>45778</v>
      </c>
      <c r="C6" t="s">
        <v>18</v>
      </c>
      <c r="D6">
        <v>22117</v>
      </c>
      <c r="E6">
        <v>341795.31198433758</v>
      </c>
      <c r="F6">
        <v>341795.31198433758</v>
      </c>
      <c r="G6">
        <v>20117</v>
      </c>
      <c r="H6">
        <v>1.53244195427843</v>
      </c>
      <c r="I6">
        <v>858.29833361826752</v>
      </c>
      <c r="J6">
        <v>7.8860940010402031E-2</v>
      </c>
    </row>
    <row r="7" spans="1:14" x14ac:dyDescent="0.45">
      <c r="A7">
        <v>6</v>
      </c>
      <c r="B7" s="8">
        <v>45809</v>
      </c>
      <c r="C7" t="s">
        <v>19</v>
      </c>
      <c r="D7">
        <v>22145</v>
      </c>
      <c r="E7">
        <v>335638.27387424192</v>
      </c>
      <c r="F7">
        <v>335638.27387424192</v>
      </c>
      <c r="G7">
        <v>20145</v>
      </c>
      <c r="H7">
        <v>1.48172389715687</v>
      </c>
      <c r="I7">
        <v>329.97328107688872</v>
      </c>
      <c r="J7">
        <v>7.7079140490047354E-2</v>
      </c>
    </row>
    <row r="8" spans="1:14" x14ac:dyDescent="0.45">
      <c r="A8">
        <v>7</v>
      </c>
      <c r="B8" s="8">
        <v>45839</v>
      </c>
      <c r="C8" t="s">
        <v>20</v>
      </c>
      <c r="D8">
        <v>22305</v>
      </c>
      <c r="E8">
        <v>356027.99453492911</v>
      </c>
      <c r="F8">
        <v>356027.99453492911</v>
      </c>
      <c r="G8">
        <v>20305</v>
      </c>
      <c r="H8">
        <v>1.7036298884381169</v>
      </c>
      <c r="I8">
        <v>143.15678208236969</v>
      </c>
      <c r="J8">
        <v>7.4089233352302566E-2</v>
      </c>
    </row>
    <row r="9" spans="1:14" x14ac:dyDescent="0.45">
      <c r="A9">
        <v>8</v>
      </c>
      <c r="B9" s="8">
        <v>45870</v>
      </c>
      <c r="C9" t="s">
        <v>21</v>
      </c>
      <c r="D9">
        <v>22287</v>
      </c>
      <c r="E9">
        <v>357238.45485547482</v>
      </c>
      <c r="F9">
        <v>357238.45485547482</v>
      </c>
      <c r="G9">
        <v>20287</v>
      </c>
      <c r="H9">
        <v>1.6734129825852091</v>
      </c>
      <c r="I9">
        <v>1642.0866842839091</v>
      </c>
      <c r="J9">
        <v>7.9560357419157471E-2</v>
      </c>
    </row>
    <row r="10" spans="1:14" x14ac:dyDescent="0.45">
      <c r="A10">
        <v>9</v>
      </c>
      <c r="B10" s="8">
        <v>45901</v>
      </c>
      <c r="C10" t="s">
        <v>22</v>
      </c>
      <c r="D10">
        <v>22330</v>
      </c>
      <c r="E10">
        <v>352687.19398975879</v>
      </c>
      <c r="F10">
        <v>352687.19398975879</v>
      </c>
      <c r="G10">
        <v>20330</v>
      </c>
      <c r="H10">
        <v>1.6766821437734489</v>
      </c>
      <c r="I10">
        <v>572.70449649682371</v>
      </c>
      <c r="J10">
        <v>7.7060111692477229E-2</v>
      </c>
    </row>
    <row r="11" spans="1:14" x14ac:dyDescent="0.45">
      <c r="A11">
        <v>10</v>
      </c>
      <c r="B11" s="8">
        <v>45931</v>
      </c>
      <c r="C11" t="s">
        <v>23</v>
      </c>
      <c r="D11">
        <v>22518</v>
      </c>
      <c r="E11">
        <v>368302.69202781242</v>
      </c>
      <c r="F11">
        <v>368302.69202781242</v>
      </c>
      <c r="G11">
        <v>20518</v>
      </c>
      <c r="H11">
        <v>1.6574144803698501</v>
      </c>
      <c r="I11">
        <v>1997.2549066067311</v>
      </c>
      <c r="J11">
        <v>7.5078742091685136E-2</v>
      </c>
    </row>
    <row r="12" spans="1:14" x14ac:dyDescent="0.45">
      <c r="A12">
        <v>11</v>
      </c>
      <c r="B12" s="8">
        <v>45962</v>
      </c>
      <c r="C12" t="s">
        <v>24</v>
      </c>
      <c r="D12">
        <v>22390</v>
      </c>
      <c r="E12">
        <v>348475.30343632662</v>
      </c>
      <c r="F12">
        <v>348475.30343632662</v>
      </c>
      <c r="G12">
        <v>20390</v>
      </c>
      <c r="H12">
        <v>1.6119415484557269</v>
      </c>
      <c r="I12">
        <v>757.82542181584222</v>
      </c>
      <c r="J12">
        <v>7.7454307598756614E-2</v>
      </c>
    </row>
    <row r="13" spans="1:14" x14ac:dyDescent="0.45">
      <c r="A13">
        <v>12</v>
      </c>
      <c r="B13" s="8">
        <v>45992</v>
      </c>
      <c r="C13" t="s">
        <v>25</v>
      </c>
      <c r="D13">
        <v>22710</v>
      </c>
      <c r="E13">
        <v>372389.15154491871</v>
      </c>
      <c r="F13">
        <v>372389.15154491871</v>
      </c>
      <c r="G13">
        <v>20710</v>
      </c>
      <c r="H13">
        <v>1.6596595138515919</v>
      </c>
      <c r="I13">
        <v>1167.2324297252969</v>
      </c>
      <c r="J13">
        <v>6.8370493545531569E-2</v>
      </c>
    </row>
    <row r="14" spans="1:14" x14ac:dyDescent="0.45">
      <c r="A14">
        <v>13</v>
      </c>
      <c r="B14" s="8">
        <v>46023</v>
      </c>
      <c r="C14" t="s">
        <v>26</v>
      </c>
      <c r="D14">
        <v>22606</v>
      </c>
      <c r="E14">
        <v>364049.51838382101</v>
      </c>
      <c r="F14">
        <v>364049.51838382101</v>
      </c>
      <c r="G14">
        <v>20606</v>
      </c>
      <c r="H14">
        <v>1.7068897947865569</v>
      </c>
      <c r="I14">
        <v>935.31835668321207</v>
      </c>
      <c r="J14">
        <v>7.4895574665374581E-2</v>
      </c>
    </row>
    <row r="15" spans="1:14" x14ac:dyDescent="0.45">
      <c r="A15">
        <v>14</v>
      </c>
      <c r="B15" s="8">
        <v>46054</v>
      </c>
      <c r="C15" t="s">
        <v>27</v>
      </c>
      <c r="D15">
        <v>22822</v>
      </c>
      <c r="E15">
        <v>371369.34257992927</v>
      </c>
      <c r="F15">
        <v>371369.34257992927</v>
      </c>
      <c r="G15">
        <v>20822</v>
      </c>
      <c r="H15">
        <v>1.6755360975286819</v>
      </c>
      <c r="I15">
        <v>474.25728785854119</v>
      </c>
      <c r="J15">
        <v>7.2038233876492844E-2</v>
      </c>
    </row>
    <row r="16" spans="1:14" x14ac:dyDescent="0.45">
      <c r="A16">
        <v>15</v>
      </c>
      <c r="B16" s="8">
        <v>46082</v>
      </c>
      <c r="C16" t="s">
        <v>28</v>
      </c>
      <c r="D16">
        <v>22785</v>
      </c>
      <c r="E16">
        <v>362598.45562907448</v>
      </c>
      <c r="F16">
        <v>362598.45562907448</v>
      </c>
      <c r="G16">
        <v>20785</v>
      </c>
      <c r="H16">
        <v>1.5455194826855929</v>
      </c>
      <c r="I16">
        <v>1270.994249994699</v>
      </c>
      <c r="J16">
        <v>7.284147509257094E-2</v>
      </c>
    </row>
    <row r="17" spans="1:10" x14ac:dyDescent="0.45">
      <c r="A17">
        <v>16</v>
      </c>
      <c r="B17" s="8">
        <v>46113</v>
      </c>
      <c r="C17" t="s">
        <v>29</v>
      </c>
      <c r="D17">
        <v>20713</v>
      </c>
      <c r="E17">
        <v>361911.54266894778</v>
      </c>
      <c r="F17">
        <v>361911.54266894778</v>
      </c>
      <c r="G17">
        <v>20713</v>
      </c>
      <c r="H17">
        <v>1.5311410361672591</v>
      </c>
      <c r="I17">
        <v>2549.6162556067861</v>
      </c>
      <c r="J17">
        <v>6.7626638060712341E-2</v>
      </c>
    </row>
    <row r="18" spans="1:10" x14ac:dyDescent="0.45">
      <c r="A18">
        <v>17</v>
      </c>
      <c r="B18" s="8">
        <v>46143</v>
      </c>
      <c r="C18" t="s">
        <v>30</v>
      </c>
      <c r="D18">
        <v>20929</v>
      </c>
      <c r="E18">
        <v>360277.89043814992</v>
      </c>
      <c r="F18">
        <v>360277.89043814992</v>
      </c>
      <c r="G18">
        <v>20929</v>
      </c>
      <c r="H18">
        <v>1.449963830629617</v>
      </c>
      <c r="I18">
        <v>993.19183964732156</v>
      </c>
      <c r="J18">
        <v>6.8200779327793809E-2</v>
      </c>
    </row>
    <row r="19" spans="1:10" x14ac:dyDescent="0.45">
      <c r="A19">
        <v>18</v>
      </c>
      <c r="B19" s="8">
        <v>46174</v>
      </c>
      <c r="C19" t="s">
        <v>31</v>
      </c>
      <c r="D19">
        <v>20750</v>
      </c>
      <c r="E19">
        <v>339985.34882927401</v>
      </c>
      <c r="F19">
        <v>339985.34882927401</v>
      </c>
      <c r="G19">
        <v>20750</v>
      </c>
      <c r="H19">
        <v>1.401973127765425</v>
      </c>
      <c r="I19">
        <v>440.26182687393703</v>
      </c>
      <c r="J19">
        <v>7.3874273064727131E-2</v>
      </c>
    </row>
    <row r="20" spans="1:10" x14ac:dyDescent="0.45">
      <c r="A20">
        <v>19</v>
      </c>
      <c r="B20" s="8">
        <v>46204</v>
      </c>
      <c r="C20" t="s">
        <v>32</v>
      </c>
      <c r="D20">
        <v>20849</v>
      </c>
      <c r="E20">
        <v>346935.64892480988</v>
      </c>
      <c r="F20">
        <v>346935.64892480988</v>
      </c>
      <c r="G20">
        <v>20849</v>
      </c>
      <c r="H20">
        <v>1.308659239149472</v>
      </c>
      <c r="I20">
        <v>2117.0624644668151</v>
      </c>
      <c r="J20">
        <v>7.0879489154129796E-2</v>
      </c>
    </row>
    <row r="21" spans="1:10" x14ac:dyDescent="0.45">
      <c r="A21">
        <v>20</v>
      </c>
      <c r="B21" s="8">
        <v>46235</v>
      </c>
      <c r="C21" t="s">
        <v>33</v>
      </c>
      <c r="D21">
        <v>21039</v>
      </c>
      <c r="E21">
        <v>344411.99779912393</v>
      </c>
      <c r="F21">
        <v>344411.99779912393</v>
      </c>
      <c r="G21">
        <v>21039</v>
      </c>
      <c r="H21">
        <v>1.3050683034258059</v>
      </c>
      <c r="I21">
        <v>-250.70575479905099</v>
      </c>
      <c r="J21">
        <v>7.068319681504262E-2</v>
      </c>
    </row>
    <row r="22" spans="1:10" x14ac:dyDescent="0.45">
      <c r="A22">
        <v>21</v>
      </c>
      <c r="B22" s="8">
        <v>46266</v>
      </c>
      <c r="C22" t="s">
        <v>34</v>
      </c>
      <c r="D22">
        <v>21224</v>
      </c>
      <c r="E22">
        <v>361088.49054764147</v>
      </c>
      <c r="F22">
        <v>361088.49054764147</v>
      </c>
      <c r="G22">
        <v>21224</v>
      </c>
      <c r="H22">
        <v>1.1277911328839949</v>
      </c>
      <c r="I22">
        <v>3234.6313489543782</v>
      </c>
      <c r="J22">
        <v>6.5814934687948801E-2</v>
      </c>
    </row>
    <row r="23" spans="1:10" x14ac:dyDescent="0.45">
      <c r="A23">
        <v>22</v>
      </c>
      <c r="B23" s="8">
        <v>46296</v>
      </c>
      <c r="C23" t="s">
        <v>35</v>
      </c>
      <c r="D23">
        <v>21138</v>
      </c>
      <c r="E23">
        <v>332996.51663297368</v>
      </c>
      <c r="F23">
        <v>332996.51663297368</v>
      </c>
      <c r="G23">
        <v>21138</v>
      </c>
      <c r="H23">
        <v>1.057347648775935</v>
      </c>
      <c r="I23">
        <v>127.4744809305855</v>
      </c>
      <c r="J23">
        <v>6.852379688425296E-2</v>
      </c>
    </row>
    <row r="24" spans="1:10" x14ac:dyDescent="0.45">
      <c r="A24">
        <v>23</v>
      </c>
      <c r="B24" s="8">
        <v>46327</v>
      </c>
      <c r="C24" t="s">
        <v>36</v>
      </c>
      <c r="D24">
        <v>21064</v>
      </c>
      <c r="E24">
        <v>331897.37202106131</v>
      </c>
      <c r="F24">
        <v>331897.37202106131</v>
      </c>
      <c r="G24">
        <v>21064</v>
      </c>
      <c r="H24">
        <v>1.0857079133237271</v>
      </c>
      <c r="I24">
        <v>1073.655838939867</v>
      </c>
      <c r="J24">
        <v>7.0829135539883528E-2</v>
      </c>
    </row>
    <row r="25" spans="1:10" x14ac:dyDescent="0.45">
      <c r="A25">
        <v>24</v>
      </c>
      <c r="B25" s="8">
        <v>46357</v>
      </c>
      <c r="C25" t="s">
        <v>37</v>
      </c>
      <c r="D25">
        <v>21201</v>
      </c>
      <c r="E25">
        <v>327370.81685437221</v>
      </c>
      <c r="F25">
        <v>327370.81685437221</v>
      </c>
      <c r="G25">
        <v>21201</v>
      </c>
      <c r="H25">
        <v>0.87692488090248144</v>
      </c>
      <c r="I25">
        <v>1352.0854872245709</v>
      </c>
      <c r="J25">
        <v>6.7787484463328787E-2</v>
      </c>
    </row>
    <row r="26" spans="1:10" x14ac:dyDescent="0.45">
      <c r="A26">
        <v>25</v>
      </c>
      <c r="B26" s="8">
        <v>46388</v>
      </c>
      <c r="C26" t="s">
        <v>38</v>
      </c>
      <c r="D26">
        <v>21302</v>
      </c>
      <c r="E26">
        <v>335653.80726027931</v>
      </c>
      <c r="F26">
        <v>335653.80726027931</v>
      </c>
      <c r="G26">
        <v>21302</v>
      </c>
      <c r="H26">
        <v>0.85712236481696202</v>
      </c>
      <c r="I26">
        <v>2367.806456266936</v>
      </c>
      <c r="J26">
        <v>6.4247705601236105E-2</v>
      </c>
    </row>
    <row r="27" spans="1:10" x14ac:dyDescent="0.45">
      <c r="A27">
        <v>26</v>
      </c>
      <c r="B27" s="8">
        <v>46419</v>
      </c>
      <c r="C27" t="s">
        <v>39</v>
      </c>
      <c r="D27">
        <v>21395</v>
      </c>
      <c r="E27">
        <v>343372.6681221273</v>
      </c>
      <c r="F27">
        <v>343372.6681221273</v>
      </c>
      <c r="G27">
        <v>21395</v>
      </c>
      <c r="H27">
        <v>0.87803131890882125</v>
      </c>
      <c r="I27">
        <v>3021.1441163341101</v>
      </c>
      <c r="J27">
        <v>6.5397546534327236E-2</v>
      </c>
    </row>
    <row r="28" spans="1:10" x14ac:dyDescent="0.45">
      <c r="A28">
        <v>27</v>
      </c>
      <c r="B28" s="8">
        <v>46447</v>
      </c>
      <c r="C28" t="s">
        <v>40</v>
      </c>
      <c r="D28">
        <v>21226</v>
      </c>
      <c r="E28">
        <v>311620.01314698881</v>
      </c>
      <c r="F28">
        <v>311620.01314698881</v>
      </c>
      <c r="G28">
        <v>21226</v>
      </c>
      <c r="H28">
        <v>0.79235402476465544</v>
      </c>
      <c r="I28">
        <v>451.52891787116459</v>
      </c>
      <c r="J28">
        <v>6.9464624742414161E-2</v>
      </c>
    </row>
    <row r="29" spans="1:10" x14ac:dyDescent="0.45">
      <c r="A29">
        <v>28</v>
      </c>
      <c r="B29" s="8">
        <v>46478</v>
      </c>
      <c r="C29" t="s">
        <v>41</v>
      </c>
      <c r="D29">
        <v>21213</v>
      </c>
      <c r="E29">
        <v>303757.10812439013</v>
      </c>
      <c r="F29">
        <v>303757.10812439013</v>
      </c>
      <c r="G29">
        <v>21213</v>
      </c>
      <c r="H29">
        <v>0.69329086796300854</v>
      </c>
      <c r="I29">
        <v>644.90641591270719</v>
      </c>
      <c r="J29">
        <v>6.6691322384877752E-2</v>
      </c>
    </row>
    <row r="30" spans="1:10" x14ac:dyDescent="0.45">
      <c r="A30">
        <v>29</v>
      </c>
      <c r="B30" s="8">
        <v>46508</v>
      </c>
      <c r="C30" t="s">
        <v>42</v>
      </c>
      <c r="D30">
        <v>21262</v>
      </c>
      <c r="E30">
        <v>328800.76746998791</v>
      </c>
      <c r="F30">
        <v>328800.76746998791</v>
      </c>
      <c r="G30">
        <v>21262</v>
      </c>
      <c r="H30">
        <v>0.79120341308561937</v>
      </c>
      <c r="I30">
        <v>4275.4748633528743</v>
      </c>
      <c r="J30">
        <v>6.3554484185324125E-2</v>
      </c>
    </row>
    <row r="31" spans="1:10" x14ac:dyDescent="0.45">
      <c r="A31">
        <v>30</v>
      </c>
      <c r="B31" s="8">
        <v>46539</v>
      </c>
      <c r="C31" t="s">
        <v>43</v>
      </c>
      <c r="D31">
        <v>21360</v>
      </c>
      <c r="E31">
        <v>324315.92572705902</v>
      </c>
      <c r="F31">
        <v>324315.92572705902</v>
      </c>
      <c r="G31">
        <v>21360</v>
      </c>
      <c r="H31">
        <v>0.73174158847120518</v>
      </c>
      <c r="I31">
        <v>3350.0419777839752</v>
      </c>
      <c r="J31">
        <v>6.3613940562274693E-2</v>
      </c>
    </row>
    <row r="32" spans="1:10" x14ac:dyDescent="0.45">
      <c r="A32">
        <v>31</v>
      </c>
      <c r="B32" s="8">
        <v>46569</v>
      </c>
      <c r="C32" t="s">
        <v>44</v>
      </c>
      <c r="D32">
        <v>21661</v>
      </c>
      <c r="E32">
        <v>326683.75783066248</v>
      </c>
      <c r="F32">
        <v>326683.75783066248</v>
      </c>
      <c r="G32">
        <v>21661</v>
      </c>
      <c r="H32">
        <v>0.66660154908149016</v>
      </c>
      <c r="I32">
        <v>1222.528232585322</v>
      </c>
      <c r="J32">
        <v>6.0601746617382837E-2</v>
      </c>
    </row>
    <row r="33" spans="1:10" x14ac:dyDescent="0.45">
      <c r="A33">
        <v>32</v>
      </c>
      <c r="B33" s="8">
        <v>46600</v>
      </c>
      <c r="C33" t="s">
        <v>45</v>
      </c>
      <c r="D33">
        <v>21734</v>
      </c>
      <c r="E33">
        <v>337101.86527345999</v>
      </c>
      <c r="F33">
        <v>337101.86527345999</v>
      </c>
      <c r="G33">
        <v>21734</v>
      </c>
      <c r="H33">
        <v>0.72692582903682734</v>
      </c>
      <c r="I33">
        <v>2345.5329804609801</v>
      </c>
      <c r="J33">
        <v>6.6716953866989046E-2</v>
      </c>
    </row>
    <row r="34" spans="1:10" x14ac:dyDescent="0.45">
      <c r="A34">
        <v>33</v>
      </c>
      <c r="B34" s="8">
        <v>46631</v>
      </c>
      <c r="C34" t="s">
        <v>46</v>
      </c>
      <c r="D34">
        <v>21683</v>
      </c>
      <c r="E34">
        <v>327238.11868853081</v>
      </c>
      <c r="F34">
        <v>327238.11868853081</v>
      </c>
      <c r="G34">
        <v>21683</v>
      </c>
      <c r="H34">
        <v>0.70744280121254177</v>
      </c>
      <c r="I34">
        <v>1631.420156244596</v>
      </c>
      <c r="J34">
        <v>6.2603516598941034E-2</v>
      </c>
    </row>
    <row r="35" spans="1:10" x14ac:dyDescent="0.45">
      <c r="A35">
        <v>34</v>
      </c>
      <c r="B35" s="8">
        <v>46661</v>
      </c>
      <c r="C35" t="s">
        <v>47</v>
      </c>
      <c r="D35">
        <v>21619</v>
      </c>
      <c r="E35">
        <v>319714.47025859199</v>
      </c>
      <c r="F35">
        <v>319714.47025859199</v>
      </c>
      <c r="G35">
        <v>21619</v>
      </c>
      <c r="H35">
        <v>0.72652874558020164</v>
      </c>
      <c r="I35">
        <v>1119.8346285992559</v>
      </c>
      <c r="J35">
        <v>5.9835179007954611E-2</v>
      </c>
    </row>
    <row r="36" spans="1:10" x14ac:dyDescent="0.45">
      <c r="A36">
        <v>35</v>
      </c>
      <c r="B36" s="8">
        <v>46692</v>
      </c>
      <c r="C36" t="s">
        <v>48</v>
      </c>
      <c r="D36">
        <v>21774</v>
      </c>
      <c r="E36">
        <v>338783.40014193911</v>
      </c>
      <c r="F36">
        <v>338783.40014193911</v>
      </c>
      <c r="G36">
        <v>21774</v>
      </c>
      <c r="H36">
        <v>0.80997241158603439</v>
      </c>
      <c r="I36">
        <v>2502.3652735571209</v>
      </c>
      <c r="J36">
        <v>6.0563925537469893E-2</v>
      </c>
    </row>
    <row r="37" spans="1:10" x14ac:dyDescent="0.45">
      <c r="A37">
        <v>36</v>
      </c>
      <c r="B37" s="8">
        <v>46722</v>
      </c>
      <c r="C37" t="s">
        <v>49</v>
      </c>
      <c r="D37">
        <v>21864</v>
      </c>
      <c r="E37">
        <v>342619.42046235828</v>
      </c>
      <c r="F37">
        <v>342619.42046235828</v>
      </c>
      <c r="G37">
        <v>21864</v>
      </c>
      <c r="H37">
        <v>0.89816827657605036</v>
      </c>
      <c r="I37">
        <v>1604.3040879282721</v>
      </c>
      <c r="J37">
        <v>6.1339218049763701E-2</v>
      </c>
    </row>
    <row r="38" spans="1:10" x14ac:dyDescent="0.45">
      <c r="A38">
        <v>37</v>
      </c>
      <c r="B38" s="8">
        <v>46753</v>
      </c>
      <c r="C38" t="s">
        <v>50</v>
      </c>
      <c r="D38">
        <v>21714</v>
      </c>
      <c r="E38">
        <v>288574.81873608963</v>
      </c>
      <c r="F38">
        <v>346289.78248330753</v>
      </c>
      <c r="G38">
        <v>21714</v>
      </c>
      <c r="H38">
        <v>1.0028181760313599</v>
      </c>
      <c r="I38">
        <v>3412.256232636641</v>
      </c>
      <c r="J38">
        <v>5.9583872708649628E-2</v>
      </c>
    </row>
    <row r="39" spans="1:10" x14ac:dyDescent="0.45">
      <c r="A39">
        <v>38</v>
      </c>
      <c r="B39" s="8">
        <v>46784</v>
      </c>
      <c r="C39" t="s">
        <v>51</v>
      </c>
      <c r="D39">
        <v>21844</v>
      </c>
      <c r="E39">
        <v>287731.65735599393</v>
      </c>
      <c r="F39">
        <v>345277.98882719269</v>
      </c>
      <c r="G39">
        <v>21844</v>
      </c>
      <c r="H39">
        <v>1.003048180620427</v>
      </c>
      <c r="I39">
        <v>2101.287396085193</v>
      </c>
      <c r="J39">
        <v>6.0457330769539991E-2</v>
      </c>
    </row>
    <row r="40" spans="1:10" x14ac:dyDescent="0.45">
      <c r="A40">
        <v>39</v>
      </c>
      <c r="B40" s="8">
        <v>46813</v>
      </c>
      <c r="C40" t="s">
        <v>52</v>
      </c>
      <c r="D40">
        <v>22039</v>
      </c>
      <c r="E40">
        <v>306656.03425085009</v>
      </c>
      <c r="F40">
        <v>367987.24110102019</v>
      </c>
      <c r="G40">
        <v>22039</v>
      </c>
      <c r="H40">
        <v>1.069397735301381</v>
      </c>
      <c r="I40">
        <v>3797.989629563026</v>
      </c>
      <c r="J40">
        <v>5.7631807160803787E-2</v>
      </c>
    </row>
    <row r="41" spans="1:10" x14ac:dyDescent="0.45">
      <c r="A41">
        <v>40</v>
      </c>
      <c r="B41" s="8">
        <v>46844</v>
      </c>
      <c r="C41" t="s">
        <v>53</v>
      </c>
      <c r="D41">
        <v>21996</v>
      </c>
      <c r="E41">
        <v>303845.47445970488</v>
      </c>
      <c r="F41">
        <v>364614.56935164589</v>
      </c>
      <c r="G41">
        <v>21996</v>
      </c>
      <c r="H41">
        <v>1.1768413916355851</v>
      </c>
      <c r="I41">
        <v>3018.6542018282789</v>
      </c>
      <c r="J41">
        <v>6.217482805726212E-2</v>
      </c>
    </row>
    <row r="42" spans="1:10" x14ac:dyDescent="0.45">
      <c r="A42">
        <v>41</v>
      </c>
      <c r="B42" s="8">
        <v>46874</v>
      </c>
      <c r="C42" t="s">
        <v>54</v>
      </c>
      <c r="D42">
        <v>21969</v>
      </c>
      <c r="E42">
        <v>302533.4640536512</v>
      </c>
      <c r="F42">
        <v>363040.1568643814</v>
      </c>
      <c r="G42">
        <v>21969</v>
      </c>
      <c r="H42">
        <v>1.285257430970083</v>
      </c>
      <c r="I42">
        <v>2154.1898969618151</v>
      </c>
      <c r="J42">
        <v>5.9380222144211722E-2</v>
      </c>
    </row>
    <row r="43" spans="1:10" x14ac:dyDescent="0.45">
      <c r="A43">
        <v>42</v>
      </c>
      <c r="B43" s="8">
        <v>46905</v>
      </c>
      <c r="C43" t="s">
        <v>55</v>
      </c>
      <c r="D43">
        <v>22104</v>
      </c>
      <c r="E43">
        <v>325323.13616395963</v>
      </c>
      <c r="F43">
        <v>390387.76339675148</v>
      </c>
      <c r="G43">
        <v>22104</v>
      </c>
      <c r="H43">
        <v>1.425441523743278</v>
      </c>
      <c r="I43">
        <v>4701.4341449421518</v>
      </c>
      <c r="J43">
        <v>5.8001937457192412E-2</v>
      </c>
    </row>
    <row r="44" spans="1:10" x14ac:dyDescent="0.45">
      <c r="A44">
        <v>43</v>
      </c>
      <c r="B44" s="8">
        <v>46935</v>
      </c>
      <c r="C44" t="s">
        <v>56</v>
      </c>
      <c r="D44">
        <v>22107</v>
      </c>
      <c r="E44">
        <v>311704.60395559261</v>
      </c>
      <c r="F44">
        <v>374045.52474671102</v>
      </c>
      <c r="G44">
        <v>22107</v>
      </c>
      <c r="H44">
        <v>1.4038484010202921</v>
      </c>
      <c r="I44">
        <v>2110.4167407671721</v>
      </c>
      <c r="J44">
        <v>5.664669911651795E-2</v>
      </c>
    </row>
    <row r="45" spans="1:10" x14ac:dyDescent="0.45">
      <c r="A45">
        <v>44</v>
      </c>
      <c r="B45" s="8">
        <v>46966</v>
      </c>
      <c r="C45" t="s">
        <v>57</v>
      </c>
      <c r="D45">
        <v>22074</v>
      </c>
      <c r="E45">
        <v>315272.75210061693</v>
      </c>
      <c r="F45">
        <v>378327.3025207402</v>
      </c>
      <c r="G45">
        <v>22074</v>
      </c>
      <c r="H45">
        <v>1.4695861498009</v>
      </c>
      <c r="I45">
        <v>3140.3015279089718</v>
      </c>
      <c r="J45">
        <v>5.8228128901928362E-2</v>
      </c>
    </row>
    <row r="46" spans="1:10" x14ac:dyDescent="0.45">
      <c r="A46">
        <v>45</v>
      </c>
      <c r="B46" s="8">
        <v>46997</v>
      </c>
      <c r="C46" t="s">
        <v>58</v>
      </c>
      <c r="D46">
        <v>22371</v>
      </c>
      <c r="E46">
        <v>341317.32228027371</v>
      </c>
      <c r="F46">
        <v>409580.78673632839</v>
      </c>
      <c r="G46">
        <v>22371</v>
      </c>
      <c r="H46">
        <v>1.463135845372473</v>
      </c>
      <c r="I46">
        <v>6106.7762563667839</v>
      </c>
      <c r="J46">
        <v>5.4048646708102249E-2</v>
      </c>
    </row>
    <row r="47" spans="1:10" x14ac:dyDescent="0.45">
      <c r="A47">
        <v>46</v>
      </c>
      <c r="B47" s="8">
        <v>47027</v>
      </c>
      <c r="C47" t="s">
        <v>59</v>
      </c>
      <c r="D47">
        <v>22310</v>
      </c>
      <c r="E47">
        <v>327284.83021599439</v>
      </c>
      <c r="F47">
        <v>392741.79625919322</v>
      </c>
      <c r="G47">
        <v>22310</v>
      </c>
      <c r="H47">
        <v>1.6183493556417301</v>
      </c>
      <c r="I47">
        <v>2086.3324491783801</v>
      </c>
      <c r="J47">
        <v>5.2070071256290013E-2</v>
      </c>
    </row>
    <row r="48" spans="1:10" x14ac:dyDescent="0.45">
      <c r="A48">
        <v>47</v>
      </c>
      <c r="B48" s="8">
        <v>47058</v>
      </c>
      <c r="C48" t="s">
        <v>60</v>
      </c>
      <c r="D48">
        <v>22473</v>
      </c>
      <c r="E48">
        <v>337044.93479684921</v>
      </c>
      <c r="F48">
        <v>404453.92175621912</v>
      </c>
      <c r="G48">
        <v>22473</v>
      </c>
      <c r="H48">
        <v>1.6729455399776361</v>
      </c>
      <c r="I48">
        <v>2349.2915064456452</v>
      </c>
      <c r="J48">
        <v>5.6499668366292818E-2</v>
      </c>
    </row>
    <row r="49" spans="1:10" x14ac:dyDescent="0.45">
      <c r="A49">
        <v>48</v>
      </c>
      <c r="B49" s="8">
        <v>47088</v>
      </c>
      <c r="C49" t="s">
        <v>61</v>
      </c>
      <c r="D49">
        <v>22343</v>
      </c>
      <c r="E49">
        <v>326287.56173089979</v>
      </c>
      <c r="F49">
        <v>391545.07407707971</v>
      </c>
      <c r="G49">
        <v>22343</v>
      </c>
      <c r="H49">
        <v>1.6699001815615311</v>
      </c>
      <c r="I49">
        <v>1933.0346045057479</v>
      </c>
      <c r="J49">
        <v>5.606735823770486E-2</v>
      </c>
    </row>
    <row r="50" spans="1:10" x14ac:dyDescent="0.45">
      <c r="A50">
        <v>49</v>
      </c>
      <c r="B50" s="8">
        <v>47119</v>
      </c>
      <c r="C50" t="s">
        <v>62</v>
      </c>
      <c r="D50">
        <v>22634</v>
      </c>
      <c r="E50">
        <v>353604.59258348448</v>
      </c>
      <c r="F50">
        <v>424325.51110018138</v>
      </c>
      <c r="G50">
        <v>22634</v>
      </c>
      <c r="H50">
        <v>1.6689433318425051</v>
      </c>
      <c r="I50">
        <v>5169.1190187473376</v>
      </c>
      <c r="J50">
        <v>5.0532510537764731E-2</v>
      </c>
    </row>
    <row r="51" spans="1:10" x14ac:dyDescent="0.45">
      <c r="A51">
        <v>50</v>
      </c>
      <c r="B51" s="8">
        <v>47150</v>
      </c>
      <c r="C51" t="s">
        <v>63</v>
      </c>
      <c r="D51">
        <v>22334</v>
      </c>
      <c r="E51">
        <v>328863.62250815018</v>
      </c>
      <c r="F51">
        <v>394636.34700978018</v>
      </c>
      <c r="G51">
        <v>22334</v>
      </c>
      <c r="H51">
        <v>1.744251975724572</v>
      </c>
      <c r="I51">
        <v>2818.2565745891879</v>
      </c>
      <c r="J51">
        <v>5.780824197040476E-2</v>
      </c>
    </row>
    <row r="52" spans="1:10" x14ac:dyDescent="0.45">
      <c r="A52">
        <v>51</v>
      </c>
      <c r="B52" s="8">
        <v>47178</v>
      </c>
      <c r="C52" t="s">
        <v>64</v>
      </c>
      <c r="D52">
        <v>22596</v>
      </c>
      <c r="E52">
        <v>338662.15075310739</v>
      </c>
      <c r="F52">
        <v>406394.58090372878</v>
      </c>
      <c r="G52">
        <v>22596</v>
      </c>
      <c r="H52">
        <v>1.677230307196524</v>
      </c>
      <c r="I52">
        <v>3090.6077323037011</v>
      </c>
      <c r="J52">
        <v>5.4802690250755869E-2</v>
      </c>
    </row>
    <row r="53" spans="1:10" x14ac:dyDescent="0.45">
      <c r="A53">
        <v>52</v>
      </c>
      <c r="B53" s="8">
        <v>47209</v>
      </c>
      <c r="C53" t="s">
        <v>65</v>
      </c>
      <c r="D53">
        <v>22457</v>
      </c>
      <c r="E53">
        <v>328903.66617306479</v>
      </c>
      <c r="F53">
        <v>394684.3994076777</v>
      </c>
      <c r="G53">
        <v>22457</v>
      </c>
      <c r="H53">
        <v>1.5933338235764281</v>
      </c>
      <c r="I53">
        <v>4052.750222256162</v>
      </c>
      <c r="J53">
        <v>5.6526620944902913E-2</v>
      </c>
    </row>
    <row r="54" spans="1:10" x14ac:dyDescent="0.45">
      <c r="A54">
        <v>53</v>
      </c>
      <c r="B54" s="8">
        <v>47239</v>
      </c>
      <c r="C54" t="s">
        <v>66</v>
      </c>
      <c r="D54">
        <v>22551</v>
      </c>
      <c r="E54">
        <v>335203.19262481137</v>
      </c>
      <c r="F54">
        <v>402243.83114977361</v>
      </c>
      <c r="G54">
        <v>22551</v>
      </c>
      <c r="H54">
        <v>1.688477505240594</v>
      </c>
      <c r="I54">
        <v>3719.7725919432901</v>
      </c>
      <c r="J54">
        <v>5.584525792076455E-2</v>
      </c>
    </row>
    <row r="55" spans="1:10" x14ac:dyDescent="0.45">
      <c r="A55">
        <v>54</v>
      </c>
      <c r="B55" s="8">
        <v>47270</v>
      </c>
      <c r="C55" t="s">
        <v>67</v>
      </c>
      <c r="D55">
        <v>22670</v>
      </c>
      <c r="E55">
        <v>319624.03179685719</v>
      </c>
      <c r="F55">
        <v>383548.83815622871</v>
      </c>
      <c r="G55">
        <v>22670</v>
      </c>
      <c r="H55">
        <v>1.605863688679507</v>
      </c>
      <c r="I55">
        <v>-55.338211883130498</v>
      </c>
      <c r="J55">
        <v>5.4953757753703557E-2</v>
      </c>
    </row>
    <row r="56" spans="1:10" x14ac:dyDescent="0.45">
      <c r="A56">
        <v>55</v>
      </c>
      <c r="B56" s="8">
        <v>47300</v>
      </c>
      <c r="C56" t="s">
        <v>68</v>
      </c>
      <c r="D56">
        <v>22802</v>
      </c>
      <c r="E56">
        <v>339592.15075522271</v>
      </c>
      <c r="F56">
        <v>407510.58090626722</v>
      </c>
      <c r="G56">
        <v>22802</v>
      </c>
      <c r="H56">
        <v>1.566476015323075</v>
      </c>
      <c r="I56">
        <v>4043.6695899129122</v>
      </c>
      <c r="J56">
        <v>5.4911483386344738E-2</v>
      </c>
    </row>
    <row r="57" spans="1:10" x14ac:dyDescent="0.45">
      <c r="A57">
        <v>56</v>
      </c>
      <c r="B57" s="8">
        <v>47331</v>
      </c>
      <c r="C57" t="s">
        <v>69</v>
      </c>
      <c r="D57">
        <v>22657</v>
      </c>
      <c r="E57">
        <v>328215.4744466283</v>
      </c>
      <c r="F57">
        <v>393858.56933595391</v>
      </c>
      <c r="G57">
        <v>22657</v>
      </c>
      <c r="H57">
        <v>1.5230523094446391</v>
      </c>
      <c r="I57">
        <v>4194.7936851222184</v>
      </c>
      <c r="J57">
        <v>5.6011708998283838E-2</v>
      </c>
    </row>
    <row r="58" spans="1:10" x14ac:dyDescent="0.45">
      <c r="A58">
        <v>57</v>
      </c>
      <c r="B58" s="8">
        <v>47362</v>
      </c>
      <c r="C58" t="s">
        <v>70</v>
      </c>
      <c r="D58">
        <v>22945</v>
      </c>
      <c r="E58">
        <v>335742.3666355359</v>
      </c>
      <c r="F58">
        <v>402890.83996264299</v>
      </c>
      <c r="G58">
        <v>22945</v>
      </c>
      <c r="H58">
        <v>1.451283542652525</v>
      </c>
      <c r="I58">
        <v>3533.430967509672</v>
      </c>
      <c r="J58">
        <v>4.9302711768806462E-2</v>
      </c>
    </row>
    <row r="59" spans="1:10" x14ac:dyDescent="0.45">
      <c r="A59">
        <v>58</v>
      </c>
      <c r="B59" s="8">
        <v>47392</v>
      </c>
      <c r="C59" t="s">
        <v>71</v>
      </c>
      <c r="D59">
        <v>22804</v>
      </c>
      <c r="E59">
        <v>327123.82364951231</v>
      </c>
      <c r="F59">
        <v>392548.58837941481</v>
      </c>
      <c r="G59">
        <v>22804</v>
      </c>
      <c r="H59">
        <v>1.315567199467258</v>
      </c>
      <c r="I59">
        <v>5462.9580912795718</v>
      </c>
      <c r="J59">
        <v>5.2397721529908341E-2</v>
      </c>
    </row>
    <row r="60" spans="1:10" x14ac:dyDescent="0.45">
      <c r="A60">
        <v>59</v>
      </c>
      <c r="B60" s="8">
        <v>47423</v>
      </c>
      <c r="C60" t="s">
        <v>72</v>
      </c>
      <c r="D60">
        <v>22844</v>
      </c>
      <c r="E60">
        <v>321078.57408330421</v>
      </c>
      <c r="F60">
        <v>385294.288899965</v>
      </c>
      <c r="G60">
        <v>22844</v>
      </c>
      <c r="H60">
        <v>1.291789178982129</v>
      </c>
      <c r="I60">
        <v>4156.7975551278396</v>
      </c>
      <c r="J60">
        <v>4.7928159862084117E-2</v>
      </c>
    </row>
    <row r="61" spans="1:10" x14ac:dyDescent="0.45">
      <c r="A61">
        <v>60</v>
      </c>
      <c r="B61" s="8">
        <v>47453</v>
      </c>
      <c r="C61" t="s">
        <v>73</v>
      </c>
      <c r="D61">
        <v>22898</v>
      </c>
      <c r="E61">
        <v>320297.99263633991</v>
      </c>
      <c r="F61">
        <v>384357.5911636079</v>
      </c>
      <c r="G61">
        <v>22898</v>
      </c>
      <c r="H61">
        <v>1.177564033578919</v>
      </c>
      <c r="I61">
        <v>5302.4706848685837</v>
      </c>
      <c r="J61">
        <v>5.2702489229737158E-2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</vt:lpstr>
      <vt:lpstr>README</vt:lpstr>
      <vt:lpstr>Student_Worksheet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Joo Ha</cp:lastModifiedBy>
  <dcterms:created xsi:type="dcterms:W3CDTF">2025-09-04T03:10:52Z</dcterms:created>
  <dcterms:modified xsi:type="dcterms:W3CDTF">2025-09-22T16:50:53Z</dcterms:modified>
</cp:coreProperties>
</file>