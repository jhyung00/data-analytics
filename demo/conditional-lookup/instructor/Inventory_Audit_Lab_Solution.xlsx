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demo\inventory\instructor\"/>
    </mc:Choice>
  </mc:AlternateContent>
  <xr:revisionPtr revIDLastSave="0" documentId="8_{E4F0A1AA-6D06-439E-AA79-C2C037A57701}" xr6:coauthVersionLast="47" xr6:coauthVersionMax="47" xr10:uidLastSave="{00000000-0000-0000-0000-000000000000}"/>
  <bookViews>
    <workbookView xWindow="19658" yWindow="3443" windowWidth="23107" windowHeight="15292" xr2:uid="{00000000-000D-0000-FFFF-FFFF00000000}"/>
  </bookViews>
  <sheets>
    <sheet name="Inventory" sheetId="1" r:id="rId1"/>
    <sheet name="VendorMaster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2" i="1"/>
  <c r="M47" i="1"/>
  <c r="N47" i="1" s="1"/>
  <c r="K47" i="1"/>
  <c r="F47" i="1"/>
  <c r="H47" i="1" s="1"/>
  <c r="M46" i="1"/>
  <c r="N46" i="1" s="1"/>
  <c r="K46" i="1"/>
  <c r="J46" i="1"/>
  <c r="H46" i="1"/>
  <c r="F46" i="1"/>
  <c r="L46" i="1" s="1"/>
  <c r="M45" i="1"/>
  <c r="K45" i="1"/>
  <c r="F45" i="1"/>
  <c r="H45" i="1" s="1"/>
  <c r="M44" i="1"/>
  <c r="N44" i="1" s="1"/>
  <c r="K44" i="1"/>
  <c r="J44" i="1"/>
  <c r="H44" i="1"/>
  <c r="F44" i="1"/>
  <c r="L44" i="1" s="1"/>
  <c r="M43" i="1"/>
  <c r="K43" i="1"/>
  <c r="F43" i="1"/>
  <c r="H43" i="1" s="1"/>
  <c r="M42" i="1"/>
  <c r="N42" i="1" s="1"/>
  <c r="K42" i="1"/>
  <c r="J42" i="1"/>
  <c r="H42" i="1"/>
  <c r="F42" i="1"/>
  <c r="L42" i="1" s="1"/>
  <c r="M41" i="1"/>
  <c r="K41" i="1"/>
  <c r="F41" i="1"/>
  <c r="H41" i="1" s="1"/>
  <c r="M40" i="1"/>
  <c r="N40" i="1" s="1"/>
  <c r="K40" i="1"/>
  <c r="J40" i="1"/>
  <c r="H40" i="1"/>
  <c r="F40" i="1"/>
  <c r="L40" i="1" s="1"/>
  <c r="M39" i="1"/>
  <c r="K39" i="1"/>
  <c r="F39" i="1"/>
  <c r="H39" i="1" s="1"/>
  <c r="M38" i="1"/>
  <c r="N38" i="1" s="1"/>
  <c r="K38" i="1"/>
  <c r="J38" i="1"/>
  <c r="H38" i="1"/>
  <c r="F38" i="1"/>
  <c r="L38" i="1" s="1"/>
  <c r="M37" i="1"/>
  <c r="K37" i="1"/>
  <c r="F37" i="1"/>
  <c r="H37" i="1" s="1"/>
  <c r="M36" i="1"/>
  <c r="N36" i="1" s="1"/>
  <c r="K36" i="1"/>
  <c r="J36" i="1"/>
  <c r="H36" i="1"/>
  <c r="F36" i="1"/>
  <c r="L36" i="1" s="1"/>
  <c r="M35" i="1"/>
  <c r="K35" i="1"/>
  <c r="F35" i="1"/>
  <c r="H35" i="1" s="1"/>
  <c r="M34" i="1"/>
  <c r="N34" i="1" s="1"/>
  <c r="K34" i="1"/>
  <c r="J34" i="1"/>
  <c r="H34" i="1"/>
  <c r="F34" i="1"/>
  <c r="L34" i="1" s="1"/>
  <c r="M33" i="1"/>
  <c r="K33" i="1"/>
  <c r="F33" i="1"/>
  <c r="H33" i="1" s="1"/>
  <c r="M32" i="1"/>
  <c r="N32" i="1" s="1"/>
  <c r="K32" i="1"/>
  <c r="J32" i="1"/>
  <c r="H32" i="1"/>
  <c r="F32" i="1"/>
  <c r="L32" i="1" s="1"/>
  <c r="M31" i="1"/>
  <c r="K31" i="1"/>
  <c r="F31" i="1"/>
  <c r="H31" i="1" s="1"/>
  <c r="M30" i="1"/>
  <c r="N30" i="1" s="1"/>
  <c r="K30" i="1"/>
  <c r="H30" i="1"/>
  <c r="F30" i="1"/>
  <c r="J30" i="1" s="1"/>
  <c r="N29" i="1"/>
  <c r="M29" i="1"/>
  <c r="K29" i="1"/>
  <c r="J29" i="1"/>
  <c r="F29" i="1"/>
  <c r="H29" i="1" s="1"/>
  <c r="M28" i="1"/>
  <c r="N28" i="1" s="1"/>
  <c r="K28" i="1"/>
  <c r="H28" i="1"/>
  <c r="F28" i="1"/>
  <c r="J28" i="1" s="1"/>
  <c r="N27" i="1"/>
  <c r="M27" i="1"/>
  <c r="K27" i="1"/>
  <c r="J27" i="1"/>
  <c r="F27" i="1"/>
  <c r="H27" i="1" s="1"/>
  <c r="M26" i="1"/>
  <c r="N26" i="1" s="1"/>
  <c r="K26" i="1"/>
  <c r="H26" i="1"/>
  <c r="F26" i="1"/>
  <c r="J26" i="1" s="1"/>
  <c r="M25" i="1"/>
  <c r="K25" i="1"/>
  <c r="J25" i="1"/>
  <c r="F25" i="1"/>
  <c r="H25" i="1" s="1"/>
  <c r="M24" i="1"/>
  <c r="N24" i="1" s="1"/>
  <c r="K24" i="1"/>
  <c r="H24" i="1"/>
  <c r="F24" i="1"/>
  <c r="J24" i="1" s="1"/>
  <c r="N23" i="1"/>
  <c r="M23" i="1"/>
  <c r="K23" i="1"/>
  <c r="J23" i="1"/>
  <c r="F23" i="1"/>
  <c r="H23" i="1" s="1"/>
  <c r="M22" i="1"/>
  <c r="N22" i="1" s="1"/>
  <c r="K22" i="1"/>
  <c r="H22" i="1"/>
  <c r="F22" i="1"/>
  <c r="J22" i="1" s="1"/>
  <c r="N21" i="1"/>
  <c r="M21" i="1"/>
  <c r="K21" i="1"/>
  <c r="J21" i="1"/>
  <c r="F21" i="1"/>
  <c r="H21" i="1" s="1"/>
  <c r="M20" i="1"/>
  <c r="N20" i="1" s="1"/>
  <c r="K20" i="1"/>
  <c r="H20" i="1"/>
  <c r="F20" i="1"/>
  <c r="J20" i="1" s="1"/>
  <c r="M19" i="1"/>
  <c r="K19" i="1"/>
  <c r="J19" i="1"/>
  <c r="F19" i="1"/>
  <c r="H19" i="1" s="1"/>
  <c r="M18" i="1"/>
  <c r="N18" i="1" s="1"/>
  <c r="K18" i="1"/>
  <c r="H18" i="1"/>
  <c r="F18" i="1"/>
  <c r="J18" i="1" s="1"/>
  <c r="M17" i="1"/>
  <c r="K17" i="1"/>
  <c r="F17" i="1"/>
  <c r="H17" i="1" s="1"/>
  <c r="M16" i="1"/>
  <c r="N16" i="1" s="1"/>
  <c r="K16" i="1"/>
  <c r="H16" i="1"/>
  <c r="F16" i="1"/>
  <c r="J16" i="1" s="1"/>
  <c r="N15" i="1"/>
  <c r="M15" i="1"/>
  <c r="K15" i="1"/>
  <c r="J15" i="1"/>
  <c r="F15" i="1"/>
  <c r="H15" i="1" s="1"/>
  <c r="M14" i="1"/>
  <c r="N14" i="1" s="1"/>
  <c r="K14" i="1"/>
  <c r="H14" i="1"/>
  <c r="F14" i="1"/>
  <c r="J14" i="1" s="1"/>
  <c r="N13" i="1"/>
  <c r="M13" i="1"/>
  <c r="K13" i="1"/>
  <c r="J13" i="1"/>
  <c r="F13" i="1"/>
  <c r="H13" i="1" s="1"/>
  <c r="M12" i="1"/>
  <c r="N12" i="1" s="1"/>
  <c r="K12" i="1"/>
  <c r="H12" i="1"/>
  <c r="F12" i="1"/>
  <c r="J12" i="1" s="1"/>
  <c r="N11" i="1"/>
  <c r="M11" i="1"/>
  <c r="K11" i="1"/>
  <c r="J11" i="1"/>
  <c r="F11" i="1"/>
  <c r="H11" i="1" s="1"/>
  <c r="M10" i="1"/>
  <c r="N10" i="1" s="1"/>
  <c r="K10" i="1"/>
  <c r="H10" i="1"/>
  <c r="F10" i="1"/>
  <c r="J10" i="1" s="1"/>
  <c r="N9" i="1"/>
  <c r="M9" i="1"/>
  <c r="K9" i="1"/>
  <c r="J9" i="1"/>
  <c r="F9" i="1"/>
  <c r="H9" i="1" s="1"/>
  <c r="M8" i="1"/>
  <c r="N8" i="1" s="1"/>
  <c r="K8" i="1"/>
  <c r="H8" i="1"/>
  <c r="F8" i="1"/>
  <c r="J8" i="1" s="1"/>
  <c r="N7" i="1"/>
  <c r="M7" i="1"/>
  <c r="K7" i="1"/>
  <c r="J7" i="1"/>
  <c r="F7" i="1"/>
  <c r="H7" i="1" s="1"/>
  <c r="M6" i="1"/>
  <c r="N6" i="1" s="1"/>
  <c r="K6" i="1"/>
  <c r="H6" i="1"/>
  <c r="F6" i="1"/>
  <c r="J6" i="1" s="1"/>
  <c r="N5" i="1"/>
  <c r="M5" i="1"/>
  <c r="K5" i="1"/>
  <c r="J5" i="1"/>
  <c r="F5" i="1"/>
  <c r="H5" i="1" s="1"/>
  <c r="M4" i="1"/>
  <c r="N4" i="1" s="1"/>
  <c r="K4" i="1"/>
  <c r="H4" i="1"/>
  <c r="F4" i="1"/>
  <c r="J4" i="1" s="1"/>
  <c r="N3" i="1"/>
  <c r="M3" i="1"/>
  <c r="K3" i="1"/>
  <c r="J3" i="1"/>
  <c r="F3" i="1"/>
  <c r="H3" i="1" s="1"/>
  <c r="M2" i="1"/>
  <c r="N2" i="1" s="1"/>
  <c r="K2" i="1"/>
  <c r="H2" i="1"/>
  <c r="F2" i="1"/>
  <c r="J2" i="1" s="1"/>
  <c r="Q42" i="1" l="1"/>
  <c r="Q3" i="1"/>
  <c r="Q2" i="1"/>
  <c r="Q11" i="1"/>
  <c r="Q27" i="1"/>
  <c r="Q33" i="1"/>
  <c r="Q37" i="1"/>
  <c r="Q13" i="1"/>
  <c r="Q19" i="1"/>
  <c r="Q40" i="1"/>
  <c r="Q31" i="1"/>
  <c r="Q35" i="1"/>
  <c r="Q39" i="1"/>
  <c r="Q5" i="1"/>
  <c r="Q17" i="1"/>
  <c r="Q29" i="1"/>
  <c r="Q41" i="1"/>
  <c r="Q7" i="1"/>
  <c r="Q15" i="1"/>
  <c r="Q21" i="1"/>
  <c r="Q43" i="1"/>
  <c r="Q45" i="1"/>
  <c r="Q47" i="1"/>
  <c r="Q9" i="1"/>
  <c r="Q23" i="1"/>
  <c r="Q25" i="1"/>
  <c r="L2" i="1"/>
  <c r="L4" i="1"/>
  <c r="L6" i="1"/>
  <c r="L8" i="1"/>
  <c r="L10" i="1"/>
  <c r="L12" i="1"/>
  <c r="L14" i="1"/>
  <c r="L16" i="1"/>
  <c r="J17" i="1"/>
  <c r="N17" i="1"/>
  <c r="L18" i="1"/>
  <c r="N19" i="1"/>
  <c r="L20" i="1"/>
  <c r="L22" i="1"/>
  <c r="L24" i="1"/>
  <c r="N25" i="1"/>
  <c r="L26" i="1"/>
  <c r="L28" i="1"/>
  <c r="L30" i="1"/>
  <c r="J31" i="1"/>
  <c r="N31" i="1"/>
  <c r="J33" i="1"/>
  <c r="N33" i="1"/>
  <c r="J35" i="1"/>
  <c r="N35" i="1"/>
  <c r="J37" i="1"/>
  <c r="N37" i="1"/>
  <c r="J39" i="1"/>
  <c r="N39" i="1"/>
  <c r="J41" i="1"/>
  <c r="N41" i="1"/>
  <c r="J43" i="1"/>
  <c r="N43" i="1"/>
  <c r="J45" i="1"/>
  <c r="N45" i="1"/>
  <c r="J47" i="1"/>
  <c r="Q4" i="1"/>
  <c r="Q8" i="1"/>
  <c r="Q12" i="1"/>
  <c r="Q18" i="1"/>
  <c r="Q22" i="1"/>
  <c r="Q26" i="1"/>
  <c r="Q30" i="1"/>
  <c r="Q36" i="1"/>
  <c r="Q46" i="1"/>
  <c r="L3" i="1"/>
  <c r="L5" i="1"/>
  <c r="L7" i="1"/>
  <c r="L9" i="1"/>
  <c r="L21" i="1"/>
  <c r="L23" i="1"/>
  <c r="L25" i="1"/>
  <c r="L27" i="1"/>
  <c r="L29" i="1"/>
  <c r="L31" i="1"/>
  <c r="L33" i="1"/>
  <c r="L35" i="1"/>
  <c r="L37" i="1"/>
  <c r="L39" i="1"/>
  <c r="L41" i="1"/>
  <c r="L43" i="1"/>
  <c r="L45" i="1"/>
  <c r="L47" i="1"/>
  <c r="Q6" i="1"/>
  <c r="Q10" i="1"/>
  <c r="Q14" i="1"/>
  <c r="Q16" i="1"/>
  <c r="Q20" i="1"/>
  <c r="Q24" i="1"/>
  <c r="Q28" i="1"/>
  <c r="Q32" i="1"/>
  <c r="Q34" i="1"/>
  <c r="Q38" i="1"/>
  <c r="Q44" i="1"/>
  <c r="L11" i="1"/>
  <c r="L13" i="1"/>
  <c r="L15" i="1"/>
  <c r="L17" i="1"/>
  <c r="L19" i="1"/>
</calcChain>
</file>

<file path=xl/sharedStrings.xml><?xml version="1.0" encoding="utf-8"?>
<sst xmlns="http://schemas.openxmlformats.org/spreadsheetml/2006/main" count="165" uniqueCount="133">
  <si>
    <t>ID</t>
  </si>
  <si>
    <t>Name</t>
  </si>
  <si>
    <t>BeginningStock</t>
  </si>
  <si>
    <t>Purchase</t>
  </si>
  <si>
    <t>UnitSold</t>
  </si>
  <si>
    <t>EndingStock</t>
  </si>
  <si>
    <t>CostPerUnit</t>
  </si>
  <si>
    <t>TotalCost</t>
  </si>
  <si>
    <t>TotalSales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</si>
  <si>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</si>
  <si>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</si>
  <si>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</si>
  <si>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</si>
  <si>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</si>
  <si>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</si>
  <si>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</si>
  <si>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</si>
  <si>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</si>
  <si>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</si>
  <si>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</si>
  <si>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</si>
  <si>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</si>
  <si>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</si>
  <si>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</si>
  <si>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</si>
  <si>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</si>
  <si>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</si>
  <si>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</si>
  <si>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</si>
  <si>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</si>
  <si>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</si>
  <si>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</si>
  <si>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</si>
  <si>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</si>
  <si>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</si>
  <si>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</si>
  <si>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</si>
  <si>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</si>
  <si>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</si>
  <si>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</si>
  <si>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</si>
  <si>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</si>
  <si>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</si>
  <si>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</si>
  <si>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</si>
  <si>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</si>
  <si>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</si>
  <si>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</si>
  <si>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</si>
  <si>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</si>
  <si>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</si>
  <si>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</si>
  <si>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</si>
  <si>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</si>
  <si>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</si>
  <si>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</si>
  <si>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</si>
  <si>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</si>
  <si>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</si>
  <si>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</si>
  <si>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</si>
  <si>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</si>
  <si>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</si>
  <si>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</si>
  <si>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</si>
  <si>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</si>
  <si>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</si>
  <si>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</si>
  <si>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</si>
  <si>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</si>
  <si>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</si>
  <si>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</si>
  <si>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</si>
  <si>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</si>
  <si>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</si>
  <si>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</si>
  <si>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</si>
  <si>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</si>
  <si>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</si>
  <si>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</si>
  <si>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</si>
  <si>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</si>
  <si>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</si>
  <si>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</si>
  <si>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</si>
  <si>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</si>
  <si>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</si>
  <si>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</si>
  <si>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</si>
  <si>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</si>
  <si>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</si>
  <si>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</si>
  <si>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</si>
  <si>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</si>
  <si>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</si>
  <si>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</si>
  <si>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</si>
  <si>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</si>
  <si>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</si>
  <si>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</si>
  <si>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</si>
  <si>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Product Name</t>
  </si>
  <si>
    <t>Authorized Vendor</t>
  </si>
  <si>
    <t>Vendor Payment Terms</t>
  </si>
  <si>
    <t>Dell Corp</t>
  </si>
  <si>
    <t>Net 60</t>
  </si>
  <si>
    <t>Samsung Biz</t>
  </si>
  <si>
    <t>Net 45</t>
  </si>
  <si>
    <t>Logitech Pro</t>
  </si>
  <si>
    <t>Net 30</t>
  </si>
  <si>
    <t>Sony Audio</t>
  </si>
  <si>
    <t>Apple Ent</t>
  </si>
  <si>
    <t>Net 15</t>
  </si>
  <si>
    <t>Cisco Sys</t>
  </si>
  <si>
    <t>Razer Inc</t>
  </si>
  <si>
    <t>NVIDIA Corp</t>
  </si>
  <si>
    <t>Intel Corp</t>
  </si>
  <si>
    <t>Dept Code</t>
  </si>
  <si>
    <t>HW-LAP</t>
  </si>
  <si>
    <t>Units Sold</t>
  </si>
  <si>
    <t>Rebate %</t>
  </si>
  <si>
    <t>Action</t>
  </si>
  <si>
    <t xml:space="preserve">Avg Price </t>
  </si>
  <si>
    <t xml:space="preserve">Stock Status </t>
  </si>
  <si>
    <t xml:space="preserve">Audit Flag </t>
  </si>
  <si>
    <t xml:space="preserve">Dept Assessment </t>
  </si>
  <si>
    <t>HW-MON</t>
  </si>
  <si>
    <t>ACC-INP</t>
  </si>
  <si>
    <t>ACC-AUD</t>
  </si>
  <si>
    <t>HW-MOB</t>
  </si>
  <si>
    <t>NET-WIF</t>
  </si>
  <si>
    <t>GMG-ACC</t>
  </si>
  <si>
    <t>HW-COM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</si>
</sst>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5.2"/>
      <color rgb="FFFFFFFF"/>
      <name val="Segoe UI"/>
      <family val="2"/>
    </font>
    <font>
      <sz val="15.2"/>
      <color rgb="FF333333"/>
      <name val="Segoe UI"/>
      <family val="2"/>
    </font>
    <font>
      <b/>
      <sz val="14.4"/>
      <color rgb="FFFFFFFF"/>
      <name val="Segoe UI"/>
      <family val="2"/>
    </font>
    <font>
      <sz val="14.4"/>
      <color rgb="FF33333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0" fontId="4" fillId="0" borderId="4" xfId="1" applyFont="1" applyBorder="1"/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0" fontId="8" fillId="5" borderId="0" xfId="0" applyNumberFormat="1" applyFont="1" applyFill="1" applyAlignment="1">
      <alignment horizontal="left" vertical="center" wrapText="1"/>
    </xf>
    <xf numFmtId="10" fontId="8" fillId="0" borderId="0" xfId="0" applyNumberFormat="1" applyFont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topLeftCell="D1" workbookViewId="0">
      <selection activeCell="Q11" sqref="Q11"/>
    </sheetView>
  </sheetViews>
  <sheetFormatPr defaultRowHeight="21" x14ac:dyDescent="0.65"/>
  <cols>
    <col min="17" max="17" width="11.7265625" bestFit="1" customWidth="1"/>
  </cols>
  <sheetData>
    <row r="1" spans="1:17" ht="26.25" x14ac:dyDescent="0.6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6" t="s">
        <v>121</v>
      </c>
      <c r="K1" s="16" t="s">
        <v>122</v>
      </c>
      <c r="L1" s="16" t="s">
        <v>123</v>
      </c>
      <c r="N1" s="16" t="s">
        <v>124</v>
      </c>
      <c r="O1" s="16" t="s">
        <v>117</v>
      </c>
      <c r="P1" s="16" t="s">
        <v>120</v>
      </c>
      <c r="Q1" s="16" t="s">
        <v>125</v>
      </c>
    </row>
    <row r="2" spans="1:17" x14ac:dyDescent="0.65">
      <c r="A2" s="4" t="s">
        <v>9</v>
      </c>
      <c r="B2" s="4" t="s">
        <v>10</v>
      </c>
      <c r="C2" s="5">
        <v>50</v>
      </c>
      <c r="D2" s="5">
        <v>20</v>
      </c>
      <c r="E2" s="5">
        <v>65</v>
      </c>
      <c r="F2" s="5">
        <f t="shared" ref="F2:F47" si="0">C2+D2-E2</f>
        <v>5</v>
      </c>
      <c r="G2" s="5">
        <v>1200</v>
      </c>
      <c r="H2" s="6">
        <f t="shared" ref="H2:H47" si="1">F2*G2</f>
        <v>6000</v>
      </c>
      <c r="I2" s="7">
        <v>85800</v>
      </c>
      <c r="J2" t="str">
        <f t="shared" ref="J2:J47" si="2">IF(F2&lt;10,"Reorder","Sufficient")</f>
        <v>Reorder</v>
      </c>
      <c r="K2">
        <f t="shared" ref="K2:K47" si="3">IFERROR(I2/E2,0)</f>
        <v>1320</v>
      </c>
      <c r="L2" t="str">
        <f t="shared" ref="L2:L47" si="4">IF(F2&gt;60,"Overstock",IF(F2&lt;5,"Critical Low","Normal"))</f>
        <v>Normal</v>
      </c>
      <c r="M2">
        <f t="shared" ref="M2:M47" si="5">C2+D2-E2</f>
        <v>5</v>
      </c>
      <c r="N2" t="str">
        <f t="shared" ref="N2:N47" si="6">IF(M2=F2,"Verified","Error")</f>
        <v>Verified</v>
      </c>
      <c r="O2" t="str">
        <f>_xlfn.XLOOKUP(B2,Sheet2!$A$2:$A$11,Sheet2!$B$2:$B$11,"Unassigned")</f>
        <v>HW-LAP</v>
      </c>
      <c r="P2">
        <f>_xlfn.XLOOKUP(E2,Sheet2!$D$2:$D$6,Sheet2!$E$2:$E$6,0,-1)</f>
        <v>0.08</v>
      </c>
      <c r="Q2" t="str">
        <f t="shared" ref="Q2:Q47" si="7">IF(SUMIFS($I$2:$I$147,$O$2:$O$147,O2)&gt;50000,"Core Segment","Non-Core")</f>
        <v>Core Segment</v>
      </c>
    </row>
    <row r="3" spans="1:17" x14ac:dyDescent="0.65">
      <c r="A3" s="4" t="s">
        <v>11</v>
      </c>
      <c r="B3" s="4" t="s">
        <v>12</v>
      </c>
      <c r="C3" s="5">
        <v>40</v>
      </c>
      <c r="D3" s="5">
        <v>15</v>
      </c>
      <c r="E3" s="5">
        <v>5</v>
      </c>
      <c r="F3" s="5">
        <f t="shared" si="0"/>
        <v>50</v>
      </c>
      <c r="G3" s="5">
        <v>500</v>
      </c>
      <c r="H3" s="6">
        <f t="shared" si="1"/>
        <v>25000</v>
      </c>
      <c r="I3" s="7">
        <v>2575</v>
      </c>
      <c r="J3" t="str">
        <f t="shared" si="2"/>
        <v>Sufficient</v>
      </c>
      <c r="K3">
        <f t="shared" si="3"/>
        <v>515</v>
      </c>
      <c r="L3" t="str">
        <f t="shared" si="4"/>
        <v>Normal</v>
      </c>
      <c r="M3">
        <f t="shared" si="5"/>
        <v>50</v>
      </c>
      <c r="N3" t="str">
        <f t="shared" si="6"/>
        <v>Verified</v>
      </c>
      <c r="O3" t="str">
        <f>_xlfn.XLOOKUP(B3,Sheet2!$A$2:$A$11,Sheet2!$B$2:$B$11,"Unassigned")</f>
        <v>HW-MON</v>
      </c>
      <c r="P3">
        <f>_xlfn.XLOOKUP(E3,Sheet2!$D$2:$D$6,Sheet2!$E$2:$E$6,0,-1)</f>
        <v>0</v>
      </c>
      <c r="Q3" t="str">
        <f t="shared" si="7"/>
        <v>Non-Core</v>
      </c>
    </row>
    <row r="4" spans="1:17" x14ac:dyDescent="0.65">
      <c r="A4" s="4" t="s">
        <v>13</v>
      </c>
      <c r="B4" s="4" t="s">
        <v>14</v>
      </c>
      <c r="C4" s="5">
        <v>60</v>
      </c>
      <c r="D4" s="5">
        <v>25</v>
      </c>
      <c r="E4" s="5">
        <v>15</v>
      </c>
      <c r="F4" s="5">
        <f t="shared" si="0"/>
        <v>70</v>
      </c>
      <c r="G4" s="5">
        <v>50</v>
      </c>
      <c r="H4" s="6">
        <f t="shared" si="1"/>
        <v>3500</v>
      </c>
      <c r="I4" s="7">
        <v>1050</v>
      </c>
      <c r="J4" t="str">
        <f t="shared" si="2"/>
        <v>Sufficient</v>
      </c>
      <c r="K4">
        <f t="shared" si="3"/>
        <v>70</v>
      </c>
      <c r="L4" t="str">
        <f t="shared" si="4"/>
        <v>Overstock</v>
      </c>
      <c r="M4">
        <f t="shared" si="5"/>
        <v>70</v>
      </c>
      <c r="N4" t="str">
        <f t="shared" si="6"/>
        <v>Verified</v>
      </c>
      <c r="O4" t="str">
        <f>_xlfn.XLOOKUP(B4,Sheet2!$A$2:$A$11,Sheet2!$B$2:$B$11,"Unassigned")</f>
        <v>ACC-INP</v>
      </c>
      <c r="P4">
        <f>_xlfn.XLOOKUP(E4,Sheet2!$D$2:$D$6,Sheet2!$E$2:$E$6,0,-1)</f>
        <v>2.5000000000000001E-2</v>
      </c>
      <c r="Q4" t="str">
        <f t="shared" si="7"/>
        <v>Non-Core</v>
      </c>
    </row>
    <row r="5" spans="1:17" x14ac:dyDescent="0.65">
      <c r="A5" s="4" t="s">
        <v>15</v>
      </c>
      <c r="B5" s="4" t="s">
        <v>16</v>
      </c>
      <c r="C5" s="5">
        <v>30</v>
      </c>
      <c r="D5" s="5">
        <v>10</v>
      </c>
      <c r="E5" s="5">
        <v>3</v>
      </c>
      <c r="F5" s="5">
        <f t="shared" si="0"/>
        <v>37</v>
      </c>
      <c r="G5" s="5">
        <v>100</v>
      </c>
      <c r="H5" s="6">
        <f t="shared" si="1"/>
        <v>3700</v>
      </c>
      <c r="I5" s="7">
        <v>420</v>
      </c>
      <c r="J5" t="str">
        <f t="shared" si="2"/>
        <v>Sufficient</v>
      </c>
      <c r="K5">
        <f t="shared" si="3"/>
        <v>140</v>
      </c>
      <c r="L5" t="str">
        <f t="shared" si="4"/>
        <v>Normal</v>
      </c>
      <c r="M5">
        <f t="shared" si="5"/>
        <v>37</v>
      </c>
      <c r="N5" t="str">
        <f t="shared" si="6"/>
        <v>Verified</v>
      </c>
      <c r="O5" t="str">
        <f>_xlfn.XLOOKUP(B5,Sheet2!$A$2:$A$11,Sheet2!$B$2:$B$11,"Unassigned")</f>
        <v>ACC-AUD</v>
      </c>
      <c r="P5">
        <f>_xlfn.XLOOKUP(E5,Sheet2!$D$2:$D$6,Sheet2!$E$2:$E$6,0,-1)</f>
        <v>0</v>
      </c>
      <c r="Q5" t="str">
        <f t="shared" si="7"/>
        <v>Non-Core</v>
      </c>
    </row>
    <row r="6" spans="1:17" x14ac:dyDescent="0.65">
      <c r="A6" s="4" t="s">
        <v>17</v>
      </c>
      <c r="B6" s="4" t="s">
        <v>18</v>
      </c>
      <c r="C6" s="5">
        <v>70</v>
      </c>
      <c r="D6" s="5">
        <v>30</v>
      </c>
      <c r="E6" s="5">
        <v>20</v>
      </c>
      <c r="F6" s="5">
        <f t="shared" si="0"/>
        <v>80</v>
      </c>
      <c r="G6" s="5">
        <v>900</v>
      </c>
      <c r="H6" s="6">
        <f t="shared" si="1"/>
        <v>72000</v>
      </c>
      <c r="I6" s="7">
        <v>25200</v>
      </c>
      <c r="J6" t="str">
        <f t="shared" si="2"/>
        <v>Sufficient</v>
      </c>
      <c r="K6">
        <f t="shared" si="3"/>
        <v>1260</v>
      </c>
      <c r="L6" t="str">
        <f t="shared" si="4"/>
        <v>Overstock</v>
      </c>
      <c r="M6">
        <f t="shared" si="5"/>
        <v>80</v>
      </c>
      <c r="N6" t="str">
        <f t="shared" si="6"/>
        <v>Verified</v>
      </c>
      <c r="O6" t="str">
        <f>_xlfn.XLOOKUP(B6,Sheet2!$A$2:$A$11,Sheet2!$B$2:$B$11,"Unassigned")</f>
        <v>HW-MOB</v>
      </c>
      <c r="P6">
        <f>_xlfn.XLOOKUP(E6,Sheet2!$D$2:$D$6,Sheet2!$E$2:$E$6,0,-1)</f>
        <v>2.5000000000000001E-2</v>
      </c>
      <c r="Q6" t="str">
        <f t="shared" si="7"/>
        <v>Non-Core</v>
      </c>
    </row>
    <row r="7" spans="1:17" x14ac:dyDescent="0.65">
      <c r="A7" s="4" t="s">
        <v>19</v>
      </c>
      <c r="B7" s="4" t="s">
        <v>20</v>
      </c>
      <c r="C7" s="5">
        <v>45</v>
      </c>
      <c r="D7" s="5">
        <v>18</v>
      </c>
      <c r="E7" s="5">
        <v>8</v>
      </c>
      <c r="F7" s="5">
        <f t="shared" si="0"/>
        <v>55</v>
      </c>
      <c r="G7" s="5">
        <v>700</v>
      </c>
      <c r="H7" s="6">
        <f t="shared" si="1"/>
        <v>38500</v>
      </c>
      <c r="I7" s="7">
        <v>7839.9999999999991</v>
      </c>
      <c r="J7" t="str">
        <f t="shared" si="2"/>
        <v>Sufficient</v>
      </c>
      <c r="K7">
        <f t="shared" si="3"/>
        <v>979.99999999999989</v>
      </c>
      <c r="L7" t="str">
        <f t="shared" si="4"/>
        <v>Normal</v>
      </c>
      <c r="M7">
        <f t="shared" si="5"/>
        <v>55</v>
      </c>
      <c r="N7" t="str">
        <f t="shared" si="6"/>
        <v>Verified</v>
      </c>
      <c r="O7" t="str">
        <f>_xlfn.XLOOKUP(B7,Sheet2!$A$2:$A$11,Sheet2!$B$2:$B$11,"Unassigned")</f>
        <v>HW-MOB</v>
      </c>
      <c r="P7">
        <f>_xlfn.XLOOKUP(E7,Sheet2!$D$2:$D$6,Sheet2!$E$2:$E$6,0,-1)</f>
        <v>0</v>
      </c>
      <c r="Q7" t="str">
        <f t="shared" si="7"/>
        <v>Non-Core</v>
      </c>
    </row>
    <row r="8" spans="1:17" x14ac:dyDescent="0.65">
      <c r="A8" s="4" t="s">
        <v>21</v>
      </c>
      <c r="B8" s="4" t="s">
        <v>22</v>
      </c>
      <c r="C8" s="5">
        <v>55</v>
      </c>
      <c r="D8" s="5">
        <v>22</v>
      </c>
      <c r="E8" s="5">
        <v>12</v>
      </c>
      <c r="F8" s="5">
        <f t="shared" si="0"/>
        <v>65</v>
      </c>
      <c r="G8" s="5">
        <v>150</v>
      </c>
      <c r="H8" s="6">
        <f t="shared" si="1"/>
        <v>9750</v>
      </c>
      <c r="I8" s="7">
        <v>2520</v>
      </c>
      <c r="J8" t="str">
        <f t="shared" si="2"/>
        <v>Sufficient</v>
      </c>
      <c r="K8">
        <f t="shared" si="3"/>
        <v>210</v>
      </c>
      <c r="L8" t="str">
        <f t="shared" si="4"/>
        <v>Overstock</v>
      </c>
      <c r="M8">
        <f t="shared" si="5"/>
        <v>65</v>
      </c>
      <c r="N8" t="str">
        <f t="shared" si="6"/>
        <v>Verified</v>
      </c>
      <c r="O8" t="str">
        <f>_xlfn.XLOOKUP(B8,Sheet2!$A$2:$A$11,Sheet2!$B$2:$B$11,"Unassigned")</f>
        <v>NET-WIF</v>
      </c>
      <c r="P8">
        <f>_xlfn.XLOOKUP(E8,Sheet2!$D$2:$D$6,Sheet2!$E$2:$E$6,0,-1)</f>
        <v>2.5000000000000001E-2</v>
      </c>
      <c r="Q8" t="str">
        <f t="shared" si="7"/>
        <v>Non-Core</v>
      </c>
    </row>
    <row r="9" spans="1:17" x14ac:dyDescent="0.65">
      <c r="A9" s="4" t="s">
        <v>23</v>
      </c>
      <c r="B9" s="4" t="s">
        <v>24</v>
      </c>
      <c r="C9" s="5">
        <v>25</v>
      </c>
      <c r="D9" s="5">
        <v>12</v>
      </c>
      <c r="E9" s="5">
        <v>5</v>
      </c>
      <c r="F9" s="5">
        <f t="shared" si="0"/>
        <v>32</v>
      </c>
      <c r="G9" s="5">
        <v>200</v>
      </c>
      <c r="H9" s="6">
        <f t="shared" si="1"/>
        <v>6400</v>
      </c>
      <c r="I9" s="7">
        <v>1200</v>
      </c>
      <c r="J9" t="str">
        <f t="shared" si="2"/>
        <v>Sufficient</v>
      </c>
      <c r="K9">
        <f t="shared" si="3"/>
        <v>240</v>
      </c>
      <c r="L9" t="str">
        <f t="shared" si="4"/>
        <v>Normal</v>
      </c>
      <c r="M9">
        <f t="shared" si="5"/>
        <v>32</v>
      </c>
      <c r="N9" t="str">
        <f t="shared" si="6"/>
        <v>Verified</v>
      </c>
      <c r="O9" t="str">
        <f>_xlfn.XLOOKUP(B9,Sheet2!$A$2:$A$11,Sheet2!$B$2:$B$11,"Unassigned")</f>
        <v>Unassigned</v>
      </c>
      <c r="P9">
        <f>_xlfn.XLOOKUP(E9,Sheet2!$D$2:$D$6,Sheet2!$E$2:$E$6,0,-1)</f>
        <v>0</v>
      </c>
      <c r="Q9" t="str">
        <f t="shared" si="7"/>
        <v>Non-Core</v>
      </c>
    </row>
    <row r="10" spans="1:17" x14ac:dyDescent="0.65">
      <c r="A10" s="4" t="s">
        <v>25</v>
      </c>
      <c r="B10" s="4" t="s">
        <v>26</v>
      </c>
      <c r="C10" s="5">
        <v>35</v>
      </c>
      <c r="D10" s="5">
        <v>15</v>
      </c>
      <c r="E10" s="5">
        <v>7</v>
      </c>
      <c r="F10" s="5">
        <f t="shared" si="0"/>
        <v>43</v>
      </c>
      <c r="G10" s="5">
        <v>80</v>
      </c>
      <c r="H10" s="6">
        <f t="shared" si="1"/>
        <v>3440</v>
      </c>
      <c r="I10" s="7">
        <v>784</v>
      </c>
      <c r="J10" t="str">
        <f t="shared" si="2"/>
        <v>Sufficient</v>
      </c>
      <c r="K10">
        <f t="shared" si="3"/>
        <v>112</v>
      </c>
      <c r="L10" t="str">
        <f t="shared" si="4"/>
        <v>Normal</v>
      </c>
      <c r="M10">
        <f t="shared" si="5"/>
        <v>43</v>
      </c>
      <c r="N10" t="str">
        <f t="shared" si="6"/>
        <v>Verified</v>
      </c>
      <c r="O10" t="str">
        <f>_xlfn.XLOOKUP(B10,Sheet2!$A$2:$A$11,Sheet2!$B$2:$B$11,"Unassigned")</f>
        <v>Unassigned</v>
      </c>
      <c r="P10">
        <f>_xlfn.XLOOKUP(E10,Sheet2!$D$2:$D$6,Sheet2!$E$2:$E$6,0,-1)</f>
        <v>0</v>
      </c>
      <c r="Q10" t="str">
        <f t="shared" si="7"/>
        <v>Non-Core</v>
      </c>
    </row>
    <row r="11" spans="1:17" x14ac:dyDescent="0.65">
      <c r="A11" s="4" t="s">
        <v>27</v>
      </c>
      <c r="B11" s="4" t="s">
        <v>28</v>
      </c>
      <c r="C11" s="5">
        <v>40</v>
      </c>
      <c r="D11" s="5">
        <v>20</v>
      </c>
      <c r="E11" s="5">
        <v>10</v>
      </c>
      <c r="F11" s="5">
        <f t="shared" si="0"/>
        <v>50</v>
      </c>
      <c r="G11" s="5">
        <v>60</v>
      </c>
      <c r="H11" s="6">
        <f t="shared" si="1"/>
        <v>3000</v>
      </c>
      <c r="I11" s="7">
        <v>840</v>
      </c>
      <c r="J11" t="str">
        <f t="shared" si="2"/>
        <v>Sufficient</v>
      </c>
      <c r="K11">
        <f t="shared" si="3"/>
        <v>84</v>
      </c>
      <c r="L11" t="str">
        <f t="shared" si="4"/>
        <v>Normal</v>
      </c>
      <c r="M11">
        <f t="shared" si="5"/>
        <v>50</v>
      </c>
      <c r="N11" t="str">
        <f t="shared" si="6"/>
        <v>Verified</v>
      </c>
      <c r="O11" t="str">
        <f>_xlfn.XLOOKUP(B11,Sheet2!$A$2:$A$11,Sheet2!$B$2:$B$11,"Unassigned")</f>
        <v>Unassigned</v>
      </c>
      <c r="P11">
        <f>_xlfn.XLOOKUP(E11,Sheet2!$D$2:$D$6,Sheet2!$E$2:$E$6,0,-1)</f>
        <v>2.5000000000000001E-2</v>
      </c>
      <c r="Q11" t="str">
        <f t="shared" si="7"/>
        <v>Non-Core</v>
      </c>
    </row>
    <row r="12" spans="1:17" x14ac:dyDescent="0.65">
      <c r="A12" s="4" t="s">
        <v>29</v>
      </c>
      <c r="B12" s="4" t="s">
        <v>30</v>
      </c>
      <c r="C12" s="5">
        <v>20</v>
      </c>
      <c r="D12" s="5">
        <v>8</v>
      </c>
      <c r="E12" s="5">
        <v>0</v>
      </c>
      <c r="F12" s="5">
        <f t="shared" si="0"/>
        <v>28</v>
      </c>
      <c r="G12" s="5">
        <v>150</v>
      </c>
      <c r="H12" s="6">
        <f t="shared" si="1"/>
        <v>4200</v>
      </c>
      <c r="I12" s="7">
        <v>630</v>
      </c>
      <c r="J12" t="str">
        <f t="shared" si="2"/>
        <v>Sufficient</v>
      </c>
      <c r="K12">
        <f t="shared" si="3"/>
        <v>0</v>
      </c>
      <c r="L12" t="str">
        <f t="shared" si="4"/>
        <v>Normal</v>
      </c>
      <c r="M12">
        <f t="shared" si="5"/>
        <v>28</v>
      </c>
      <c r="N12" t="str">
        <f t="shared" si="6"/>
        <v>Verified</v>
      </c>
      <c r="O12" t="str">
        <f>_xlfn.XLOOKUP(B12,Sheet2!$A$2:$A$11,Sheet2!$B$2:$B$11,"Unassigned")</f>
        <v>Unassigned</v>
      </c>
      <c r="P12">
        <f>_xlfn.XLOOKUP(E12,Sheet2!$D$2:$D$6,Sheet2!$E$2:$E$6,0,-1)</f>
        <v>0</v>
      </c>
      <c r="Q12" t="str">
        <f t="shared" si="7"/>
        <v>Non-Core</v>
      </c>
    </row>
    <row r="13" spans="1:17" x14ac:dyDescent="0.65">
      <c r="A13" s="4" t="s">
        <v>31</v>
      </c>
      <c r="B13" s="4" t="s">
        <v>32</v>
      </c>
      <c r="C13" s="5">
        <v>30</v>
      </c>
      <c r="D13" s="5">
        <v>15</v>
      </c>
      <c r="E13" s="5">
        <v>7</v>
      </c>
      <c r="F13" s="5">
        <f t="shared" si="0"/>
        <v>38</v>
      </c>
      <c r="G13" s="5">
        <v>30</v>
      </c>
      <c r="H13" s="6">
        <f t="shared" si="1"/>
        <v>1140</v>
      </c>
      <c r="I13" s="7">
        <v>294</v>
      </c>
      <c r="J13" t="str">
        <f t="shared" si="2"/>
        <v>Sufficient</v>
      </c>
      <c r="K13">
        <f t="shared" si="3"/>
        <v>42</v>
      </c>
      <c r="L13" t="str">
        <f t="shared" si="4"/>
        <v>Normal</v>
      </c>
      <c r="M13">
        <f t="shared" si="5"/>
        <v>38</v>
      </c>
      <c r="N13" t="str">
        <f t="shared" si="6"/>
        <v>Verified</v>
      </c>
      <c r="O13" t="str">
        <f>_xlfn.XLOOKUP(B13,Sheet2!$A$2:$A$11,Sheet2!$B$2:$B$11,"Unassigned")</f>
        <v>Unassigned</v>
      </c>
      <c r="P13">
        <f>_xlfn.XLOOKUP(E13,Sheet2!$D$2:$D$6,Sheet2!$E$2:$E$6,0,-1)</f>
        <v>0</v>
      </c>
      <c r="Q13" t="str">
        <f t="shared" si="7"/>
        <v>Non-Core</v>
      </c>
    </row>
    <row r="14" spans="1:17" x14ac:dyDescent="0.65">
      <c r="A14" s="4" t="s">
        <v>33</v>
      </c>
      <c r="B14" s="4" t="s">
        <v>34</v>
      </c>
      <c r="C14" s="5">
        <v>50</v>
      </c>
      <c r="D14" s="5">
        <v>25</v>
      </c>
      <c r="E14" s="5">
        <v>12</v>
      </c>
      <c r="F14" s="5">
        <f t="shared" si="0"/>
        <v>63</v>
      </c>
      <c r="G14" s="5">
        <v>20</v>
      </c>
      <c r="H14" s="6">
        <f t="shared" si="1"/>
        <v>1260</v>
      </c>
      <c r="I14" s="7">
        <v>336</v>
      </c>
      <c r="J14" t="str">
        <f t="shared" si="2"/>
        <v>Sufficient</v>
      </c>
      <c r="K14">
        <f t="shared" si="3"/>
        <v>28</v>
      </c>
      <c r="L14" t="str">
        <f t="shared" si="4"/>
        <v>Overstock</v>
      </c>
      <c r="M14">
        <f t="shared" si="5"/>
        <v>63</v>
      </c>
      <c r="N14" t="str">
        <f t="shared" si="6"/>
        <v>Verified</v>
      </c>
      <c r="O14" t="str">
        <f>_xlfn.XLOOKUP(B14,Sheet2!$A$2:$A$11,Sheet2!$B$2:$B$11,"Unassigned")</f>
        <v>Unassigned</v>
      </c>
      <c r="P14">
        <f>_xlfn.XLOOKUP(E14,Sheet2!$D$2:$D$6,Sheet2!$E$2:$E$6,0,-1)</f>
        <v>2.5000000000000001E-2</v>
      </c>
      <c r="Q14" t="str">
        <f t="shared" si="7"/>
        <v>Non-Core</v>
      </c>
    </row>
    <row r="15" spans="1:17" x14ac:dyDescent="0.65">
      <c r="A15" s="4" t="s">
        <v>35</v>
      </c>
      <c r="B15" s="4" t="s">
        <v>36</v>
      </c>
      <c r="C15" s="5">
        <v>60</v>
      </c>
      <c r="D15" s="5">
        <v>30</v>
      </c>
      <c r="E15" s="5">
        <v>15</v>
      </c>
      <c r="F15" s="5">
        <f t="shared" si="0"/>
        <v>75</v>
      </c>
      <c r="G15" s="5">
        <v>10</v>
      </c>
      <c r="H15" s="6">
        <f t="shared" si="1"/>
        <v>750</v>
      </c>
      <c r="I15" s="7">
        <v>187.5</v>
      </c>
      <c r="J15" t="str">
        <f t="shared" si="2"/>
        <v>Sufficient</v>
      </c>
      <c r="K15">
        <f t="shared" si="3"/>
        <v>12.5</v>
      </c>
      <c r="L15" t="str">
        <f t="shared" si="4"/>
        <v>Overstock</v>
      </c>
      <c r="M15">
        <f t="shared" si="5"/>
        <v>75</v>
      </c>
      <c r="N15" t="str">
        <f t="shared" si="6"/>
        <v>Verified</v>
      </c>
      <c r="O15" t="str">
        <f>_xlfn.XLOOKUP(B15,Sheet2!$A$2:$A$11,Sheet2!$B$2:$B$11,"Unassigned")</f>
        <v>Unassigned</v>
      </c>
      <c r="P15">
        <f>_xlfn.XLOOKUP(E15,Sheet2!$D$2:$D$6,Sheet2!$E$2:$E$6,0,-1)</f>
        <v>2.5000000000000001E-2</v>
      </c>
      <c r="Q15" t="str">
        <f t="shared" si="7"/>
        <v>Non-Core</v>
      </c>
    </row>
    <row r="16" spans="1:17" x14ac:dyDescent="0.65">
      <c r="A16" s="4" t="s">
        <v>37</v>
      </c>
      <c r="B16" s="4" t="s">
        <v>38</v>
      </c>
      <c r="C16" s="5">
        <v>40</v>
      </c>
      <c r="D16" s="5">
        <v>20</v>
      </c>
      <c r="E16" s="5">
        <v>8</v>
      </c>
      <c r="F16" s="5">
        <f t="shared" si="0"/>
        <v>52</v>
      </c>
      <c r="G16" s="5">
        <v>25</v>
      </c>
      <c r="H16" s="6">
        <f t="shared" si="1"/>
        <v>1300</v>
      </c>
      <c r="I16" s="7">
        <v>280</v>
      </c>
      <c r="J16" t="str">
        <f t="shared" si="2"/>
        <v>Sufficient</v>
      </c>
      <c r="K16">
        <f t="shared" si="3"/>
        <v>35</v>
      </c>
      <c r="L16" t="str">
        <f t="shared" si="4"/>
        <v>Normal</v>
      </c>
      <c r="M16">
        <f t="shared" si="5"/>
        <v>52</v>
      </c>
      <c r="N16" t="str">
        <f t="shared" si="6"/>
        <v>Verified</v>
      </c>
      <c r="O16" t="str">
        <f>_xlfn.XLOOKUP(B16,Sheet2!$A$2:$A$11,Sheet2!$B$2:$B$11,"Unassigned")</f>
        <v>Unassigned</v>
      </c>
      <c r="P16">
        <f>_xlfn.XLOOKUP(E16,Sheet2!$D$2:$D$6,Sheet2!$E$2:$E$6,0,-1)</f>
        <v>0</v>
      </c>
      <c r="Q16" t="str">
        <f t="shared" si="7"/>
        <v>Non-Core</v>
      </c>
    </row>
    <row r="17" spans="1:17" x14ac:dyDescent="0.65">
      <c r="A17" s="4" t="s">
        <v>39</v>
      </c>
      <c r="B17" s="4" t="s">
        <v>40</v>
      </c>
      <c r="C17" s="5">
        <v>35</v>
      </c>
      <c r="D17" s="5">
        <v>15</v>
      </c>
      <c r="E17" s="5">
        <v>5</v>
      </c>
      <c r="F17" s="5">
        <f t="shared" si="0"/>
        <v>45</v>
      </c>
      <c r="G17" s="5">
        <v>40</v>
      </c>
      <c r="H17" s="6">
        <f t="shared" si="1"/>
        <v>1800</v>
      </c>
      <c r="I17" s="7">
        <v>210</v>
      </c>
      <c r="J17" t="str">
        <f t="shared" si="2"/>
        <v>Sufficient</v>
      </c>
      <c r="K17">
        <f t="shared" si="3"/>
        <v>42</v>
      </c>
      <c r="L17" t="str">
        <f t="shared" si="4"/>
        <v>Normal</v>
      </c>
      <c r="M17">
        <f t="shared" si="5"/>
        <v>45</v>
      </c>
      <c r="N17" t="str">
        <f t="shared" si="6"/>
        <v>Verified</v>
      </c>
      <c r="O17" t="str">
        <f>_xlfn.XLOOKUP(B17,Sheet2!$A$2:$A$11,Sheet2!$B$2:$B$11,"Unassigned")</f>
        <v>Unassigned</v>
      </c>
      <c r="P17">
        <f>_xlfn.XLOOKUP(E17,Sheet2!$D$2:$D$6,Sheet2!$E$2:$E$6,0,-1)</f>
        <v>0</v>
      </c>
      <c r="Q17" t="str">
        <f t="shared" si="7"/>
        <v>Non-Core</v>
      </c>
    </row>
    <row r="18" spans="1:17" x14ac:dyDescent="0.65">
      <c r="A18" s="4" t="s">
        <v>41</v>
      </c>
      <c r="B18" s="4" t="s">
        <v>42</v>
      </c>
      <c r="C18" s="5">
        <v>25</v>
      </c>
      <c r="D18" s="5">
        <v>10</v>
      </c>
      <c r="E18" s="5">
        <v>4</v>
      </c>
      <c r="F18" s="5">
        <f t="shared" si="0"/>
        <v>31</v>
      </c>
      <c r="G18" s="5">
        <v>100</v>
      </c>
      <c r="H18" s="6">
        <f t="shared" si="1"/>
        <v>3100</v>
      </c>
      <c r="I18" s="7">
        <v>560</v>
      </c>
      <c r="J18" t="str">
        <f t="shared" si="2"/>
        <v>Sufficient</v>
      </c>
      <c r="K18">
        <f t="shared" si="3"/>
        <v>140</v>
      </c>
      <c r="L18" t="str">
        <f t="shared" si="4"/>
        <v>Normal</v>
      </c>
      <c r="M18">
        <f t="shared" si="5"/>
        <v>31</v>
      </c>
      <c r="N18" t="str">
        <f t="shared" si="6"/>
        <v>Verified</v>
      </c>
      <c r="O18" t="str">
        <f>_xlfn.XLOOKUP(B18,Sheet2!$A$2:$A$11,Sheet2!$B$2:$B$11,"Unassigned")</f>
        <v>Unassigned</v>
      </c>
      <c r="P18">
        <f>_xlfn.XLOOKUP(E18,Sheet2!$D$2:$D$6,Sheet2!$E$2:$E$6,0,-1)</f>
        <v>0</v>
      </c>
      <c r="Q18" t="str">
        <f t="shared" si="7"/>
        <v>Non-Core</v>
      </c>
    </row>
    <row r="19" spans="1:17" x14ac:dyDescent="0.65">
      <c r="A19" s="4" t="s">
        <v>43</v>
      </c>
      <c r="B19" s="4" t="s">
        <v>44</v>
      </c>
      <c r="C19" s="5">
        <v>30</v>
      </c>
      <c r="D19" s="5">
        <v>5</v>
      </c>
      <c r="E19" s="5">
        <v>29</v>
      </c>
      <c r="F19" s="5">
        <f t="shared" si="0"/>
        <v>6</v>
      </c>
      <c r="G19" s="5">
        <v>80</v>
      </c>
      <c r="H19" s="6">
        <f t="shared" si="1"/>
        <v>480</v>
      </c>
      <c r="I19" s="7">
        <v>3248</v>
      </c>
      <c r="J19" t="str">
        <f t="shared" si="2"/>
        <v>Reorder</v>
      </c>
      <c r="K19">
        <f t="shared" si="3"/>
        <v>112</v>
      </c>
      <c r="L19" t="str">
        <f t="shared" si="4"/>
        <v>Normal</v>
      </c>
      <c r="M19">
        <f t="shared" si="5"/>
        <v>6</v>
      </c>
      <c r="N19" t="str">
        <f t="shared" si="6"/>
        <v>Verified</v>
      </c>
      <c r="O19" t="str">
        <f>_xlfn.XLOOKUP(B19,Sheet2!$A$2:$A$11,Sheet2!$B$2:$B$11,"Unassigned")</f>
        <v>GMG-ACC</v>
      </c>
      <c r="P19">
        <f>_xlfn.XLOOKUP(E19,Sheet2!$D$2:$D$6,Sheet2!$E$2:$E$6,0,-1)</f>
        <v>0.05</v>
      </c>
      <c r="Q19" t="str">
        <f t="shared" si="7"/>
        <v>Non-Core</v>
      </c>
    </row>
    <row r="20" spans="1:17" x14ac:dyDescent="0.65">
      <c r="A20" s="4" t="s">
        <v>45</v>
      </c>
      <c r="B20" s="4" t="s">
        <v>46</v>
      </c>
      <c r="C20" s="5">
        <v>20</v>
      </c>
      <c r="D20" s="5">
        <v>8</v>
      </c>
      <c r="E20" s="5">
        <v>3</v>
      </c>
      <c r="F20" s="5">
        <f t="shared" si="0"/>
        <v>25</v>
      </c>
      <c r="G20" s="5">
        <v>120</v>
      </c>
      <c r="H20" s="6">
        <f t="shared" si="1"/>
        <v>3000</v>
      </c>
      <c r="I20" s="7">
        <v>504</v>
      </c>
      <c r="J20" t="str">
        <f t="shared" si="2"/>
        <v>Sufficient</v>
      </c>
      <c r="K20">
        <f t="shared" si="3"/>
        <v>168</v>
      </c>
      <c r="L20" t="str">
        <f t="shared" si="4"/>
        <v>Normal</v>
      </c>
      <c r="M20">
        <f t="shared" si="5"/>
        <v>25</v>
      </c>
      <c r="N20" t="str">
        <f t="shared" si="6"/>
        <v>Verified</v>
      </c>
      <c r="O20" t="str">
        <f>_xlfn.XLOOKUP(B20,Sheet2!$A$2:$A$11,Sheet2!$B$2:$B$11,"Unassigned")</f>
        <v>Unassigned</v>
      </c>
      <c r="P20">
        <f>_xlfn.XLOOKUP(E20,Sheet2!$D$2:$D$6,Sheet2!$E$2:$E$6,0,-1)</f>
        <v>0</v>
      </c>
      <c r="Q20" t="str">
        <f t="shared" si="7"/>
        <v>Non-Core</v>
      </c>
    </row>
    <row r="21" spans="1:17" x14ac:dyDescent="0.65">
      <c r="A21" s="4" t="s">
        <v>47</v>
      </c>
      <c r="B21" s="4" t="s">
        <v>48</v>
      </c>
      <c r="C21" s="5">
        <v>15</v>
      </c>
      <c r="D21" s="5">
        <v>6</v>
      </c>
      <c r="E21" s="5">
        <v>2</v>
      </c>
      <c r="F21" s="5">
        <f t="shared" si="0"/>
        <v>19</v>
      </c>
      <c r="G21" s="5">
        <v>200</v>
      </c>
      <c r="H21" s="6">
        <f t="shared" si="1"/>
        <v>3800</v>
      </c>
      <c r="I21" s="7">
        <v>560</v>
      </c>
      <c r="J21" t="str">
        <f t="shared" si="2"/>
        <v>Sufficient</v>
      </c>
      <c r="K21">
        <f t="shared" si="3"/>
        <v>280</v>
      </c>
      <c r="L21" t="str">
        <f t="shared" si="4"/>
        <v>Normal</v>
      </c>
      <c r="M21">
        <f t="shared" si="5"/>
        <v>19</v>
      </c>
      <c r="N21" t="str">
        <f t="shared" si="6"/>
        <v>Verified</v>
      </c>
      <c r="O21" t="str">
        <f>_xlfn.XLOOKUP(B21,Sheet2!$A$2:$A$11,Sheet2!$B$2:$B$11,"Unassigned")</f>
        <v>Unassigned</v>
      </c>
      <c r="P21">
        <f>_xlfn.XLOOKUP(E21,Sheet2!$D$2:$D$6,Sheet2!$E$2:$E$6,0,-1)</f>
        <v>0</v>
      </c>
      <c r="Q21" t="str">
        <f t="shared" si="7"/>
        <v>Non-Core</v>
      </c>
    </row>
    <row r="22" spans="1:17" x14ac:dyDescent="0.65">
      <c r="A22" s="4" t="s">
        <v>49</v>
      </c>
      <c r="B22" s="4" t="s">
        <v>50</v>
      </c>
      <c r="C22" s="5">
        <v>25</v>
      </c>
      <c r="D22" s="5">
        <v>10</v>
      </c>
      <c r="E22" s="5">
        <v>4</v>
      </c>
      <c r="F22" s="5">
        <f t="shared" si="0"/>
        <v>31</v>
      </c>
      <c r="G22" s="5">
        <v>400</v>
      </c>
      <c r="H22" s="6">
        <f t="shared" si="1"/>
        <v>12400</v>
      </c>
      <c r="I22" s="7">
        <v>2240</v>
      </c>
      <c r="J22" t="str">
        <f t="shared" si="2"/>
        <v>Sufficient</v>
      </c>
      <c r="K22">
        <f t="shared" si="3"/>
        <v>560</v>
      </c>
      <c r="L22" t="str">
        <f t="shared" si="4"/>
        <v>Normal</v>
      </c>
      <c r="M22">
        <f t="shared" si="5"/>
        <v>31</v>
      </c>
      <c r="N22" t="str">
        <f t="shared" si="6"/>
        <v>Verified</v>
      </c>
      <c r="O22" t="str">
        <f>_xlfn.XLOOKUP(B22,Sheet2!$A$2:$A$11,Sheet2!$B$2:$B$11,"Unassigned")</f>
        <v>Unassigned</v>
      </c>
      <c r="P22">
        <f>_xlfn.XLOOKUP(E22,Sheet2!$D$2:$D$6,Sheet2!$E$2:$E$6,0,-1)</f>
        <v>0</v>
      </c>
      <c r="Q22" t="str">
        <f t="shared" si="7"/>
        <v>Non-Core</v>
      </c>
    </row>
    <row r="23" spans="1:17" x14ac:dyDescent="0.65">
      <c r="A23" s="4" t="s">
        <v>51</v>
      </c>
      <c r="B23" s="4" t="s">
        <v>52</v>
      </c>
      <c r="C23" s="5">
        <v>40</v>
      </c>
      <c r="D23" s="5">
        <v>18</v>
      </c>
      <c r="E23" s="5">
        <v>9</v>
      </c>
      <c r="F23" s="5">
        <f t="shared" si="0"/>
        <v>49</v>
      </c>
      <c r="G23" s="5">
        <v>600</v>
      </c>
      <c r="H23" s="6">
        <f t="shared" si="1"/>
        <v>29400</v>
      </c>
      <c r="I23" s="7">
        <v>7020</v>
      </c>
      <c r="J23" t="str">
        <f t="shared" si="2"/>
        <v>Sufficient</v>
      </c>
      <c r="K23">
        <f t="shared" si="3"/>
        <v>780</v>
      </c>
      <c r="L23" t="str">
        <f t="shared" si="4"/>
        <v>Normal</v>
      </c>
      <c r="M23">
        <f t="shared" si="5"/>
        <v>49</v>
      </c>
      <c r="N23" t="str">
        <f t="shared" si="6"/>
        <v>Verified</v>
      </c>
      <c r="O23" t="str">
        <f>_xlfn.XLOOKUP(B23,Sheet2!$A$2:$A$11,Sheet2!$B$2:$B$11,"Unassigned")</f>
        <v>HW-COM</v>
      </c>
      <c r="P23">
        <f>_xlfn.XLOOKUP(E23,Sheet2!$D$2:$D$6,Sheet2!$E$2:$E$6,0,-1)</f>
        <v>0</v>
      </c>
      <c r="Q23" t="str">
        <f t="shared" si="7"/>
        <v>Non-Core</v>
      </c>
    </row>
    <row r="24" spans="1:17" x14ac:dyDescent="0.65">
      <c r="A24" s="4" t="s">
        <v>53</v>
      </c>
      <c r="B24" s="4" t="s">
        <v>54</v>
      </c>
      <c r="C24" s="5">
        <v>30</v>
      </c>
      <c r="D24" s="5">
        <v>15</v>
      </c>
      <c r="E24" s="5">
        <v>7</v>
      </c>
      <c r="F24" s="5">
        <f t="shared" si="0"/>
        <v>38</v>
      </c>
      <c r="G24" s="5">
        <v>350</v>
      </c>
      <c r="H24" s="6">
        <f t="shared" si="1"/>
        <v>13300</v>
      </c>
      <c r="I24" s="7">
        <v>3185</v>
      </c>
      <c r="J24" t="str">
        <f t="shared" si="2"/>
        <v>Sufficient</v>
      </c>
      <c r="K24">
        <f t="shared" si="3"/>
        <v>455</v>
      </c>
      <c r="L24" t="str">
        <f t="shared" si="4"/>
        <v>Normal</v>
      </c>
      <c r="M24">
        <f t="shared" si="5"/>
        <v>38</v>
      </c>
      <c r="N24" t="str">
        <f t="shared" si="6"/>
        <v>Verified</v>
      </c>
      <c r="O24" t="str">
        <f>_xlfn.XLOOKUP(B24,Sheet2!$A$2:$A$11,Sheet2!$B$2:$B$11,"Unassigned")</f>
        <v>HW-COM</v>
      </c>
      <c r="P24">
        <f>_xlfn.XLOOKUP(E24,Sheet2!$D$2:$D$6,Sheet2!$E$2:$E$6,0,-1)</f>
        <v>0</v>
      </c>
      <c r="Q24" t="str">
        <f t="shared" si="7"/>
        <v>Non-Core</v>
      </c>
    </row>
    <row r="25" spans="1:17" x14ac:dyDescent="0.65">
      <c r="A25" s="4" t="s">
        <v>55</v>
      </c>
      <c r="B25" s="4" t="s">
        <v>56</v>
      </c>
      <c r="C25" s="5">
        <v>15</v>
      </c>
      <c r="D25" s="5">
        <v>12</v>
      </c>
      <c r="E25" s="5">
        <v>15</v>
      </c>
      <c r="F25" s="5">
        <f t="shared" si="0"/>
        <v>12</v>
      </c>
      <c r="G25" s="5">
        <v>200</v>
      </c>
      <c r="H25" s="6">
        <f t="shared" si="1"/>
        <v>2400</v>
      </c>
      <c r="I25" s="7">
        <v>3900</v>
      </c>
      <c r="J25" t="str">
        <f t="shared" si="2"/>
        <v>Sufficient</v>
      </c>
      <c r="K25">
        <f t="shared" si="3"/>
        <v>260</v>
      </c>
      <c r="L25" t="str">
        <f t="shared" si="4"/>
        <v>Normal</v>
      </c>
      <c r="M25">
        <f t="shared" si="5"/>
        <v>12</v>
      </c>
      <c r="N25" t="str">
        <f t="shared" si="6"/>
        <v>Verified</v>
      </c>
      <c r="O25" t="str">
        <f>_xlfn.XLOOKUP(B25,Sheet2!$A$2:$A$11,Sheet2!$B$2:$B$11,"Unassigned")</f>
        <v>Unassigned</v>
      </c>
      <c r="P25">
        <f>_xlfn.XLOOKUP(E25,Sheet2!$D$2:$D$6,Sheet2!$E$2:$E$6,0,-1)</f>
        <v>2.5000000000000001E-2</v>
      </c>
      <c r="Q25" t="str">
        <f t="shared" si="7"/>
        <v>Non-Core</v>
      </c>
    </row>
    <row r="26" spans="1:17" x14ac:dyDescent="0.65">
      <c r="A26" s="4" t="s">
        <v>57</v>
      </c>
      <c r="B26" s="4" t="s">
        <v>58</v>
      </c>
      <c r="C26" s="5">
        <v>50</v>
      </c>
      <c r="D26" s="5">
        <v>22</v>
      </c>
      <c r="E26" s="5">
        <v>11</v>
      </c>
      <c r="F26" s="5">
        <f t="shared" si="0"/>
        <v>61</v>
      </c>
      <c r="G26" s="5">
        <v>80</v>
      </c>
      <c r="H26" s="6">
        <f t="shared" si="1"/>
        <v>4880</v>
      </c>
      <c r="I26" s="7">
        <v>1144</v>
      </c>
      <c r="J26" t="str">
        <f t="shared" si="2"/>
        <v>Sufficient</v>
      </c>
      <c r="K26">
        <f t="shared" si="3"/>
        <v>104</v>
      </c>
      <c r="L26" t="str">
        <f t="shared" si="4"/>
        <v>Overstock</v>
      </c>
      <c r="M26">
        <f t="shared" si="5"/>
        <v>61</v>
      </c>
      <c r="N26" t="str">
        <f t="shared" si="6"/>
        <v>Verified</v>
      </c>
      <c r="O26" t="str">
        <f>_xlfn.XLOOKUP(B26,Sheet2!$A$2:$A$11,Sheet2!$B$2:$B$11,"Unassigned")</f>
        <v>Unassigned</v>
      </c>
      <c r="P26">
        <f>_xlfn.XLOOKUP(E26,Sheet2!$D$2:$D$6,Sheet2!$E$2:$E$6,0,-1)</f>
        <v>2.5000000000000001E-2</v>
      </c>
      <c r="Q26" t="str">
        <f t="shared" si="7"/>
        <v>Non-Core</v>
      </c>
    </row>
    <row r="27" spans="1:17" x14ac:dyDescent="0.65">
      <c r="A27" s="4" t="s">
        <v>59</v>
      </c>
      <c r="B27" s="4" t="s">
        <v>60</v>
      </c>
      <c r="C27" s="5">
        <v>45</v>
      </c>
      <c r="D27" s="5">
        <v>20</v>
      </c>
      <c r="E27" s="5">
        <v>8</v>
      </c>
      <c r="F27" s="5">
        <f t="shared" si="0"/>
        <v>57</v>
      </c>
      <c r="G27" s="5">
        <v>120</v>
      </c>
      <c r="H27" s="6">
        <f t="shared" si="1"/>
        <v>6840</v>
      </c>
      <c r="I27" s="7">
        <v>1248</v>
      </c>
      <c r="J27" t="str">
        <f t="shared" si="2"/>
        <v>Sufficient</v>
      </c>
      <c r="K27">
        <f t="shared" si="3"/>
        <v>156</v>
      </c>
      <c r="L27" t="str">
        <f t="shared" si="4"/>
        <v>Normal</v>
      </c>
      <c r="M27">
        <f t="shared" si="5"/>
        <v>57</v>
      </c>
      <c r="N27" t="str">
        <f t="shared" si="6"/>
        <v>Verified</v>
      </c>
      <c r="O27" t="str">
        <f>_xlfn.XLOOKUP(B27,Sheet2!$A$2:$A$11,Sheet2!$B$2:$B$11,"Unassigned")</f>
        <v>Unassigned</v>
      </c>
      <c r="P27">
        <f>_xlfn.XLOOKUP(E27,Sheet2!$D$2:$D$6,Sheet2!$E$2:$E$6,0,-1)</f>
        <v>0</v>
      </c>
      <c r="Q27" t="str">
        <f t="shared" si="7"/>
        <v>Non-Core</v>
      </c>
    </row>
    <row r="28" spans="1:17" x14ac:dyDescent="0.65">
      <c r="A28" s="4" t="s">
        <v>61</v>
      </c>
      <c r="B28" s="4" t="s">
        <v>62</v>
      </c>
      <c r="C28" s="5">
        <v>60</v>
      </c>
      <c r="D28" s="5">
        <v>25</v>
      </c>
      <c r="E28" s="5">
        <v>12</v>
      </c>
      <c r="F28" s="5">
        <f t="shared" si="0"/>
        <v>73</v>
      </c>
      <c r="G28" s="5">
        <v>60</v>
      </c>
      <c r="H28" s="6">
        <f t="shared" si="1"/>
        <v>4380</v>
      </c>
      <c r="I28" s="7">
        <v>936</v>
      </c>
      <c r="J28" t="str">
        <f t="shared" si="2"/>
        <v>Sufficient</v>
      </c>
      <c r="K28">
        <f t="shared" si="3"/>
        <v>78</v>
      </c>
      <c r="L28" t="str">
        <f t="shared" si="4"/>
        <v>Overstock</v>
      </c>
      <c r="M28">
        <f t="shared" si="5"/>
        <v>73</v>
      </c>
      <c r="N28" t="str">
        <f t="shared" si="6"/>
        <v>Verified</v>
      </c>
      <c r="O28" t="str">
        <f>_xlfn.XLOOKUP(B28,Sheet2!$A$2:$A$11,Sheet2!$B$2:$B$11,"Unassigned")</f>
        <v>Unassigned</v>
      </c>
      <c r="P28">
        <f>_xlfn.XLOOKUP(E28,Sheet2!$D$2:$D$6,Sheet2!$E$2:$E$6,0,-1)</f>
        <v>2.5000000000000001E-2</v>
      </c>
      <c r="Q28" t="str">
        <f t="shared" si="7"/>
        <v>Non-Core</v>
      </c>
    </row>
    <row r="29" spans="1:17" x14ac:dyDescent="0.65">
      <c r="A29" s="4" t="s">
        <v>63</v>
      </c>
      <c r="B29" s="4" t="s">
        <v>64</v>
      </c>
      <c r="C29" s="5">
        <v>35</v>
      </c>
      <c r="D29" s="5">
        <v>15</v>
      </c>
      <c r="E29" s="5">
        <v>6</v>
      </c>
      <c r="F29" s="5">
        <f t="shared" si="0"/>
        <v>44</v>
      </c>
      <c r="G29" s="5">
        <v>100</v>
      </c>
      <c r="H29" s="6">
        <f t="shared" si="1"/>
        <v>4400</v>
      </c>
      <c r="I29" s="7">
        <v>780</v>
      </c>
      <c r="J29" t="str">
        <f t="shared" si="2"/>
        <v>Sufficient</v>
      </c>
      <c r="K29">
        <f t="shared" si="3"/>
        <v>130</v>
      </c>
      <c r="L29" t="str">
        <f t="shared" si="4"/>
        <v>Normal</v>
      </c>
      <c r="M29">
        <f t="shared" si="5"/>
        <v>44</v>
      </c>
      <c r="N29" t="str">
        <f t="shared" si="6"/>
        <v>Verified</v>
      </c>
      <c r="O29" t="str">
        <f>_xlfn.XLOOKUP(B29,Sheet2!$A$2:$A$11,Sheet2!$B$2:$B$11,"Unassigned")</f>
        <v>Unassigned</v>
      </c>
      <c r="P29">
        <f>_xlfn.XLOOKUP(E29,Sheet2!$D$2:$D$6,Sheet2!$E$2:$E$6,0,-1)</f>
        <v>0</v>
      </c>
      <c r="Q29" t="str">
        <f t="shared" si="7"/>
        <v>Non-Core</v>
      </c>
    </row>
    <row r="30" spans="1:17" x14ac:dyDescent="0.65">
      <c r="A30" s="4" t="s">
        <v>65</v>
      </c>
      <c r="B30" s="4" t="s">
        <v>66</v>
      </c>
      <c r="C30" s="5">
        <v>40</v>
      </c>
      <c r="D30" s="5">
        <v>18</v>
      </c>
      <c r="E30" s="5">
        <v>9</v>
      </c>
      <c r="F30" s="5">
        <f t="shared" si="0"/>
        <v>49</v>
      </c>
      <c r="G30" s="5">
        <v>80</v>
      </c>
      <c r="H30" s="6">
        <f t="shared" si="1"/>
        <v>3920</v>
      </c>
      <c r="I30" s="7">
        <v>936</v>
      </c>
      <c r="J30" t="str">
        <f t="shared" si="2"/>
        <v>Sufficient</v>
      </c>
      <c r="K30">
        <f t="shared" si="3"/>
        <v>104</v>
      </c>
      <c r="L30" t="str">
        <f t="shared" si="4"/>
        <v>Normal</v>
      </c>
      <c r="M30">
        <f t="shared" si="5"/>
        <v>49</v>
      </c>
      <c r="N30" t="str">
        <f t="shared" si="6"/>
        <v>Verified</v>
      </c>
      <c r="O30" t="str">
        <f>_xlfn.XLOOKUP(B30,Sheet2!$A$2:$A$11,Sheet2!$B$2:$B$11,"Unassigned")</f>
        <v>Unassigned</v>
      </c>
      <c r="P30">
        <f>_xlfn.XLOOKUP(E30,Sheet2!$D$2:$D$6,Sheet2!$E$2:$E$6,0,-1)</f>
        <v>0</v>
      </c>
      <c r="Q30" t="str">
        <f t="shared" si="7"/>
        <v>Non-Core</v>
      </c>
    </row>
    <row r="31" spans="1:17" x14ac:dyDescent="0.65">
      <c r="A31" s="4" t="s">
        <v>67</v>
      </c>
      <c r="B31" s="4" t="s">
        <v>68</v>
      </c>
      <c r="C31" s="5">
        <v>30</v>
      </c>
      <c r="D31" s="5">
        <v>12</v>
      </c>
      <c r="E31" s="5">
        <v>4</v>
      </c>
      <c r="F31" s="5">
        <f t="shared" si="0"/>
        <v>38</v>
      </c>
      <c r="G31" s="5">
        <v>50</v>
      </c>
      <c r="H31" s="6">
        <f t="shared" si="1"/>
        <v>1900</v>
      </c>
      <c r="I31" s="7">
        <v>260</v>
      </c>
      <c r="J31" t="str">
        <f t="shared" si="2"/>
        <v>Sufficient</v>
      </c>
      <c r="K31">
        <f t="shared" si="3"/>
        <v>65</v>
      </c>
      <c r="L31" t="str">
        <f t="shared" si="4"/>
        <v>Normal</v>
      </c>
      <c r="M31">
        <f t="shared" si="5"/>
        <v>38</v>
      </c>
      <c r="N31" t="str">
        <f t="shared" si="6"/>
        <v>Verified</v>
      </c>
      <c r="O31" t="str">
        <f>_xlfn.XLOOKUP(B31,Sheet2!$A$2:$A$11,Sheet2!$B$2:$B$11,"Unassigned")</f>
        <v>Unassigned</v>
      </c>
      <c r="P31">
        <f>_xlfn.XLOOKUP(E31,Sheet2!$D$2:$D$6,Sheet2!$E$2:$E$6,0,-1)</f>
        <v>0</v>
      </c>
      <c r="Q31" t="str">
        <f t="shared" si="7"/>
        <v>Non-Core</v>
      </c>
    </row>
    <row r="32" spans="1:17" x14ac:dyDescent="0.65">
      <c r="A32" s="4" t="s">
        <v>69</v>
      </c>
      <c r="B32" s="4" t="s">
        <v>70</v>
      </c>
      <c r="C32" s="5">
        <v>25</v>
      </c>
      <c r="D32" s="5">
        <v>10</v>
      </c>
      <c r="E32" s="5">
        <v>3</v>
      </c>
      <c r="F32" s="5">
        <f t="shared" si="0"/>
        <v>32</v>
      </c>
      <c r="G32" s="5">
        <v>30</v>
      </c>
      <c r="H32" s="6">
        <f t="shared" si="1"/>
        <v>960</v>
      </c>
      <c r="I32" s="7">
        <v>117</v>
      </c>
      <c r="J32" t="str">
        <f t="shared" si="2"/>
        <v>Sufficient</v>
      </c>
      <c r="K32">
        <f t="shared" si="3"/>
        <v>39</v>
      </c>
      <c r="L32" t="str">
        <f t="shared" si="4"/>
        <v>Normal</v>
      </c>
      <c r="M32">
        <f t="shared" si="5"/>
        <v>32</v>
      </c>
      <c r="N32" t="str">
        <f t="shared" si="6"/>
        <v>Verified</v>
      </c>
      <c r="O32" t="str">
        <f>_xlfn.XLOOKUP(B32,Sheet2!$A$2:$A$11,Sheet2!$B$2:$B$11,"Unassigned")</f>
        <v>Unassigned</v>
      </c>
      <c r="P32">
        <f>_xlfn.XLOOKUP(E32,Sheet2!$D$2:$D$6,Sheet2!$E$2:$E$6,0,-1)</f>
        <v>0</v>
      </c>
      <c r="Q32" t="str">
        <f t="shared" si="7"/>
        <v>Non-Core</v>
      </c>
    </row>
    <row r="33" spans="1:17" x14ac:dyDescent="0.65">
      <c r="A33" s="4" t="s">
        <v>71</v>
      </c>
      <c r="B33" s="4" t="s">
        <v>72</v>
      </c>
      <c r="C33" s="5">
        <v>50</v>
      </c>
      <c r="D33" s="5">
        <v>20</v>
      </c>
      <c r="E33" s="5">
        <v>8</v>
      </c>
      <c r="F33" s="5">
        <f t="shared" si="0"/>
        <v>62</v>
      </c>
      <c r="G33" s="5">
        <v>10</v>
      </c>
      <c r="H33" s="6">
        <f t="shared" si="1"/>
        <v>620</v>
      </c>
      <c r="I33" s="7">
        <v>104</v>
      </c>
      <c r="J33" t="str">
        <f t="shared" si="2"/>
        <v>Sufficient</v>
      </c>
      <c r="K33">
        <f t="shared" si="3"/>
        <v>13</v>
      </c>
      <c r="L33" t="str">
        <f t="shared" si="4"/>
        <v>Overstock</v>
      </c>
      <c r="M33">
        <f t="shared" si="5"/>
        <v>62</v>
      </c>
      <c r="N33" t="str">
        <f t="shared" si="6"/>
        <v>Verified</v>
      </c>
      <c r="O33" t="str">
        <f>_xlfn.XLOOKUP(B33,Sheet2!$A$2:$A$11,Sheet2!$B$2:$B$11,"Unassigned")</f>
        <v>Unassigned</v>
      </c>
      <c r="P33">
        <f>_xlfn.XLOOKUP(E33,Sheet2!$D$2:$D$6,Sheet2!$E$2:$E$6,0,-1)</f>
        <v>0</v>
      </c>
      <c r="Q33" t="str">
        <f t="shared" si="7"/>
        <v>Non-Core</v>
      </c>
    </row>
    <row r="34" spans="1:17" x14ac:dyDescent="0.65">
      <c r="A34" s="4" t="s">
        <v>73</v>
      </c>
      <c r="B34" s="4" t="s">
        <v>74</v>
      </c>
      <c r="C34" s="5">
        <v>40</v>
      </c>
      <c r="D34" s="5">
        <v>15</v>
      </c>
      <c r="E34" s="5">
        <v>5</v>
      </c>
      <c r="F34" s="5">
        <f t="shared" si="0"/>
        <v>50</v>
      </c>
      <c r="G34" s="5">
        <v>5</v>
      </c>
      <c r="H34" s="6">
        <f t="shared" si="1"/>
        <v>250</v>
      </c>
      <c r="I34" s="7">
        <v>32.5</v>
      </c>
      <c r="J34" t="str">
        <f t="shared" si="2"/>
        <v>Sufficient</v>
      </c>
      <c r="K34">
        <f t="shared" si="3"/>
        <v>6.5</v>
      </c>
      <c r="L34" t="str">
        <f t="shared" si="4"/>
        <v>Normal</v>
      </c>
      <c r="M34">
        <f t="shared" si="5"/>
        <v>50</v>
      </c>
      <c r="N34" t="str">
        <f t="shared" si="6"/>
        <v>Verified</v>
      </c>
      <c r="O34" t="str">
        <f>_xlfn.XLOOKUP(B34,Sheet2!$A$2:$A$11,Sheet2!$B$2:$B$11,"Unassigned")</f>
        <v>Unassigned</v>
      </c>
      <c r="P34">
        <f>_xlfn.XLOOKUP(E34,Sheet2!$D$2:$D$6,Sheet2!$E$2:$E$6,0,-1)</f>
        <v>0</v>
      </c>
      <c r="Q34" t="str">
        <f t="shared" si="7"/>
        <v>Non-Core</v>
      </c>
    </row>
    <row r="35" spans="1:17" x14ac:dyDescent="0.65">
      <c r="A35" s="4" t="s">
        <v>75</v>
      </c>
      <c r="B35" s="4" t="s">
        <v>76</v>
      </c>
      <c r="C35" s="5">
        <v>30</v>
      </c>
      <c r="D35" s="5">
        <v>12</v>
      </c>
      <c r="E35" s="5">
        <v>4</v>
      </c>
      <c r="F35" s="5">
        <f t="shared" si="0"/>
        <v>38</v>
      </c>
      <c r="G35" s="5">
        <v>15</v>
      </c>
      <c r="H35" s="6">
        <f t="shared" si="1"/>
        <v>570</v>
      </c>
      <c r="I35" s="7">
        <v>78</v>
      </c>
      <c r="J35" t="str">
        <f t="shared" si="2"/>
        <v>Sufficient</v>
      </c>
      <c r="K35">
        <f t="shared" si="3"/>
        <v>19.5</v>
      </c>
      <c r="L35" t="str">
        <f t="shared" si="4"/>
        <v>Normal</v>
      </c>
      <c r="M35">
        <f t="shared" si="5"/>
        <v>38</v>
      </c>
      <c r="N35" t="str">
        <f t="shared" si="6"/>
        <v>Verified</v>
      </c>
      <c r="O35" t="str">
        <f>_xlfn.XLOOKUP(B35,Sheet2!$A$2:$A$11,Sheet2!$B$2:$B$11,"Unassigned")</f>
        <v>Unassigned</v>
      </c>
      <c r="P35">
        <f>_xlfn.XLOOKUP(E35,Sheet2!$D$2:$D$6,Sheet2!$E$2:$E$6,0,-1)</f>
        <v>0</v>
      </c>
      <c r="Q35" t="str">
        <f t="shared" si="7"/>
        <v>Non-Core</v>
      </c>
    </row>
    <row r="36" spans="1:17" x14ac:dyDescent="0.65">
      <c r="A36" s="4" t="s">
        <v>77</v>
      </c>
      <c r="B36" s="4" t="s">
        <v>78</v>
      </c>
      <c r="C36" s="5">
        <v>15</v>
      </c>
      <c r="D36" s="5">
        <v>8</v>
      </c>
      <c r="E36" s="5">
        <v>3</v>
      </c>
      <c r="F36" s="5">
        <f t="shared" si="0"/>
        <v>20</v>
      </c>
      <c r="G36" s="5">
        <v>20</v>
      </c>
      <c r="H36" s="6">
        <f t="shared" si="1"/>
        <v>400</v>
      </c>
      <c r="I36" s="7">
        <v>78</v>
      </c>
      <c r="J36" t="str">
        <f t="shared" si="2"/>
        <v>Sufficient</v>
      </c>
      <c r="K36">
        <f t="shared" si="3"/>
        <v>26</v>
      </c>
      <c r="L36" t="str">
        <f t="shared" si="4"/>
        <v>Normal</v>
      </c>
      <c r="M36">
        <f t="shared" si="5"/>
        <v>20</v>
      </c>
      <c r="N36" t="str">
        <f t="shared" si="6"/>
        <v>Verified</v>
      </c>
      <c r="O36" t="str">
        <f>_xlfn.XLOOKUP(B36,Sheet2!$A$2:$A$11,Sheet2!$B$2:$B$11,"Unassigned")</f>
        <v>Unassigned</v>
      </c>
      <c r="P36">
        <f>_xlfn.XLOOKUP(E36,Sheet2!$D$2:$D$6,Sheet2!$E$2:$E$6,0,-1)</f>
        <v>0</v>
      </c>
      <c r="Q36" t="str">
        <f t="shared" si="7"/>
        <v>Non-Core</v>
      </c>
    </row>
    <row r="37" spans="1:17" x14ac:dyDescent="0.65">
      <c r="A37" s="4" t="s">
        <v>79</v>
      </c>
      <c r="B37" s="4" t="s">
        <v>80</v>
      </c>
      <c r="C37" s="5">
        <v>15</v>
      </c>
      <c r="D37" s="5">
        <v>6</v>
      </c>
      <c r="E37" s="5">
        <v>0</v>
      </c>
      <c r="F37" s="5">
        <f t="shared" si="0"/>
        <v>21</v>
      </c>
      <c r="G37" s="5">
        <v>50</v>
      </c>
      <c r="H37" s="6">
        <f t="shared" si="1"/>
        <v>1050</v>
      </c>
      <c r="I37" s="7">
        <v>0</v>
      </c>
      <c r="J37" t="str">
        <f t="shared" si="2"/>
        <v>Sufficient</v>
      </c>
      <c r="K37">
        <f t="shared" si="3"/>
        <v>0</v>
      </c>
      <c r="L37" t="str">
        <f t="shared" si="4"/>
        <v>Normal</v>
      </c>
      <c r="M37">
        <f t="shared" si="5"/>
        <v>21</v>
      </c>
      <c r="N37" t="str">
        <f t="shared" si="6"/>
        <v>Verified</v>
      </c>
      <c r="O37" t="str">
        <f>_xlfn.XLOOKUP(B37,Sheet2!$A$2:$A$11,Sheet2!$B$2:$B$11,"Unassigned")</f>
        <v>Unassigned</v>
      </c>
      <c r="P37">
        <f>_xlfn.XLOOKUP(E37,Sheet2!$D$2:$D$6,Sheet2!$E$2:$E$6,0,-1)</f>
        <v>0</v>
      </c>
      <c r="Q37" t="str">
        <f t="shared" si="7"/>
        <v>Non-Core</v>
      </c>
    </row>
    <row r="38" spans="1:17" x14ac:dyDescent="0.65">
      <c r="A38" s="4" t="s">
        <v>81</v>
      </c>
      <c r="B38" s="4" t="s">
        <v>82</v>
      </c>
      <c r="C38" s="5">
        <v>25</v>
      </c>
      <c r="D38" s="5">
        <v>10</v>
      </c>
      <c r="E38" s="5">
        <v>4</v>
      </c>
      <c r="F38" s="5">
        <f t="shared" si="0"/>
        <v>31</v>
      </c>
      <c r="G38" s="5">
        <v>5</v>
      </c>
      <c r="H38" s="6">
        <f t="shared" si="1"/>
        <v>155</v>
      </c>
      <c r="I38" s="7">
        <v>26</v>
      </c>
      <c r="J38" t="str">
        <f t="shared" si="2"/>
        <v>Sufficient</v>
      </c>
      <c r="K38">
        <f t="shared" si="3"/>
        <v>6.5</v>
      </c>
      <c r="L38" t="str">
        <f t="shared" si="4"/>
        <v>Normal</v>
      </c>
      <c r="M38">
        <f t="shared" si="5"/>
        <v>31</v>
      </c>
      <c r="N38" t="str">
        <f t="shared" si="6"/>
        <v>Verified</v>
      </c>
      <c r="O38" t="str">
        <f>_xlfn.XLOOKUP(B38,Sheet2!$A$2:$A$11,Sheet2!$B$2:$B$11,"Unassigned")</f>
        <v>Unassigned</v>
      </c>
      <c r="P38">
        <f>_xlfn.XLOOKUP(E38,Sheet2!$D$2:$D$6,Sheet2!$E$2:$E$6,0,-1)</f>
        <v>0</v>
      </c>
      <c r="Q38" t="str">
        <f t="shared" si="7"/>
        <v>Non-Core</v>
      </c>
    </row>
    <row r="39" spans="1:17" x14ac:dyDescent="0.65">
      <c r="A39" s="4" t="s">
        <v>83</v>
      </c>
      <c r="B39" s="4" t="s">
        <v>84</v>
      </c>
      <c r="C39" s="5">
        <v>40</v>
      </c>
      <c r="D39" s="5">
        <v>18</v>
      </c>
      <c r="E39" s="5">
        <v>9</v>
      </c>
      <c r="F39" s="5">
        <f t="shared" si="0"/>
        <v>49</v>
      </c>
      <c r="G39" s="5">
        <v>8</v>
      </c>
      <c r="H39" s="6">
        <f t="shared" si="1"/>
        <v>392</v>
      </c>
      <c r="I39" s="7">
        <v>93.600000000000009</v>
      </c>
      <c r="J39" t="str">
        <f t="shared" si="2"/>
        <v>Sufficient</v>
      </c>
      <c r="K39">
        <f t="shared" si="3"/>
        <v>10.4</v>
      </c>
      <c r="L39" t="str">
        <f t="shared" si="4"/>
        <v>Normal</v>
      </c>
      <c r="M39">
        <f t="shared" si="5"/>
        <v>49</v>
      </c>
      <c r="N39" t="str">
        <f t="shared" si="6"/>
        <v>Verified</v>
      </c>
      <c r="O39" t="str">
        <f>_xlfn.XLOOKUP(B39,Sheet2!$A$2:$A$11,Sheet2!$B$2:$B$11,"Unassigned")</f>
        <v>Unassigned</v>
      </c>
      <c r="P39">
        <f>_xlfn.XLOOKUP(E39,Sheet2!$D$2:$D$6,Sheet2!$E$2:$E$6,0,-1)</f>
        <v>0</v>
      </c>
      <c r="Q39" t="str">
        <f t="shared" si="7"/>
        <v>Non-Core</v>
      </c>
    </row>
    <row r="40" spans="1:17" x14ac:dyDescent="0.65">
      <c r="A40" s="4" t="s">
        <v>85</v>
      </c>
      <c r="B40" s="4" t="s">
        <v>86</v>
      </c>
      <c r="C40" s="5">
        <v>30</v>
      </c>
      <c r="D40" s="5">
        <v>15</v>
      </c>
      <c r="E40" s="5">
        <v>6</v>
      </c>
      <c r="F40" s="5">
        <f t="shared" si="0"/>
        <v>39</v>
      </c>
      <c r="G40" s="5">
        <v>20</v>
      </c>
      <c r="H40" s="6">
        <f t="shared" si="1"/>
        <v>780</v>
      </c>
      <c r="I40" s="7">
        <v>156</v>
      </c>
      <c r="J40" t="str">
        <f t="shared" si="2"/>
        <v>Sufficient</v>
      </c>
      <c r="K40">
        <f t="shared" si="3"/>
        <v>26</v>
      </c>
      <c r="L40" t="str">
        <f t="shared" si="4"/>
        <v>Normal</v>
      </c>
      <c r="M40">
        <f t="shared" si="5"/>
        <v>39</v>
      </c>
      <c r="N40" t="str">
        <f t="shared" si="6"/>
        <v>Verified</v>
      </c>
      <c r="O40" t="str">
        <f>_xlfn.XLOOKUP(B40,Sheet2!$A$2:$A$11,Sheet2!$B$2:$B$11,"Unassigned")</f>
        <v>Unassigned</v>
      </c>
      <c r="P40">
        <f>_xlfn.XLOOKUP(E40,Sheet2!$D$2:$D$6,Sheet2!$E$2:$E$6,0,-1)</f>
        <v>0</v>
      </c>
      <c r="Q40" t="str">
        <f t="shared" si="7"/>
        <v>Non-Core</v>
      </c>
    </row>
    <row r="41" spans="1:17" x14ac:dyDescent="0.65">
      <c r="A41" s="4" t="s">
        <v>87</v>
      </c>
      <c r="B41" s="4" t="s">
        <v>88</v>
      </c>
      <c r="C41" s="5">
        <v>35</v>
      </c>
      <c r="D41" s="5">
        <v>12</v>
      </c>
      <c r="E41" s="5">
        <v>4</v>
      </c>
      <c r="F41" s="5">
        <f t="shared" si="0"/>
        <v>43</v>
      </c>
      <c r="G41" s="5">
        <v>15</v>
      </c>
      <c r="H41" s="6">
        <f t="shared" si="1"/>
        <v>645</v>
      </c>
      <c r="I41" s="7">
        <v>78</v>
      </c>
      <c r="J41" t="str">
        <f t="shared" si="2"/>
        <v>Sufficient</v>
      </c>
      <c r="K41">
        <f t="shared" si="3"/>
        <v>19.5</v>
      </c>
      <c r="L41" t="str">
        <f t="shared" si="4"/>
        <v>Normal</v>
      </c>
      <c r="M41">
        <f t="shared" si="5"/>
        <v>43</v>
      </c>
      <c r="N41" t="str">
        <f t="shared" si="6"/>
        <v>Verified</v>
      </c>
      <c r="O41" t="str">
        <f>_xlfn.XLOOKUP(B41,Sheet2!$A$2:$A$11,Sheet2!$B$2:$B$11,"Unassigned")</f>
        <v>Unassigned</v>
      </c>
      <c r="P41">
        <f>_xlfn.XLOOKUP(E41,Sheet2!$D$2:$D$6,Sheet2!$E$2:$E$6,0,-1)</f>
        <v>0</v>
      </c>
      <c r="Q41" t="str">
        <f t="shared" si="7"/>
        <v>Non-Core</v>
      </c>
    </row>
    <row r="42" spans="1:17" x14ac:dyDescent="0.65">
      <c r="A42" s="4" t="s">
        <v>89</v>
      </c>
      <c r="B42" s="4" t="s">
        <v>90</v>
      </c>
      <c r="C42" s="5">
        <v>25</v>
      </c>
      <c r="D42" s="5">
        <v>8</v>
      </c>
      <c r="E42" s="5">
        <v>3</v>
      </c>
      <c r="F42" s="5">
        <f t="shared" si="0"/>
        <v>30</v>
      </c>
      <c r="G42" s="5">
        <v>10</v>
      </c>
      <c r="H42" s="6">
        <f t="shared" si="1"/>
        <v>300</v>
      </c>
      <c r="I42" s="7">
        <v>39</v>
      </c>
      <c r="J42" t="str">
        <f t="shared" si="2"/>
        <v>Sufficient</v>
      </c>
      <c r="K42">
        <f t="shared" si="3"/>
        <v>13</v>
      </c>
      <c r="L42" t="str">
        <f t="shared" si="4"/>
        <v>Normal</v>
      </c>
      <c r="M42">
        <f t="shared" si="5"/>
        <v>30</v>
      </c>
      <c r="N42" t="str">
        <f t="shared" si="6"/>
        <v>Verified</v>
      </c>
      <c r="O42" t="str">
        <f>_xlfn.XLOOKUP(B42,Sheet2!$A$2:$A$11,Sheet2!$B$2:$B$11,"Unassigned")</f>
        <v>Unassigned</v>
      </c>
      <c r="P42">
        <f>_xlfn.XLOOKUP(E42,Sheet2!$D$2:$D$6,Sheet2!$E$2:$E$6,0,-1)</f>
        <v>0</v>
      </c>
      <c r="Q42" t="str">
        <f t="shared" si="7"/>
        <v>Non-Core</v>
      </c>
    </row>
    <row r="43" spans="1:17" x14ac:dyDescent="0.65">
      <c r="A43" s="4" t="s">
        <v>91</v>
      </c>
      <c r="B43" s="4" t="s">
        <v>92</v>
      </c>
      <c r="C43" s="5">
        <v>20</v>
      </c>
      <c r="D43" s="5">
        <v>10</v>
      </c>
      <c r="E43" s="5">
        <v>4</v>
      </c>
      <c r="F43" s="5">
        <f t="shared" si="0"/>
        <v>26</v>
      </c>
      <c r="G43" s="5">
        <v>15</v>
      </c>
      <c r="H43" s="6">
        <f t="shared" si="1"/>
        <v>390</v>
      </c>
      <c r="I43" s="7">
        <v>78</v>
      </c>
      <c r="J43" t="str">
        <f t="shared" si="2"/>
        <v>Sufficient</v>
      </c>
      <c r="K43">
        <f t="shared" si="3"/>
        <v>19.5</v>
      </c>
      <c r="L43" t="str">
        <f t="shared" si="4"/>
        <v>Normal</v>
      </c>
      <c r="M43">
        <f t="shared" si="5"/>
        <v>26</v>
      </c>
      <c r="N43" t="str">
        <f t="shared" si="6"/>
        <v>Verified</v>
      </c>
      <c r="O43" t="str">
        <f>_xlfn.XLOOKUP(B43,Sheet2!$A$2:$A$11,Sheet2!$B$2:$B$11,"Unassigned")</f>
        <v>Unassigned</v>
      </c>
      <c r="P43">
        <f>_xlfn.XLOOKUP(E43,Sheet2!$D$2:$D$6,Sheet2!$E$2:$E$6,0,-1)</f>
        <v>0</v>
      </c>
      <c r="Q43" t="str">
        <f t="shared" si="7"/>
        <v>Non-Core</v>
      </c>
    </row>
    <row r="44" spans="1:17" x14ac:dyDescent="0.65">
      <c r="A44" s="4" t="s">
        <v>93</v>
      </c>
      <c r="B44" s="4" t="s">
        <v>94</v>
      </c>
      <c r="C44" s="5">
        <v>30</v>
      </c>
      <c r="D44" s="5">
        <v>12</v>
      </c>
      <c r="E44" s="5">
        <v>5</v>
      </c>
      <c r="F44" s="5">
        <f t="shared" si="0"/>
        <v>37</v>
      </c>
      <c r="G44" s="5">
        <v>20</v>
      </c>
      <c r="H44" s="6">
        <f t="shared" si="1"/>
        <v>740</v>
      </c>
      <c r="I44" s="7">
        <v>130</v>
      </c>
      <c r="J44" t="str">
        <f t="shared" si="2"/>
        <v>Sufficient</v>
      </c>
      <c r="K44">
        <f t="shared" si="3"/>
        <v>26</v>
      </c>
      <c r="L44" t="str">
        <f t="shared" si="4"/>
        <v>Normal</v>
      </c>
      <c r="M44">
        <f t="shared" si="5"/>
        <v>37</v>
      </c>
      <c r="N44" t="str">
        <f t="shared" si="6"/>
        <v>Verified</v>
      </c>
      <c r="O44" t="str">
        <f>_xlfn.XLOOKUP(B44,Sheet2!$A$2:$A$11,Sheet2!$B$2:$B$11,"Unassigned")</f>
        <v>Unassigned</v>
      </c>
      <c r="P44">
        <f>_xlfn.XLOOKUP(E44,Sheet2!$D$2:$D$6,Sheet2!$E$2:$E$6,0,-1)</f>
        <v>0</v>
      </c>
      <c r="Q44" t="str">
        <f t="shared" si="7"/>
        <v>Non-Core</v>
      </c>
    </row>
    <row r="45" spans="1:17" x14ac:dyDescent="0.65">
      <c r="A45" s="4" t="s">
        <v>95</v>
      </c>
      <c r="B45" s="4" t="s">
        <v>96</v>
      </c>
      <c r="C45" s="5">
        <v>40</v>
      </c>
      <c r="D45" s="5">
        <v>18</v>
      </c>
      <c r="E45" s="5">
        <v>7</v>
      </c>
      <c r="F45" s="5">
        <f t="shared" si="0"/>
        <v>51</v>
      </c>
      <c r="G45" s="5">
        <v>30</v>
      </c>
      <c r="H45" s="6">
        <f t="shared" si="1"/>
        <v>1530</v>
      </c>
      <c r="I45" s="7">
        <v>273</v>
      </c>
      <c r="J45" t="str">
        <f t="shared" si="2"/>
        <v>Sufficient</v>
      </c>
      <c r="K45">
        <f t="shared" si="3"/>
        <v>39</v>
      </c>
      <c r="L45" t="str">
        <f t="shared" si="4"/>
        <v>Normal</v>
      </c>
      <c r="M45">
        <f t="shared" si="5"/>
        <v>51</v>
      </c>
      <c r="N45" t="str">
        <f t="shared" si="6"/>
        <v>Verified</v>
      </c>
      <c r="O45" t="str">
        <f>_xlfn.XLOOKUP(B45,Sheet2!$A$2:$A$11,Sheet2!$B$2:$B$11,"Unassigned")</f>
        <v>Unassigned</v>
      </c>
      <c r="P45">
        <f>_xlfn.XLOOKUP(E45,Sheet2!$D$2:$D$6,Sheet2!$E$2:$E$6,0,-1)</f>
        <v>0</v>
      </c>
      <c r="Q45" t="str">
        <f t="shared" si="7"/>
        <v>Non-Core</v>
      </c>
    </row>
    <row r="46" spans="1:17" x14ac:dyDescent="0.65">
      <c r="A46" s="4" t="s">
        <v>97</v>
      </c>
      <c r="B46" s="4" t="s">
        <v>98</v>
      </c>
      <c r="C46" s="5">
        <v>50</v>
      </c>
      <c r="D46" s="5">
        <v>20</v>
      </c>
      <c r="E46" s="5">
        <v>9</v>
      </c>
      <c r="F46" s="5">
        <f t="shared" si="0"/>
        <v>61</v>
      </c>
      <c r="G46" s="5">
        <v>8</v>
      </c>
      <c r="H46" s="6">
        <f t="shared" si="1"/>
        <v>488</v>
      </c>
      <c r="I46" s="7">
        <v>93.600000000000009</v>
      </c>
      <c r="J46" t="str">
        <f t="shared" si="2"/>
        <v>Sufficient</v>
      </c>
      <c r="K46">
        <f t="shared" si="3"/>
        <v>10.4</v>
      </c>
      <c r="L46" t="str">
        <f t="shared" si="4"/>
        <v>Overstock</v>
      </c>
      <c r="M46">
        <f t="shared" si="5"/>
        <v>61</v>
      </c>
      <c r="N46" t="str">
        <f t="shared" si="6"/>
        <v>Verified</v>
      </c>
      <c r="O46" t="str">
        <f>_xlfn.XLOOKUP(B46,Sheet2!$A$2:$A$11,Sheet2!$B$2:$B$11,"Unassigned")</f>
        <v>Unassigned</v>
      </c>
      <c r="P46">
        <f>_xlfn.XLOOKUP(E46,Sheet2!$D$2:$D$6,Sheet2!$E$2:$E$6,0,-1)</f>
        <v>0</v>
      </c>
      <c r="Q46" t="str">
        <f t="shared" si="7"/>
        <v>Non-Core</v>
      </c>
    </row>
    <row r="47" spans="1:17" x14ac:dyDescent="0.65">
      <c r="A47" s="4" t="s">
        <v>99</v>
      </c>
      <c r="B47" s="4" t="s">
        <v>100</v>
      </c>
      <c r="C47" s="5">
        <v>25</v>
      </c>
      <c r="D47" s="5">
        <v>10</v>
      </c>
      <c r="E47" s="5">
        <v>3</v>
      </c>
      <c r="F47" s="5">
        <f t="shared" si="0"/>
        <v>32</v>
      </c>
      <c r="G47" s="5">
        <v>150</v>
      </c>
      <c r="H47" s="6">
        <f t="shared" si="1"/>
        <v>4800</v>
      </c>
      <c r="I47" s="7">
        <v>585</v>
      </c>
      <c r="J47" t="str">
        <f t="shared" si="2"/>
        <v>Sufficient</v>
      </c>
      <c r="K47">
        <f t="shared" si="3"/>
        <v>195</v>
      </c>
      <c r="L47" t="str">
        <f t="shared" si="4"/>
        <v>Normal</v>
      </c>
      <c r="M47">
        <f t="shared" si="5"/>
        <v>32</v>
      </c>
      <c r="N47" t="str">
        <f t="shared" si="6"/>
        <v>Verified</v>
      </c>
      <c r="O47" t="str">
        <f>_xlfn.XLOOKUP(B47,Sheet2!$A$2:$A$11,Sheet2!$B$2:$B$11,"Unassigned")</f>
        <v>Unassigned</v>
      </c>
      <c r="P47">
        <f>_xlfn.XLOOKUP(E47,Sheet2!$D$2:$D$6,Sheet2!$E$2:$E$6,0,-1)</f>
        <v>0</v>
      </c>
      <c r="Q47" t="str">
        <f t="shared" si="7"/>
        <v>Non-Core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4" sqref="D4"/>
    </sheetView>
  </sheetViews>
  <sheetFormatPr defaultRowHeight="21" x14ac:dyDescent="0.65"/>
  <cols>
    <col min="1" max="3" width="22.6796875" customWidth="1"/>
  </cols>
  <sheetData>
    <row r="1" spans="1:3" ht="66.400000000000006" customHeight="1" x14ac:dyDescent="0.65">
      <c r="A1" s="8" t="s">
        <v>101</v>
      </c>
      <c r="B1" s="8" t="s">
        <v>102</v>
      </c>
      <c r="C1" s="8" t="s">
        <v>103</v>
      </c>
    </row>
    <row r="2" spans="1:3" ht="22.15" customHeight="1" x14ac:dyDescent="0.65">
      <c r="A2" s="9" t="s">
        <v>10</v>
      </c>
      <c r="B2" s="9" t="s">
        <v>104</v>
      </c>
      <c r="C2" s="9" t="s">
        <v>105</v>
      </c>
    </row>
    <row r="3" spans="1:3" ht="44.25" customHeight="1" x14ac:dyDescent="0.65">
      <c r="A3" s="10" t="s">
        <v>12</v>
      </c>
      <c r="B3" s="10" t="s">
        <v>106</v>
      </c>
      <c r="C3" s="10" t="s">
        <v>107</v>
      </c>
    </row>
    <row r="4" spans="1:3" ht="44.25" customHeight="1" x14ac:dyDescent="0.65">
      <c r="A4" s="9" t="s">
        <v>14</v>
      </c>
      <c r="B4" s="9" t="s">
        <v>108</v>
      </c>
      <c r="C4" s="9" t="s">
        <v>109</v>
      </c>
    </row>
    <row r="5" spans="1:3" ht="44.25" customHeight="1" x14ac:dyDescent="0.65">
      <c r="A5" s="10" t="s">
        <v>16</v>
      </c>
      <c r="B5" s="10" t="s">
        <v>110</v>
      </c>
      <c r="C5" s="10" t="s">
        <v>109</v>
      </c>
    </row>
    <row r="6" spans="1:3" ht="44.25" customHeight="1" x14ac:dyDescent="0.65">
      <c r="A6" s="9" t="s">
        <v>18</v>
      </c>
      <c r="B6" s="9" t="s">
        <v>106</v>
      </c>
      <c r="C6" s="9" t="s">
        <v>107</v>
      </c>
    </row>
    <row r="7" spans="1:3" ht="22.15" customHeight="1" x14ac:dyDescent="0.65">
      <c r="A7" s="10" t="s">
        <v>20</v>
      </c>
      <c r="B7" s="10" t="s">
        <v>111</v>
      </c>
      <c r="C7" s="10" t="s">
        <v>112</v>
      </c>
    </row>
    <row r="8" spans="1:3" ht="22.15" customHeight="1" x14ac:dyDescent="0.65">
      <c r="A8" s="9" t="s">
        <v>22</v>
      </c>
      <c r="B8" s="9" t="s">
        <v>113</v>
      </c>
      <c r="C8" s="9" t="s">
        <v>105</v>
      </c>
    </row>
    <row r="9" spans="1:3" ht="44.25" customHeight="1" x14ac:dyDescent="0.65">
      <c r="A9" s="10" t="s">
        <v>44</v>
      </c>
      <c r="B9" s="10" t="s">
        <v>114</v>
      </c>
      <c r="C9" s="10" t="s">
        <v>109</v>
      </c>
    </row>
    <row r="10" spans="1:3" ht="44.25" customHeight="1" x14ac:dyDescent="0.65">
      <c r="A10" s="9" t="s">
        <v>52</v>
      </c>
      <c r="B10" s="9" t="s">
        <v>115</v>
      </c>
      <c r="C10" s="9" t="s">
        <v>107</v>
      </c>
    </row>
    <row r="11" spans="1:3" ht="22.15" customHeight="1" x14ac:dyDescent="0.65">
      <c r="A11" s="10" t="s">
        <v>54</v>
      </c>
      <c r="B11" s="10" t="s">
        <v>116</v>
      </c>
      <c r="C11" s="1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83F-1D4E-405E-AB21-C8D501792088}">
  <dimension ref="A1:E11"/>
  <sheetViews>
    <sheetView workbookViewId="0">
      <selection activeCell="E12" sqref="E12"/>
    </sheetView>
  </sheetViews>
  <sheetFormatPr defaultRowHeight="21" x14ac:dyDescent="0.65"/>
  <sheetData>
    <row r="1" spans="1:5" ht="41.25" x14ac:dyDescent="0.65">
      <c r="A1" s="11" t="s">
        <v>101</v>
      </c>
      <c r="B1" s="11" t="s">
        <v>117</v>
      </c>
      <c r="D1" s="11" t="s">
        <v>119</v>
      </c>
      <c r="E1" s="11" t="s">
        <v>120</v>
      </c>
    </row>
    <row r="2" spans="1:5" x14ac:dyDescent="0.65">
      <c r="A2" s="12" t="s">
        <v>10</v>
      </c>
      <c r="B2" s="12" t="s">
        <v>118</v>
      </c>
      <c r="D2" s="12">
        <v>0</v>
      </c>
      <c r="E2" s="14">
        <v>0</v>
      </c>
    </row>
    <row r="3" spans="1:5" x14ac:dyDescent="0.65">
      <c r="A3" s="13" t="s">
        <v>12</v>
      </c>
      <c r="B3" s="13" t="s">
        <v>126</v>
      </c>
      <c r="D3" s="13">
        <v>10</v>
      </c>
      <c r="E3" s="15">
        <v>2.5000000000000001E-2</v>
      </c>
    </row>
    <row r="4" spans="1:5" x14ac:dyDescent="0.65">
      <c r="A4" s="12" t="s">
        <v>14</v>
      </c>
      <c r="B4" s="12" t="s">
        <v>127</v>
      </c>
      <c r="D4" s="12">
        <v>25</v>
      </c>
      <c r="E4" s="14">
        <v>0.05</v>
      </c>
    </row>
    <row r="5" spans="1:5" ht="41.25" x14ac:dyDescent="0.65">
      <c r="A5" s="13" t="s">
        <v>16</v>
      </c>
      <c r="B5" s="13" t="s">
        <v>128</v>
      </c>
      <c r="D5" s="13">
        <v>50</v>
      </c>
      <c r="E5" s="15">
        <v>0.08</v>
      </c>
    </row>
    <row r="6" spans="1:5" ht="41.25" x14ac:dyDescent="0.65">
      <c r="A6" s="12" t="s">
        <v>18</v>
      </c>
      <c r="B6" s="12" t="s">
        <v>129</v>
      </c>
      <c r="D6" s="12">
        <v>75</v>
      </c>
      <c r="E6" s="14">
        <v>0.12</v>
      </c>
    </row>
    <row r="7" spans="1:5" x14ac:dyDescent="0.65">
      <c r="A7" s="13" t="s">
        <v>20</v>
      </c>
      <c r="B7" s="13" t="s">
        <v>129</v>
      </c>
    </row>
    <row r="8" spans="1:5" x14ac:dyDescent="0.65">
      <c r="A8" s="12" t="s">
        <v>22</v>
      </c>
      <c r="B8" s="12" t="s">
        <v>130</v>
      </c>
    </row>
    <row r="9" spans="1:5" ht="41.25" x14ac:dyDescent="0.65">
      <c r="A9" s="13" t="s">
        <v>44</v>
      </c>
      <c r="B9" s="13" t="s">
        <v>131</v>
      </c>
    </row>
    <row r="10" spans="1:5" ht="41.25" x14ac:dyDescent="0.65">
      <c r="A10" s="12" t="s">
        <v>52</v>
      </c>
      <c r="B10" s="12" t="s">
        <v>132</v>
      </c>
    </row>
    <row r="11" spans="1:5" x14ac:dyDescent="0.65">
      <c r="A11" s="13" t="s">
        <v>54</v>
      </c>
      <c r="B11" s="13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VendorMaster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2026-01-15T02:36:30Z</dcterms:created>
  <dcterms:modified xsi:type="dcterms:W3CDTF">2026-01-15T04:57:15Z</dcterms:modified>
</cp:coreProperties>
</file>